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农机-海外\账单\单位月结账单\"/>
    </mc:Choice>
  </mc:AlternateContent>
  <xr:revisionPtr revIDLastSave="0" documentId="8_{9BEEACB4-95C8-45C7-B43A-15BE631B77AA}" xr6:coauthVersionLast="36" xr6:coauthVersionMax="36" xr10:uidLastSave="{00000000-0000-0000-0000-000000000000}"/>
  <bookViews>
    <workbookView xWindow="0" yWindow="0" windowWidth="28800" windowHeight="12135" xr2:uid="{900D9335-C4B0-4397-A735-425B5A986727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tariff compensation" sheetId="7" r:id="rId5"/>
    <sheet name="Maintenance list" sheetId="8" r:id="rId6"/>
    <sheet name="service red-line deduction" sheetId="9" r:id="rId7"/>
    <sheet name="bad parts deduction" sheetId="10" r:id="rId8"/>
    <sheet name="other compensation" sheetId="11" r:id="rId9"/>
    <sheet name="DOA to CM" sheetId="12" r:id="rId10"/>
    <sheet name="pre-payment balance" sheetId="13" r:id="rId11"/>
  </sheets>
  <definedNames>
    <definedName name="_xlnm._FilterDatabase" localSheetId="1" hidden="1">'Accessories discount'!$A$1:$Q$1</definedName>
    <definedName name="_xlnm._FilterDatabase" localSheetId="9" hidden="1">'DOA to CM'!$A$1:$P$1</definedName>
    <definedName name="_xlnm._FilterDatabase" localSheetId="5" hidden="1">'Maintenance list'!$A$1:$J$1</definedName>
    <definedName name="_xlnm._FilterDatabase" localSheetId="10" hidden="1">'pre-payment balance'!$A$1:$L$1</definedName>
    <definedName name="_xlnm._FilterDatabase" localSheetId="3" hidden="1">'service fee'!$A$1:$Q$1</definedName>
    <definedName name="_xlnm._FilterDatabase" localSheetId="2" hidden="1">'spare parts fee'!$A$1:$Q$1</definedName>
    <definedName name="_xlnm._FilterDatabase" localSheetId="4" hidden="1">'tariff compensation'!#REF!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E17" i="3" s="1"/>
  <c r="E13" i="3"/>
  <c r="E12" i="3"/>
  <c r="E11" i="3"/>
  <c r="E10" i="3"/>
  <c r="E9" i="3"/>
  <c r="E8" i="3"/>
  <c r="E7" i="3"/>
  <c r="E14" i="3" s="1"/>
  <c r="E15" i="3" s="1"/>
  <c r="E5" i="3"/>
  <c r="E6" i="3" s="1"/>
</calcChain>
</file>

<file path=xl/sharedStrings.xml><?xml version="1.0" encoding="utf-8"?>
<sst xmlns="http://schemas.openxmlformats.org/spreadsheetml/2006/main" count="2851" uniqueCount="447">
  <si>
    <t>Distributor Name</t>
  </si>
  <si>
    <t>Distributor Account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</si>
  <si>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Nov</t>
    </r>
  </si>
  <si>
    <t>Dealer</t>
  </si>
  <si>
    <t>Dealer Account：</t>
  </si>
  <si>
    <t>Credit Trading</t>
  </si>
  <si>
    <t>Amount</t>
  </si>
  <si>
    <t>Remarks</t>
  </si>
  <si>
    <t>Expenditure item</t>
  </si>
  <si>
    <t>spare parts order</t>
  </si>
  <si>
    <t>Total Expenditure</t>
  </si>
  <si>
    <t>Income item</t>
  </si>
  <si>
    <t>spare parts fee of warranty cases</t>
  </si>
  <si>
    <t>service fee of warranty cases</t>
  </si>
  <si>
    <t>tariff compensation</t>
  </si>
  <si>
    <t>service red-line deduction</t>
  </si>
  <si>
    <t>bad parts deduction</t>
  </si>
  <si>
    <t>other compensation</t>
  </si>
  <si>
    <t>battery/DOA cases</t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</si>
  <si>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</si>
  <si>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</si>
  <si>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</si>
  <si>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</si>
  <si>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</si>
  <si>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</si>
  <si>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</si>
  <si>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</si>
  <si>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</si>
  <si>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Dealer Name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</si>
  <si>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</si>
  <si>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</si>
  <si>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</si>
  <si>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</si>
  <si>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</si>
  <si>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</si>
  <si>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</si>
  <si>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</si>
  <si>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</si>
  <si>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</si>
  <si>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</si>
  <si>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Quota adjustment</t>
  </si>
  <si>
    <t>deduction</t>
  </si>
  <si>
    <t>Manual adjustment</t>
  </si>
  <si>
    <t>USD</t>
  </si>
  <si>
    <t>Increase</t>
  </si>
  <si>
    <t>Local repair-in warranty</t>
  </si>
  <si>
    <t>Repair spare parts fee</t>
  </si>
  <si>
    <t>Automatically generate</t>
  </si>
  <si>
    <t>取消结算</t>
  </si>
  <si>
    <t>Repair service fee</t>
  </si>
  <si>
    <t>FQAO251218000004</t>
  </si>
  <si>
    <t>other</t>
  </si>
  <si>
    <r>
      <rPr>
        <b/>
        <sz val="11"/>
        <color theme="0"/>
        <rFont val="微软雅黑"/>
        <family val="2"/>
        <charset val="134"/>
      </rPr>
      <t>案例编号</t>
    </r>
    <r>
      <rPr>
        <b/>
        <sz val="11"/>
        <color theme="0"/>
        <rFont val="Arial"/>
        <family val="2"/>
      </rPr>
      <t>Case Number</t>
    </r>
  </si>
  <si>
    <r>
      <rPr>
        <b/>
        <sz val="11"/>
        <color theme="0"/>
        <rFont val="微软雅黑"/>
        <family val="2"/>
        <charset val="134"/>
      </rPr>
      <t>代理商名称</t>
    </r>
    <r>
      <rPr>
        <b/>
        <sz val="11"/>
        <color theme="0"/>
        <rFont val="Arial"/>
        <family val="2"/>
      </rPr>
      <t>Dealer Name</t>
    </r>
  </si>
  <si>
    <r>
      <rPr>
        <b/>
        <sz val="11"/>
        <color theme="0"/>
        <rFont val="微软雅黑"/>
        <family val="2"/>
        <charset val="134"/>
      </rPr>
      <t>上级代理商名称</t>
    </r>
    <r>
      <rPr>
        <b/>
        <sz val="11"/>
        <color theme="0"/>
        <rFont val="Arial"/>
        <family val="2"/>
      </rPr>
      <t>Distributor Name</t>
    </r>
  </si>
  <si>
    <r>
      <rPr>
        <b/>
        <sz val="11"/>
        <color theme="0"/>
        <rFont val="微软雅黑"/>
        <family val="2"/>
        <charset val="134"/>
      </rPr>
      <t>上级代理商账号</t>
    </r>
    <r>
      <rPr>
        <b/>
        <sz val="11"/>
        <color theme="0"/>
        <rFont val="Arial"/>
        <family val="2"/>
      </rPr>
      <t>Distributor Account</t>
    </r>
  </si>
  <si>
    <r>
      <rPr>
        <b/>
        <sz val="11"/>
        <color theme="0"/>
        <rFont val="微软雅黑"/>
        <family val="2"/>
        <charset val="134"/>
      </rPr>
      <t>物料编码</t>
    </r>
    <r>
      <rPr>
        <b/>
        <sz val="11"/>
        <color theme="0"/>
        <rFont val="Arial"/>
        <family val="2"/>
      </rPr>
      <t>Material code</t>
    </r>
  </si>
  <si>
    <r>
      <rPr>
        <b/>
        <sz val="11"/>
        <color theme="0"/>
        <rFont val="微软雅黑"/>
        <family val="2"/>
        <charset val="134"/>
      </rPr>
      <t>物料名称</t>
    </r>
    <r>
      <rPr>
        <b/>
        <sz val="11"/>
        <color theme="0"/>
        <rFont val="Arial"/>
        <family val="2"/>
      </rPr>
      <t>Material name</t>
    </r>
  </si>
  <si>
    <r>
      <rPr>
        <b/>
        <sz val="11"/>
        <color theme="0"/>
        <rFont val="微软雅黑"/>
        <family val="2"/>
        <charset val="134"/>
      </rPr>
      <t>数量</t>
    </r>
    <r>
      <rPr>
        <b/>
        <sz val="11"/>
        <color theme="0"/>
        <rFont val="Arial"/>
        <family val="2"/>
      </rPr>
      <t>Quantity</t>
    </r>
  </si>
  <si>
    <r>
      <rPr>
        <b/>
        <sz val="11"/>
        <color theme="0"/>
        <rFont val="黑体"/>
        <family val="3"/>
        <charset val="134"/>
      </rPr>
      <t>币种</t>
    </r>
    <r>
      <rPr>
        <b/>
        <sz val="11"/>
        <color theme="0"/>
        <rFont val="Arial"/>
        <family val="2"/>
      </rPr>
      <t>Currency</t>
    </r>
  </si>
  <si>
    <r>
      <rPr>
        <b/>
        <sz val="11"/>
        <color theme="0"/>
        <rFont val="黑体"/>
        <family val="3"/>
        <charset val="134"/>
      </rPr>
      <t>物料单价</t>
    </r>
    <r>
      <rPr>
        <b/>
        <sz val="11"/>
        <color theme="0"/>
        <rFont val="Arial"/>
        <family val="2"/>
      </rPr>
      <t>Material unit price</t>
    </r>
  </si>
  <si>
    <r>
      <rPr>
        <b/>
        <sz val="11"/>
        <color theme="0"/>
        <rFont val="黑体"/>
        <family val="3"/>
        <charset val="134"/>
      </rPr>
      <t>物料总价</t>
    </r>
    <r>
      <rPr>
        <b/>
        <sz val="11"/>
        <color theme="0"/>
        <rFont val="Arial"/>
        <family val="2"/>
      </rPr>
      <t>Total price of materials</t>
    </r>
  </si>
  <si>
    <r>
      <rPr>
        <b/>
        <sz val="11"/>
        <color rgb="FFFFFFFF"/>
        <rFont val="微软雅黑"/>
        <family val="2"/>
        <charset val="134"/>
      </rPr>
      <t>转售后</t>
    </r>
    <r>
      <rPr>
        <b/>
        <sz val="11"/>
        <color rgb="FFFFFFFF"/>
        <rFont val="Arial"/>
        <family val="2"/>
      </rPr>
      <t>Cedit
After-sale credit</t>
    </r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</si>
  <si>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</si>
  <si>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</si>
  <si>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t>CM单号
Credit number</t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</si>
  <si>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</si>
  <si>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</si>
  <si>
    <r>
      <rPr>
        <b/>
        <sz val="11"/>
        <color rgb="FFFFFFFF"/>
        <rFont val="Arial"/>
        <family val="2"/>
      </rP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</si>
  <si>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</si>
  <si>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</si>
  <si>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</si>
  <si>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</si>
  <si>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</si>
  <si>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</si>
  <si>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</si>
  <si>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</si>
  <si>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</si>
  <si>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</si>
  <si>
    <t>案例号（Case Number）</t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</si>
  <si>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Distributor Name</t>
    </r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</si>
  <si>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Distributor Account</t>
    </r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</si>
  <si>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</si>
  <si>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</si>
  <si>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</si>
  <si>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</si>
  <si>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</si>
  <si>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</si>
  <si>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</si>
  <si>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</si>
  <si>
    <t>DronePro Comercio e Assistencia Tecnica Ltda</t>
  </si>
  <si>
    <t>HUADA-agras</t>
  </si>
  <si>
    <t>HUADA-agras</t>
    <phoneticPr fontId="3" type="noConversion"/>
  </si>
  <si>
    <t>This item is not involved this time</t>
  </si>
  <si>
    <t>FQFO251128000367</t>
  </si>
  <si>
    <t>FWRC251127000169</t>
  </si>
  <si>
    <t>FQFO251128000142</t>
  </si>
  <si>
    <t>FWRC251128000220</t>
  </si>
  <si>
    <t>FQFO251128000134</t>
  </si>
  <si>
    <t>FWRC251128000222</t>
  </si>
  <si>
    <t>FQFO251128000114</t>
  </si>
  <si>
    <t>Horizont Drones</t>
  </si>
  <si>
    <t>FWRC251128000228</t>
  </si>
  <si>
    <t>FQFO251128000072</t>
  </si>
  <si>
    <t>FWRC251127000160</t>
  </si>
  <si>
    <t>FQFO251127000181</t>
  </si>
  <si>
    <t>FWRC251127000251</t>
  </si>
  <si>
    <t>FQFO251127000121</t>
  </si>
  <si>
    <t>DNT - Drone Norte -Uruara</t>
  </si>
  <si>
    <t>FWRC251127000268</t>
  </si>
  <si>
    <t>FQFO251126000449</t>
  </si>
  <si>
    <t>FWRC251126000287</t>
  </si>
  <si>
    <t>FQFO251126000361</t>
  </si>
  <si>
    <t>FWRC251126000297</t>
  </si>
  <si>
    <t>FQFO251126000294</t>
  </si>
  <si>
    <t>FWRC251125000245</t>
  </si>
  <si>
    <t>FQFO251126000278</t>
  </si>
  <si>
    <t>FWRC251125000247</t>
  </si>
  <si>
    <t>FQFO251126000266</t>
  </si>
  <si>
    <t>FWRC251125000249</t>
  </si>
  <si>
    <t>FQFO251126000222</t>
  </si>
  <si>
    <t>AGROGEO COMERCIO E SERVICOS DE ENG E CONSULT FLORESTAL LTDA</t>
  </si>
  <si>
    <t>FWRC251126000253</t>
  </si>
  <si>
    <t>FQFO251125000438</t>
  </si>
  <si>
    <t>FWRC251124000174</t>
  </si>
  <si>
    <t>FQFO251125000336</t>
  </si>
  <si>
    <t>FWRC251124000186</t>
  </si>
  <si>
    <t>FQFO251125000236</t>
  </si>
  <si>
    <t>RURAL DRONE</t>
  </si>
  <si>
    <t>FWRC251125000201</t>
  </si>
  <si>
    <t>FQFO251124000028</t>
  </si>
  <si>
    <t>VRJ COMERCIO DE DRONES</t>
  </si>
  <si>
    <t>FWRC251114000212</t>
  </si>
  <si>
    <t>FQFO251120000763</t>
  </si>
  <si>
    <t>FWRC250618000314</t>
  </si>
  <si>
    <t>FQFO251120000738</t>
  </si>
  <si>
    <t>FWRC251120000196</t>
  </si>
  <si>
    <t>FQFO251120000620</t>
  </si>
  <si>
    <t>FWRC251119000139</t>
  </si>
  <si>
    <t>FQFO251119000167</t>
  </si>
  <si>
    <t>FWRC251119000243</t>
  </si>
  <si>
    <t>FQFO251118000296</t>
  </si>
  <si>
    <t>FWRC251118000190</t>
  </si>
  <si>
    <t>FQFO251118000294</t>
  </si>
  <si>
    <t>FWRC251118000191</t>
  </si>
  <si>
    <t>FQFO251118000274</t>
  </si>
  <si>
    <t>FWRC251118000198</t>
  </si>
  <si>
    <t>FQFO251118000097</t>
  </si>
  <si>
    <t>FWRC251117000176</t>
  </si>
  <si>
    <t>FQFO251114000272</t>
  </si>
  <si>
    <t>AgroTerra</t>
  </si>
  <si>
    <t>FWRC251108000217</t>
  </si>
  <si>
    <t>FQFO251114000085</t>
  </si>
  <si>
    <t>FWRC251112000219</t>
  </si>
  <si>
    <t>FQFO251113000611</t>
  </si>
  <si>
    <t>FWRC251112000225</t>
  </si>
  <si>
    <t>FQFO251111000488</t>
  </si>
  <si>
    <t>FWRC251031000215</t>
  </si>
  <si>
    <t>FQFO251111000465</t>
  </si>
  <si>
    <t>FWRC251111000182</t>
  </si>
  <si>
    <t>FQFO251110000363</t>
  </si>
  <si>
    <t>VETTORIZE DRONES</t>
  </si>
  <si>
    <t>FWRC251108000003</t>
  </si>
  <si>
    <t>FQFO251110000318</t>
  </si>
  <si>
    <t>FWRC251107000171</t>
  </si>
  <si>
    <t>FQFO251110000168</t>
  </si>
  <si>
    <t>FWRC251107000185</t>
  </si>
  <si>
    <t>FQFO251110000090</t>
  </si>
  <si>
    <t>FWRC251107000193</t>
  </si>
  <si>
    <t>FQFO251107000295</t>
  </si>
  <si>
    <t>FWRC251021000213</t>
  </si>
  <si>
    <t>FQFO251107000140</t>
  </si>
  <si>
    <t>FWRC250611000215</t>
  </si>
  <si>
    <t>FQFO251106000452</t>
  </si>
  <si>
    <t>DRONE NORTE</t>
  </si>
  <si>
    <t>FWRC251105000306</t>
  </si>
  <si>
    <t>FQFO251106000382</t>
  </si>
  <si>
    <t>FWRC251017000245</t>
  </si>
  <si>
    <t>FQFO251106000318</t>
  </si>
  <si>
    <t>FWRC251104000154</t>
  </si>
  <si>
    <t>FQFO251106000248</t>
  </si>
  <si>
    <t>FWRC251105000255</t>
  </si>
  <si>
    <t>FQFO251106000077</t>
  </si>
  <si>
    <t>FWRC251105000222</t>
  </si>
  <si>
    <t>FQFO251106000061</t>
  </si>
  <si>
    <t>FWRC251105000292</t>
  </si>
  <si>
    <t>FQFO251106000052</t>
  </si>
  <si>
    <t>FWRC251105000279</t>
  </si>
  <si>
    <t>FQFO251106000001</t>
  </si>
  <si>
    <t>FWRC251104000192</t>
  </si>
  <si>
    <t>FQFO251105000404</t>
  </si>
  <si>
    <t>FWRC251104000169</t>
  </si>
  <si>
    <t>FQFO251105000299</t>
  </si>
  <si>
    <t>FWRC251105000239</t>
  </si>
  <si>
    <t>FQFO251105000285</t>
  </si>
  <si>
    <t>FWRC251105000247</t>
  </si>
  <si>
    <t>FQFO251105000241</t>
  </si>
  <si>
    <t>TERRA TECH COMERCIO DE EQUIPAMENTOS E TREINAMENTOS LTDA</t>
  </si>
  <si>
    <t>FWRC251105000241</t>
  </si>
  <si>
    <t>FQFO251105000237</t>
  </si>
  <si>
    <t>FWRC251105000257</t>
  </si>
  <si>
    <t>FQFO251105000227</t>
  </si>
  <si>
    <t>FWRC251104000156</t>
  </si>
  <si>
    <t>FQFO251105000213</t>
  </si>
  <si>
    <t>FWRC251105000224</t>
  </si>
  <si>
    <t>FQFO251105000197</t>
  </si>
  <si>
    <t>FWRC251105000264</t>
  </si>
  <si>
    <t>FQFO251105000064</t>
  </si>
  <si>
    <t>FWRC251104000159</t>
  </si>
  <si>
    <t>FQFO251105000054</t>
  </si>
  <si>
    <t>FWRC251104000164</t>
  </si>
  <si>
    <t>FQFO251105000052</t>
  </si>
  <si>
    <t>FWRC251104000165</t>
  </si>
  <si>
    <t>FQFO251104000407</t>
  </si>
  <si>
    <t>FWRC251104000190</t>
  </si>
  <si>
    <t>FQFO251103000228</t>
  </si>
  <si>
    <t>FWRC251101000192</t>
  </si>
  <si>
    <t>FQFO251103000065</t>
  </si>
  <si>
    <t>FWRC250925000163</t>
  </si>
  <si>
    <t>FQAO251218000002</t>
  </si>
  <si>
    <t>PARAÍSO DOS DRONES</t>
  </si>
  <si>
    <t>FWRC251120000186</t>
  </si>
  <si>
    <t>FWRC251120000189</t>
  </si>
  <si>
    <t>FWRC251119000242</t>
  </si>
  <si>
    <t>FWRC251111000178</t>
  </si>
  <si>
    <t>FQFO251128000368</t>
  </si>
  <si>
    <t>FQFO251128000143</t>
  </si>
  <si>
    <t>FQFO251128000135</t>
  </si>
  <si>
    <t>FQFO251128000115</t>
  </si>
  <si>
    <t>FQFO251128000073</t>
  </si>
  <si>
    <t>.</t>
  </si>
  <si>
    <t>FQFO251127000182</t>
  </si>
  <si>
    <t>FQFO251127000122</t>
  </si>
  <si>
    <t>FQFO251126000450</t>
  </si>
  <si>
    <t>FQFO251126000362</t>
  </si>
  <si>
    <t>FQFO251126000295</t>
  </si>
  <si>
    <t>FQFO251126000279</t>
  </si>
  <si>
    <t>FQFO251126000267</t>
  </si>
  <si>
    <t>FQFO251126000223</t>
  </si>
  <si>
    <t>FQFO251125000439</t>
  </si>
  <si>
    <t>FQFO251125000337</t>
  </si>
  <si>
    <t>FQFO251125000237</t>
  </si>
  <si>
    <t>FQFO251124000029</t>
  </si>
  <si>
    <t>FQFO251120000764</t>
  </si>
  <si>
    <t>FQFO251120000739</t>
  </si>
  <si>
    <t>FQFO251120000621</t>
  </si>
  <si>
    <t>FQFO251119000168</t>
  </si>
  <si>
    <t>FQFO251118000297</t>
  </si>
  <si>
    <t>FQFO251118000295</t>
  </si>
  <si>
    <t>FQFO251118000275</t>
  </si>
  <si>
    <t>FQFO251118000098</t>
  </si>
  <si>
    <t>FQFO251114000273</t>
  </si>
  <si>
    <t>FQFO251114000086</t>
  </si>
  <si>
    <t>FQFO251111000489</t>
  </si>
  <si>
    <t>FQFO251111000466</t>
  </si>
  <si>
    <t>FQFO251110000364</t>
  </si>
  <si>
    <t>FQFO251110000319</t>
  </si>
  <si>
    <t>FQFO251110000169</t>
  </si>
  <si>
    <t>FQFO251110000091</t>
  </si>
  <si>
    <t>FQFO251107000296</t>
  </si>
  <si>
    <t>FQFO251107000141</t>
  </si>
  <si>
    <t>FQFO251106000453</t>
  </si>
  <si>
    <t>FQFO251106000383</t>
  </si>
  <si>
    <t>FQFO251106000319</t>
  </si>
  <si>
    <t>FQFO251106000249</t>
  </si>
  <si>
    <t>FQFO251106000078</t>
  </si>
  <si>
    <t>FQFO251106000062</t>
  </si>
  <si>
    <t>FQFO251106000053</t>
  </si>
  <si>
    <t>FQFO251106000002</t>
  </si>
  <si>
    <t>FQFO251105000405</t>
  </si>
  <si>
    <t>FQFO251105000300</t>
  </si>
  <si>
    <t>FQFO251105000286</t>
  </si>
  <si>
    <t>FQFO251105000242</t>
  </si>
  <si>
    <t>FQFO251105000238</t>
  </si>
  <si>
    <t>FQFO251105000228</t>
  </si>
  <si>
    <t>FQFO251105000214</t>
  </si>
  <si>
    <t>FQFO251105000198</t>
  </si>
  <si>
    <t>FQFO251105000065</t>
  </si>
  <si>
    <t>FQFO251105000055</t>
  </si>
  <si>
    <t>FQFO251105000053</t>
  </si>
  <si>
    <t>FQFO251104000408</t>
  </si>
  <si>
    <t>FQFO251103000229</t>
  </si>
  <si>
    <t>FQFO251103000066</t>
  </si>
  <si>
    <t>FQAO251218000003</t>
  </si>
  <si>
    <t>BC.AG.SS000716.01</t>
  </si>
  <si>
    <t>【大播撒】减速箱组件</t>
  </si>
  <si>
    <t>BC.AG.SS000677.01</t>
  </si>
  <si>
    <t>【T50/T25】补光灯组件</t>
  </si>
  <si>
    <t>BC.AG.SS000690.01</t>
  </si>
  <si>
    <t>【T50/T25】喷洒电源模块</t>
  </si>
  <si>
    <t>BC.AG.SS000727.02</t>
  </si>
  <si>
    <t>DB1560 智能飞行电池上盖组件（已加密）</t>
  </si>
  <si>
    <t>BC.AG.SS000838.01</t>
  </si>
  <si>
    <t>【T50/T25】航电模块L</t>
  </si>
  <si>
    <t>BC.AG.SS000706.02</t>
  </si>
  <si>
    <t>【T25】10028动力电机</t>
  </si>
  <si>
    <t>BC.AG.SS000706.01</t>
  </si>
  <si>
    <t>BC.AG.SS000700.01</t>
  </si>
  <si>
    <t>【T50/T25】电调模块</t>
  </si>
  <si>
    <t>BC.AG.SS000835.01</t>
  </si>
  <si>
    <t>DB1560 智能飞行电池上盖组件</t>
  </si>
  <si>
    <t>BC.AG.SS000720.01</t>
  </si>
  <si>
    <t>T50 DC-DC电源模块（OLT）</t>
  </si>
  <si>
    <t>BC.AG.SS000728.01</t>
  </si>
  <si>
    <t>DB800 智能飞行电池上盖组件</t>
  </si>
  <si>
    <t>BC.AG.SS000939.02.F</t>
  </si>
  <si>
    <t>【T50/T25】前雷达模块</t>
  </si>
  <si>
    <t>BC.AG.SS000940.02.F</t>
  </si>
  <si>
    <t>【T50/T25】后雷达模块</t>
  </si>
  <si>
    <t>BC.AG.SS000617.01</t>
  </si>
  <si>
    <t>【T40/T20P】航电模块L</t>
  </si>
  <si>
    <t>BC.AG.SS000927.01</t>
  </si>
  <si>
    <t>流量计组件（含信号线）</t>
  </si>
  <si>
    <t>CP.AG.00000579.01</t>
  </si>
  <si>
    <t>【T40充电器】T40 DC-DC电源模块（HJ）（不含输出线）</t>
  </si>
  <si>
    <t>BC.AG.SS000724.01</t>
  </si>
  <si>
    <t>C10000 P2智能充电器 AC-DC电源模块</t>
  </si>
  <si>
    <t>YC.DZ.BC000062.01</t>
  </si>
  <si>
    <t>T30/T10充电器电源模块（HJ）</t>
  </si>
  <si>
    <t>BC.AG.SS000877.01</t>
  </si>
  <si>
    <t>夜航灯</t>
  </si>
  <si>
    <t>YC.JG.ZS003496.03</t>
  </si>
  <si>
    <t>【小播撒】料箱盖</t>
  </si>
  <si>
    <t>BC.AG.SS000592.02</t>
  </si>
  <si>
    <t>【T50&amp;T25遥控器】核心板组件</t>
  </si>
  <si>
    <t>BC.AG.SS000405.01</t>
  </si>
  <si>
    <t>T30 充电器管家板组件</t>
  </si>
  <si>
    <t>YC.XC.XX001012.07</t>
  </si>
  <si>
    <t>【T50/T25】后雷达信号线</t>
  </si>
  <si>
    <t>BC.AG.SS000756.01</t>
  </si>
  <si>
    <t>CP.AG.00000277.01</t>
  </si>
  <si>
    <t>BC.AG.SS001026.01</t>
  </si>
  <si>
    <t>双目鱼眼视觉（含信号线）</t>
  </si>
  <si>
    <t>BC.AG.SS000702.01</t>
  </si>
  <si>
    <t>【T25】M1机臂（右前）</t>
  </si>
  <si>
    <t>YC.JG.ZS003493.04</t>
  </si>
  <si>
    <t>【T50/T25】雷达左支撑</t>
  </si>
  <si>
    <t>YC.JG.YZ000672.04</t>
  </si>
  <si>
    <t>【T50/T25】前雷达底座</t>
  </si>
  <si>
    <t>YC.JG.ZS003466.07</t>
  </si>
  <si>
    <t>【T50/T25】脚架固定件（左后）</t>
  </si>
  <si>
    <t>YC.JG.ZS003552.02</t>
  </si>
  <si>
    <t>【T25】正桨（CCW）</t>
  </si>
  <si>
    <t>YC.JG.BJ001760.06</t>
  </si>
  <si>
    <t>【T25】脚架铝管</t>
  </si>
  <si>
    <t>YC.JG.QX002996.03</t>
  </si>
  <si>
    <t>【T25】电机座</t>
  </si>
  <si>
    <t>YC.JG.ZS003387.06</t>
  </si>
  <si>
    <t>【T50/T25】前壳主体</t>
  </si>
  <si>
    <t>YC.JG.ZS003553.02</t>
  </si>
  <si>
    <t>【T25】反桨（CW）</t>
  </si>
  <si>
    <t>BC.AG.SS000565.01</t>
  </si>
  <si>
    <t>【T40/T20P】离心电机</t>
  </si>
  <si>
    <t>BC.AG.SS000694.01</t>
  </si>
  <si>
    <t>【T50/T25】RTK天线组件</t>
  </si>
  <si>
    <t>BC.AG.PP000354.01</t>
  </si>
  <si>
    <t>【T50/T25】气压计组件</t>
  </si>
  <si>
    <t>YC.JG.ZS003400.09</t>
  </si>
  <si>
    <t>【T25】喷杆外壳</t>
  </si>
  <si>
    <t>YC.JG.CS000017.08</t>
  </si>
  <si>
    <t>【T25】水箱（20L）</t>
  </si>
  <si>
    <t>YC.JG.FP000027.03</t>
  </si>
  <si>
    <t>【T25】电机保护罩</t>
  </si>
  <si>
    <t>YC.QT.QT000167.02</t>
  </si>
  <si>
    <t>【T50/T25】气压计防水透气膜</t>
  </si>
  <si>
    <t>YC.SJ.WS002423.02</t>
  </si>
  <si>
    <t>【T50/T25】水箱盖箍环</t>
  </si>
  <si>
    <t>YC.JG.ZS002251.03</t>
  </si>
  <si>
    <t>【T50/T25】水箱盖</t>
  </si>
  <si>
    <t>YC.XC.XX001002.04</t>
  </si>
  <si>
    <t>【T50/T25】喷洒一分四信号线</t>
  </si>
  <si>
    <t>YC.XC.XX001001.04</t>
  </si>
  <si>
    <t>【T50/T25】喷洒转接线</t>
  </si>
  <si>
    <t>BC.AG.SS000752.01</t>
  </si>
  <si>
    <t>【T50/T25】喷杆螺母</t>
  </si>
  <si>
    <t>BC.AG.SS000703.01</t>
  </si>
  <si>
    <t>【T25】M2机臂（左前）</t>
  </si>
  <si>
    <t>YC.JG.MY000731.02</t>
  </si>
  <si>
    <t>【大播撒/小播撒】防尘罩1</t>
  </si>
  <si>
    <t>YC.JG.ZS002291.09</t>
  </si>
  <si>
    <t>【T25】喷杆固定座</t>
  </si>
  <si>
    <t>YC.JG.ZS003452.04</t>
  </si>
  <si>
    <t>【T50/T25】外壳侧盖</t>
  </si>
  <si>
    <t>YC.XC.XX001110.01</t>
  </si>
  <si>
    <t>【小播撒】播撒总信号线</t>
  </si>
  <si>
    <t>BC.AG.SS000679.01</t>
  </si>
  <si>
    <t>【T25】分线板模块</t>
  </si>
  <si>
    <t>YC.JG.ZS003397.05</t>
  </si>
  <si>
    <t>【T50/T25】后壳主体</t>
  </si>
  <si>
    <t>YC.JG.ZS003412.04</t>
  </si>
  <si>
    <t>【T25】机臂固定件（左）</t>
  </si>
  <si>
    <t>YC.JG.QX002088.03</t>
  </si>
  <si>
    <t>【T50/T25】锁紧扣连杆</t>
  </si>
  <si>
    <t>YC.JG.QX002089.01</t>
  </si>
  <si>
    <t>【T50/T25】锁紧扣机臂转轴</t>
  </si>
  <si>
    <t>YC.XC.XX000994.03</t>
  </si>
  <si>
    <t>【T25】前离心供电线</t>
  </si>
  <si>
    <t>YC.XC.XX000998.03</t>
  </si>
  <si>
    <t>【T25】互联油门线</t>
  </si>
  <si>
    <t>YC.XC.DD000574.05</t>
  </si>
  <si>
    <t>【T25】M3&amp;M4机臂电调复合线</t>
  </si>
  <si>
    <t>BC.AG.SS000701.02</t>
  </si>
  <si>
    <t>【T50/T25】锁紧卡扣组件</t>
  </si>
  <si>
    <t>BC.AG.SS000705.01</t>
  </si>
  <si>
    <t>【T25】M4机臂（右后）</t>
  </si>
  <si>
    <t>YC.JG.ZS003386.06</t>
  </si>
  <si>
    <t>【T50/T25】前壳前盖</t>
  </si>
  <si>
    <t>YC.JG.QX003012.03</t>
  </si>
  <si>
    <t>【T50/T25】锁紧扣手柄</t>
  </si>
  <si>
    <t>YC.JG.LD000041.02</t>
  </si>
  <si>
    <t>【T50/T25】锁紧扣固定螺栓</t>
  </si>
  <si>
    <t>YC.JG.CS000022.10</t>
  </si>
  <si>
    <t>【小播撒】料箱（35L）</t>
  </si>
  <si>
    <t>BC.AG.SS000689.01</t>
  </si>
  <si>
    <t>【T25】机框组件</t>
  </si>
  <si>
    <t>BC.AG.SS000695.02</t>
  </si>
  <si>
    <t>【T25】分电板模块</t>
  </si>
  <si>
    <t>BC.AG.SS000719.01</t>
  </si>
  <si>
    <t>【小播撒】甩盘主体</t>
  </si>
  <si>
    <t>YC.JG.ZS003396.06</t>
  </si>
  <si>
    <t>【T50/T25】后壳后盖</t>
  </si>
  <si>
    <t>YC.JG.ZS003400.08</t>
  </si>
  <si>
    <t>YC.XC.TT000133.02</t>
  </si>
  <si>
    <t>【T25】RTK同轴线</t>
  </si>
  <si>
    <t>YC.JG.QX003085.04</t>
  </si>
  <si>
    <t>【大播撒/小播撒】播撒法兰</t>
  </si>
  <si>
    <t>BC.AG.SS000606.01</t>
  </si>
  <si>
    <t>【小播撒】减速箱组件</t>
  </si>
  <si>
    <t>YC.JG.MY000387.01</t>
  </si>
  <si>
    <t>【大播撒/小播撒】电机防尘罩</t>
  </si>
  <si>
    <t>YC.XC.DD000577.03</t>
  </si>
  <si>
    <t>【T25】前机臂电调电源转接线</t>
  </si>
  <si>
    <t>YC.JG.ZS003464.07</t>
  </si>
  <si>
    <t>【T50/T25】脚架固定件（右前）</t>
  </si>
  <si>
    <t>YC.JG.ZS003443.06</t>
  </si>
  <si>
    <t>【T50/T25】后壳下盖</t>
  </si>
  <si>
    <t>BC.AG.SS000409.01</t>
  </si>
  <si>
    <t>【小播撒】控制模块</t>
  </si>
  <si>
    <t>YC.JG.ZS003496.04</t>
  </si>
  <si>
    <t>YC.XC.DD000575.05</t>
  </si>
  <si>
    <t>【T25】M1&amp;M2机臂电调复合线</t>
  </si>
  <si>
    <t>YC.XC.XX001010.05</t>
  </si>
  <si>
    <t>【T25】互联通信线</t>
  </si>
  <si>
    <t>BC.AG.SS000411.01</t>
  </si>
  <si>
    <t>【小播撒】舵机组件</t>
  </si>
  <si>
    <t>BC.AG.SS000668.02</t>
  </si>
  <si>
    <t>【T50】10033动力电机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</si>
</sst>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黑体"/>
      <family val="3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60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7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4" fontId="6" fillId="0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22" fontId="0" fillId="0" borderId="0" xfId="0" applyNumberFormat="1"/>
    <xf numFmtId="0" fontId="17" fillId="0" borderId="0" xfId="0" applyFont="1"/>
    <xf numFmtId="0" fontId="18" fillId="8" borderId="0" xfId="0" applyNumberFormat="1" applyFont="1" applyFill="1" applyBorder="1" applyAlignment="1">
      <alignment horizontal="center" vertical="center" wrapText="1"/>
    </xf>
    <xf numFmtId="0" fontId="18" fillId="2" borderId="0" xfId="0" applyNumberFormat="1" applyFont="1" applyFill="1" applyBorder="1" applyAlignment="1">
      <alignment horizontal="center" vertical="center" wrapText="1"/>
    </xf>
    <xf numFmtId="176" fontId="16" fillId="0" borderId="0" xfId="0" applyNumberFormat="1" applyFont="1"/>
    <xf numFmtId="0" fontId="2" fillId="0" borderId="0" xfId="0" applyFont="1"/>
    <xf numFmtId="0" fontId="21" fillId="9" borderId="0" xfId="0" applyFont="1" applyFill="1" applyBorder="1" applyAlignment="1">
      <alignment horizontal="center" vertical="center" wrapText="1"/>
    </xf>
    <xf numFmtId="177" fontId="21" fillId="9" borderId="0" xfId="0" applyNumberFormat="1" applyFont="1" applyFill="1" applyBorder="1" applyAlignment="1">
      <alignment horizontal="right" vertical="center" wrapText="1"/>
    </xf>
    <xf numFmtId="0" fontId="21" fillId="10" borderId="0" xfId="0" applyFont="1" applyFill="1" applyBorder="1" applyAlignment="1">
      <alignment horizontal="center" vertical="center" wrapText="1"/>
    </xf>
    <xf numFmtId="0" fontId="23" fillId="9" borderId="0" xfId="0" applyFont="1" applyFill="1" applyBorder="1" applyAlignment="1">
      <alignment horizontal="center" vertical="center" wrapText="1"/>
    </xf>
    <xf numFmtId="178" fontId="21" fillId="10" borderId="0" xfId="0" applyNumberFormat="1" applyFont="1" applyFill="1" applyBorder="1" applyAlignment="1">
      <alignment horizontal="center" vertical="center" wrapText="1"/>
    </xf>
    <xf numFmtId="14" fontId="21" fillId="1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77" fontId="25" fillId="0" borderId="0" xfId="0" applyNumberFormat="1" applyFont="1" applyAlignment="1">
      <alignment horizontal="right" vertical="center"/>
    </xf>
    <xf numFmtId="14" fontId="0" fillId="0" borderId="0" xfId="0" applyNumberFormat="1"/>
    <xf numFmtId="0" fontId="5" fillId="5" borderId="6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</cellXfs>
  <cellStyles count="3">
    <cellStyle name="常规" xfId="0" builtinId="0"/>
    <cellStyle name="常规 3 2 2 2" xfId="1" xr:uid="{AAE7C5B0-606D-4C16-9F62-34B9BDEF7ED1}"/>
    <cellStyle name="常规 4 2 2" xfId="2" xr:uid="{F31A0D64-0425-4262-9E6E-CD42584E4BBB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8F72-BB99-4438-98D1-C1B5B7EC54E0}">
  <sheetPr codeName="Sheet4"/>
  <dimension ref="B1:F17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2" customWidth="1"/>
    <col min="2" max="2" width="20.375" style="2" customWidth="1"/>
    <col min="3" max="3" width="8.875" style="2" customWidth="1"/>
    <col min="4" max="4" width="32.875" style="2" customWidth="1"/>
    <col min="5" max="5" width="16.875" style="2" customWidth="1"/>
    <col min="6" max="6" width="54.375" style="2" customWidth="1"/>
    <col min="7" max="7" width="17.75" style="2" customWidth="1"/>
    <col min="8" max="16384" width="9" style="2"/>
  </cols>
  <sheetData>
    <row r="1" spans="2:6" ht="13.5" customHeight="1" x14ac:dyDescent="0.2"/>
    <row r="2" spans="2:6" ht="46.5" customHeight="1" x14ac:dyDescent="0.2">
      <c r="B2" s="48" t="s">
        <v>2</v>
      </c>
      <c r="C2" s="49"/>
      <c r="D2" s="49"/>
      <c r="E2" s="49"/>
      <c r="F2" s="50"/>
    </row>
    <row r="3" spans="2:6" ht="18.75" customHeight="1" x14ac:dyDescent="0.2">
      <c r="B3" s="3" t="s">
        <v>3</v>
      </c>
      <c r="C3" s="51" t="s">
        <v>90</v>
      </c>
      <c r="D3" s="52"/>
      <c r="E3" s="3" t="s">
        <v>4</v>
      </c>
      <c r="F3" s="4" t="s">
        <v>92</v>
      </c>
    </row>
    <row r="4" spans="2:6" ht="18" x14ac:dyDescent="0.2">
      <c r="B4" s="53" t="s">
        <v>5</v>
      </c>
      <c r="C4" s="54"/>
      <c r="D4" s="55"/>
      <c r="E4" s="5" t="s">
        <v>6</v>
      </c>
      <c r="F4" s="6" t="s">
        <v>7</v>
      </c>
    </row>
    <row r="5" spans="2:6" ht="16.899999999999999" customHeight="1" x14ac:dyDescent="0.2">
      <c r="B5" s="7" t="s">
        <v>8</v>
      </c>
      <c r="C5" s="8">
        <v>1</v>
      </c>
      <c r="D5" s="9" t="s">
        <v>9</v>
      </c>
      <c r="E5" s="10">
        <f>SUMIF('Accessories discount'!C:C,F3,'Accessories discount'!M:M)</f>
        <v>0</v>
      </c>
      <c r="F5" s="11"/>
    </row>
    <row r="6" spans="2:6" ht="16.899999999999999" customHeight="1" x14ac:dyDescent="0.2">
      <c r="B6" s="56" t="s">
        <v>10</v>
      </c>
      <c r="C6" s="57"/>
      <c r="D6" s="58"/>
      <c r="E6" s="10">
        <f>E5</f>
        <v>0</v>
      </c>
      <c r="F6" s="12"/>
    </row>
    <row r="7" spans="2:6" ht="16.899999999999999" customHeight="1" x14ac:dyDescent="0.2">
      <c r="B7" s="59" t="s">
        <v>11</v>
      </c>
      <c r="C7" s="13">
        <v>1</v>
      </c>
      <c r="D7" s="9" t="s">
        <v>12</v>
      </c>
      <c r="E7" s="10">
        <f>SUMIF('spare parts fee'!C:C,'monthly bill'!F3,'spare parts fee'!M:M)</f>
        <v>22563.23</v>
      </c>
      <c r="F7" s="12"/>
    </row>
    <row r="8" spans="2:6" ht="16.899999999999999" customHeight="1" x14ac:dyDescent="0.2">
      <c r="B8" s="59"/>
      <c r="C8" s="13">
        <v>2</v>
      </c>
      <c r="D8" s="9" t="s">
        <v>13</v>
      </c>
      <c r="E8" s="14">
        <f>SUMIF('service fee'!C:C,'monthly bill'!F3,'service fee'!M:M)</f>
        <v>634</v>
      </c>
      <c r="F8" s="12"/>
    </row>
    <row r="9" spans="2:6" ht="16.899999999999999" customHeight="1" x14ac:dyDescent="0.2">
      <c r="B9" s="59"/>
      <c r="C9" s="13">
        <v>3</v>
      </c>
      <c r="D9" s="9" t="s">
        <v>14</v>
      </c>
      <c r="E9" s="14">
        <f>SUMIF('tariff compensation'!C:C,'monthly bill'!F3,'tariff compensation'!M:M)</f>
        <v>10604.730000000001</v>
      </c>
      <c r="F9" s="12"/>
    </row>
    <row r="10" spans="2:6" ht="16.899999999999999" customHeight="1" x14ac:dyDescent="0.2">
      <c r="B10" s="59"/>
      <c r="C10" s="13">
        <v>4</v>
      </c>
      <c r="D10" s="9" t="s">
        <v>15</v>
      </c>
      <c r="E10" s="14">
        <f>SUMIF('service red-line deduction'!C:C,'monthly bill'!F3,'service red-line deduction'!M:M)</f>
        <v>0</v>
      </c>
      <c r="F10" s="12"/>
    </row>
    <row r="11" spans="2:6" ht="16.899999999999999" customHeight="1" x14ac:dyDescent="0.2">
      <c r="B11" s="59"/>
      <c r="C11" s="13">
        <v>5</v>
      </c>
      <c r="D11" s="9" t="s">
        <v>16</v>
      </c>
      <c r="E11" s="14">
        <f>SUMIF('bad parts deduction'!C:C,'monthly bill'!F3,'bad parts deduction'!M:M)</f>
        <v>0</v>
      </c>
      <c r="F11" s="12"/>
    </row>
    <row r="12" spans="2:6" ht="16.899999999999999" customHeight="1" x14ac:dyDescent="0.2">
      <c r="B12" s="59"/>
      <c r="C12" s="13">
        <v>6</v>
      </c>
      <c r="D12" s="9" t="s">
        <v>17</v>
      </c>
      <c r="E12" s="14">
        <f>SUMIF('other compensation'!C:C,'monthly bill'!F3,'other compensation'!M:M)</f>
        <v>0</v>
      </c>
      <c r="F12" s="12"/>
    </row>
    <row r="13" spans="2:6" ht="16.899999999999999" customHeight="1" x14ac:dyDescent="0.2">
      <c r="B13" s="59"/>
      <c r="C13" s="13">
        <v>7</v>
      </c>
      <c r="D13" s="9" t="s">
        <v>18</v>
      </c>
      <c r="E13" s="14">
        <f>SUMIF('DOA to CM'!J:J,'monthly bill'!F3,'DOA to CM'!B:B)</f>
        <v>0</v>
      </c>
      <c r="F13" s="12"/>
    </row>
    <row r="14" spans="2:6" ht="16.899999999999999" customHeight="1" x14ac:dyDescent="0.2">
      <c r="B14" s="56" t="s">
        <v>19</v>
      </c>
      <c r="C14" s="57"/>
      <c r="D14" s="58"/>
      <c r="E14" s="14">
        <f>E7+E8+E10+E11+E12+E13+E9</f>
        <v>33801.96</v>
      </c>
      <c r="F14" s="12"/>
    </row>
    <row r="15" spans="2:6" ht="16.5" x14ac:dyDescent="0.2">
      <c r="B15" s="42" t="s">
        <v>20</v>
      </c>
      <c r="C15" s="43"/>
      <c r="D15" s="44"/>
      <c r="E15" s="15">
        <f>E14+E6</f>
        <v>33801.96</v>
      </c>
      <c r="F15" s="12" t="s">
        <v>21</v>
      </c>
    </row>
    <row r="16" spans="2:6" s="21" customFormat="1" ht="16.5" x14ac:dyDescent="0.2">
      <c r="B16" s="16" t="s">
        <v>22</v>
      </c>
      <c r="C16" s="17">
        <v>1</v>
      </c>
      <c r="D16" s="18" t="s">
        <v>23</v>
      </c>
      <c r="E16" s="19">
        <f>SUMIF('pre-payment balance'!D:D,F3,'pre-payment balance'!K:K)</f>
        <v>0</v>
      </c>
      <c r="F16" s="20"/>
    </row>
    <row r="17" spans="2:6" s="21" customFormat="1" ht="16.5" x14ac:dyDescent="0.2">
      <c r="B17" s="45" t="s">
        <v>24</v>
      </c>
      <c r="C17" s="46"/>
      <c r="D17" s="47"/>
      <c r="E17" s="22">
        <f>E16</f>
        <v>0</v>
      </c>
      <c r="F17" s="1" t="s">
        <v>25</v>
      </c>
    </row>
  </sheetData>
  <mergeCells count="8">
    <mergeCell ref="B15:D15"/>
    <mergeCell ref="B17:D17"/>
    <mergeCell ref="B2:F2"/>
    <mergeCell ref="C3:D3"/>
    <mergeCell ref="B4:D4"/>
    <mergeCell ref="B6:D6"/>
    <mergeCell ref="B7:B13"/>
    <mergeCell ref="B14:D14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B76D-1D95-4C89-92CE-7216DDDA6672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25" t="s">
        <v>39</v>
      </c>
    </row>
    <row r="3" spans="1:17" x14ac:dyDescent="0.2">
      <c r="A3" t="s">
        <v>93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BDF6-3235-4C11-AC77-788CD2591A90}">
  <sheetPr codeName="Sheet6"/>
  <dimension ref="A1:Q64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7.375" customWidth="1"/>
    <col min="2" max="2" width="17.75" customWidth="1"/>
    <col min="3" max="3" width="15.75" customWidth="1"/>
    <col min="4" max="4" width="17.75" customWidth="1"/>
    <col min="5" max="5" width="17.875" customWidth="1"/>
    <col min="6" max="6" width="16.125" customWidth="1"/>
    <col min="7" max="7" width="20.875" customWidth="1"/>
    <col min="8" max="8" width="21.25" customWidth="1"/>
    <col min="9" max="9" width="15.5" customWidth="1"/>
    <col min="12" max="12" width="16.625" customWidth="1"/>
    <col min="13" max="13" width="15.375" customWidth="1"/>
    <col min="14" max="14" width="9.5" customWidth="1"/>
    <col min="16" max="16" width="9" customWidth="1"/>
    <col min="17" max="17" width="7.875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25" t="s">
        <v>39</v>
      </c>
    </row>
    <row r="2" spans="1:17" x14ac:dyDescent="0.2">
      <c r="A2" t="s">
        <v>94</v>
      </c>
      <c r="B2" s="27">
        <v>45989.813935185186</v>
      </c>
      <c r="C2" t="s">
        <v>91</v>
      </c>
      <c r="D2" t="s">
        <v>90</v>
      </c>
      <c r="F2" t="s">
        <v>45</v>
      </c>
      <c r="G2" t="s">
        <v>95</v>
      </c>
      <c r="H2" t="s">
        <v>46</v>
      </c>
      <c r="I2" t="s">
        <v>44</v>
      </c>
      <c r="J2" t="s">
        <v>47</v>
      </c>
      <c r="K2" t="s">
        <v>43</v>
      </c>
      <c r="L2">
        <v>358</v>
      </c>
      <c r="M2">
        <v>358</v>
      </c>
      <c r="N2">
        <v>46733.67</v>
      </c>
      <c r="Q2">
        <v>202511</v>
      </c>
    </row>
    <row r="3" spans="1:17" x14ac:dyDescent="0.2">
      <c r="A3" t="s">
        <v>96</v>
      </c>
      <c r="B3" s="27">
        <v>45989.810300925928</v>
      </c>
      <c r="C3" t="s">
        <v>91</v>
      </c>
      <c r="D3" t="s">
        <v>90</v>
      </c>
      <c r="F3" t="s">
        <v>45</v>
      </c>
      <c r="G3" t="s">
        <v>97</v>
      </c>
      <c r="H3" t="s">
        <v>46</v>
      </c>
      <c r="I3" t="s">
        <v>44</v>
      </c>
      <c r="J3" t="s">
        <v>47</v>
      </c>
      <c r="K3" t="s">
        <v>43</v>
      </c>
      <c r="L3">
        <v>149</v>
      </c>
      <c r="M3">
        <v>149</v>
      </c>
      <c r="N3">
        <v>46368.67</v>
      </c>
      <c r="Q3">
        <v>202511</v>
      </c>
    </row>
    <row r="4" spans="1:17" x14ac:dyDescent="0.2">
      <c r="A4" t="s">
        <v>98</v>
      </c>
      <c r="B4" s="27">
        <v>45989.810208333336</v>
      </c>
      <c r="C4" t="s">
        <v>91</v>
      </c>
      <c r="D4" t="s">
        <v>90</v>
      </c>
      <c r="F4" t="s">
        <v>45</v>
      </c>
      <c r="G4" t="s">
        <v>99</v>
      </c>
      <c r="H4" t="s">
        <v>46</v>
      </c>
      <c r="I4" t="s">
        <v>44</v>
      </c>
      <c r="J4" t="s">
        <v>47</v>
      </c>
      <c r="K4" t="s">
        <v>43</v>
      </c>
      <c r="L4">
        <v>27</v>
      </c>
      <c r="M4">
        <v>27</v>
      </c>
      <c r="N4">
        <v>46212.67</v>
      </c>
      <c r="Q4">
        <v>202511</v>
      </c>
    </row>
    <row r="5" spans="1:17" x14ac:dyDescent="0.2">
      <c r="A5" t="s">
        <v>100</v>
      </c>
      <c r="B5" s="27">
        <v>45989.809918981482</v>
      </c>
      <c r="C5" t="s">
        <v>91</v>
      </c>
      <c r="D5" t="s">
        <v>90</v>
      </c>
      <c r="E5" t="s">
        <v>101</v>
      </c>
      <c r="F5" t="s">
        <v>45</v>
      </c>
      <c r="G5" t="s">
        <v>102</v>
      </c>
      <c r="H5" t="s">
        <v>46</v>
      </c>
      <c r="I5" t="s">
        <v>44</v>
      </c>
      <c r="J5" t="s">
        <v>47</v>
      </c>
      <c r="K5" t="s">
        <v>43</v>
      </c>
      <c r="L5">
        <v>179</v>
      </c>
      <c r="M5">
        <v>179</v>
      </c>
      <c r="N5">
        <v>46169.67</v>
      </c>
      <c r="Q5">
        <v>202511</v>
      </c>
    </row>
    <row r="6" spans="1:17" x14ac:dyDescent="0.2">
      <c r="A6" t="s">
        <v>103</v>
      </c>
      <c r="B6" s="27">
        <v>45989.808935185189</v>
      </c>
      <c r="C6" t="s">
        <v>91</v>
      </c>
      <c r="D6" t="s">
        <v>90</v>
      </c>
      <c r="F6" t="s">
        <v>45</v>
      </c>
      <c r="G6" t="s">
        <v>104</v>
      </c>
      <c r="H6" t="s">
        <v>46</v>
      </c>
      <c r="I6" t="s">
        <v>44</v>
      </c>
      <c r="J6" t="s">
        <v>47</v>
      </c>
      <c r="K6" t="s">
        <v>43</v>
      </c>
      <c r="L6">
        <v>432</v>
      </c>
      <c r="M6">
        <v>432</v>
      </c>
      <c r="N6">
        <v>45963.67</v>
      </c>
      <c r="Q6">
        <v>202511</v>
      </c>
    </row>
    <row r="7" spans="1:17" x14ac:dyDescent="0.2">
      <c r="A7" t="s">
        <v>105</v>
      </c>
      <c r="B7" s="27">
        <v>45988.800671296296</v>
      </c>
      <c r="C7" t="s">
        <v>91</v>
      </c>
      <c r="D7" t="s">
        <v>90</v>
      </c>
      <c r="E7" t="s">
        <v>101</v>
      </c>
      <c r="F7" t="s">
        <v>45</v>
      </c>
      <c r="G7" t="s">
        <v>106</v>
      </c>
      <c r="H7" t="s">
        <v>46</v>
      </c>
      <c r="I7" t="s">
        <v>44</v>
      </c>
      <c r="J7" t="s">
        <v>47</v>
      </c>
      <c r="K7" t="s">
        <v>43</v>
      </c>
      <c r="L7">
        <v>432</v>
      </c>
      <c r="M7">
        <v>432</v>
      </c>
      <c r="N7">
        <v>45504.67</v>
      </c>
      <c r="Q7">
        <v>202511</v>
      </c>
    </row>
    <row r="8" spans="1:17" x14ac:dyDescent="0.2">
      <c r="A8" t="s">
        <v>107</v>
      </c>
      <c r="B8" s="27">
        <v>45988.799791666665</v>
      </c>
      <c r="C8" t="s">
        <v>91</v>
      </c>
      <c r="D8" t="s">
        <v>90</v>
      </c>
      <c r="E8" t="s">
        <v>108</v>
      </c>
      <c r="F8" t="s">
        <v>45</v>
      </c>
      <c r="G8" t="s">
        <v>109</v>
      </c>
      <c r="H8" t="s">
        <v>46</v>
      </c>
      <c r="I8" t="s">
        <v>44</v>
      </c>
      <c r="J8" t="s">
        <v>47</v>
      </c>
      <c r="K8" t="s">
        <v>43</v>
      </c>
      <c r="L8">
        <v>80</v>
      </c>
      <c r="M8">
        <v>80</v>
      </c>
      <c r="N8">
        <v>45065.67</v>
      </c>
      <c r="Q8">
        <v>202511</v>
      </c>
    </row>
    <row r="9" spans="1:17" x14ac:dyDescent="0.2">
      <c r="A9" t="s">
        <v>110</v>
      </c>
      <c r="B9" s="27">
        <v>45987.862326388888</v>
      </c>
      <c r="C9" t="s">
        <v>91</v>
      </c>
      <c r="D9" t="s">
        <v>90</v>
      </c>
      <c r="F9" t="s">
        <v>45</v>
      </c>
      <c r="G9" t="s">
        <v>111</v>
      </c>
      <c r="H9" t="s">
        <v>46</v>
      </c>
      <c r="I9" t="s">
        <v>44</v>
      </c>
      <c r="J9" t="s">
        <v>47</v>
      </c>
      <c r="K9" t="s">
        <v>43</v>
      </c>
      <c r="L9">
        <v>358</v>
      </c>
      <c r="M9">
        <v>358</v>
      </c>
      <c r="N9">
        <v>44978.67</v>
      </c>
      <c r="Q9">
        <v>202511</v>
      </c>
    </row>
    <row r="10" spans="1:17" x14ac:dyDescent="0.2">
      <c r="A10" t="s">
        <v>112</v>
      </c>
      <c r="B10" s="27">
        <v>45987.860960648148</v>
      </c>
      <c r="C10" t="s">
        <v>91</v>
      </c>
      <c r="D10" t="s">
        <v>90</v>
      </c>
      <c r="E10" t="s">
        <v>101</v>
      </c>
      <c r="F10" t="s">
        <v>45</v>
      </c>
      <c r="G10" t="s">
        <v>113</v>
      </c>
      <c r="H10" t="s">
        <v>46</v>
      </c>
      <c r="I10" t="s">
        <v>44</v>
      </c>
      <c r="J10" t="s">
        <v>47</v>
      </c>
      <c r="K10" t="s">
        <v>43</v>
      </c>
      <c r="L10">
        <v>374</v>
      </c>
      <c r="M10">
        <v>374</v>
      </c>
      <c r="N10">
        <v>44613.67</v>
      </c>
      <c r="Q10">
        <v>202511</v>
      </c>
    </row>
    <row r="11" spans="1:17" x14ac:dyDescent="0.2">
      <c r="A11" t="s">
        <v>114</v>
      </c>
      <c r="B11" s="27">
        <v>45987.859560185185</v>
      </c>
      <c r="C11" t="s">
        <v>91</v>
      </c>
      <c r="D11" t="s">
        <v>90</v>
      </c>
      <c r="F11" t="s">
        <v>45</v>
      </c>
      <c r="G11" t="s">
        <v>115</v>
      </c>
      <c r="H11" t="s">
        <v>46</v>
      </c>
      <c r="I11" t="s">
        <v>44</v>
      </c>
      <c r="J11" t="s">
        <v>47</v>
      </c>
      <c r="K11" t="s">
        <v>43</v>
      </c>
      <c r="L11">
        <v>224</v>
      </c>
      <c r="M11">
        <v>224</v>
      </c>
      <c r="N11">
        <v>44232.67</v>
      </c>
      <c r="Q11">
        <v>202511</v>
      </c>
    </row>
    <row r="12" spans="1:17" x14ac:dyDescent="0.2">
      <c r="A12" t="s">
        <v>116</v>
      </c>
      <c r="B12" s="27">
        <v>45987.859340277777</v>
      </c>
      <c r="C12" t="s">
        <v>91</v>
      </c>
      <c r="D12" t="s">
        <v>90</v>
      </c>
      <c r="F12" t="s">
        <v>45</v>
      </c>
      <c r="G12" t="s">
        <v>117</v>
      </c>
      <c r="H12" t="s">
        <v>46</v>
      </c>
      <c r="I12" t="s">
        <v>44</v>
      </c>
      <c r="J12" t="s">
        <v>47</v>
      </c>
      <c r="K12" t="s">
        <v>43</v>
      </c>
      <c r="L12">
        <v>358</v>
      </c>
      <c r="M12">
        <v>358</v>
      </c>
      <c r="N12">
        <v>44001.67</v>
      </c>
      <c r="Q12">
        <v>202511</v>
      </c>
    </row>
    <row r="13" spans="1:17" x14ac:dyDescent="0.2">
      <c r="A13" t="s">
        <v>118</v>
      </c>
      <c r="B13" s="27">
        <v>45987.859166666669</v>
      </c>
      <c r="C13" t="s">
        <v>91</v>
      </c>
      <c r="D13" t="s">
        <v>90</v>
      </c>
      <c r="F13" t="s">
        <v>45</v>
      </c>
      <c r="G13" t="s">
        <v>119</v>
      </c>
      <c r="H13" t="s">
        <v>46</v>
      </c>
      <c r="I13" t="s">
        <v>44</v>
      </c>
      <c r="J13" t="s">
        <v>47</v>
      </c>
      <c r="K13" t="s">
        <v>43</v>
      </c>
      <c r="L13">
        <v>358</v>
      </c>
      <c r="M13">
        <v>358</v>
      </c>
      <c r="N13">
        <v>43636.67</v>
      </c>
      <c r="Q13">
        <v>202511</v>
      </c>
    </row>
    <row r="14" spans="1:17" x14ac:dyDescent="0.2">
      <c r="A14" t="s">
        <v>120</v>
      </c>
      <c r="B14" s="27">
        <v>45987.858599537038</v>
      </c>
      <c r="C14" t="s">
        <v>91</v>
      </c>
      <c r="D14" t="s">
        <v>90</v>
      </c>
      <c r="E14" t="s">
        <v>121</v>
      </c>
      <c r="F14" t="s">
        <v>45</v>
      </c>
      <c r="G14" t="s">
        <v>122</v>
      </c>
      <c r="H14" t="s">
        <v>46</v>
      </c>
      <c r="I14" t="s">
        <v>44</v>
      </c>
      <c r="J14" t="s">
        <v>47</v>
      </c>
      <c r="K14" t="s">
        <v>43</v>
      </c>
      <c r="L14">
        <v>552</v>
      </c>
      <c r="M14">
        <v>552</v>
      </c>
      <c r="N14">
        <v>43262.67</v>
      </c>
      <c r="Q14">
        <v>202511</v>
      </c>
    </row>
    <row r="15" spans="1:17" x14ac:dyDescent="0.2">
      <c r="A15" t="s">
        <v>123</v>
      </c>
      <c r="B15" s="27">
        <v>45986.848043981481</v>
      </c>
      <c r="C15" t="s">
        <v>91</v>
      </c>
      <c r="D15" t="s">
        <v>90</v>
      </c>
      <c r="F15" t="s">
        <v>45</v>
      </c>
      <c r="G15" t="s">
        <v>124</v>
      </c>
      <c r="H15" t="s">
        <v>46</v>
      </c>
      <c r="I15" t="s">
        <v>44</v>
      </c>
      <c r="J15" t="s">
        <v>47</v>
      </c>
      <c r="K15" t="s">
        <v>43</v>
      </c>
      <c r="L15">
        <v>224</v>
      </c>
      <c r="M15">
        <v>224</v>
      </c>
      <c r="N15">
        <v>42703.67</v>
      </c>
      <c r="Q15">
        <v>202511</v>
      </c>
    </row>
    <row r="16" spans="1:17" x14ac:dyDescent="0.2">
      <c r="A16" t="s">
        <v>125</v>
      </c>
      <c r="B16" s="27">
        <v>45986.846319444441</v>
      </c>
      <c r="C16" t="s">
        <v>91</v>
      </c>
      <c r="D16" t="s">
        <v>90</v>
      </c>
      <c r="E16" t="s">
        <v>121</v>
      </c>
      <c r="F16" t="s">
        <v>45</v>
      </c>
      <c r="G16" t="s">
        <v>126</v>
      </c>
      <c r="H16" t="s">
        <v>46</v>
      </c>
      <c r="I16" t="s">
        <v>44</v>
      </c>
      <c r="J16" t="s">
        <v>47</v>
      </c>
      <c r="K16" t="s">
        <v>43</v>
      </c>
      <c r="L16">
        <v>570</v>
      </c>
      <c r="M16">
        <v>570</v>
      </c>
      <c r="N16">
        <v>42472.67</v>
      </c>
      <c r="Q16">
        <v>202511</v>
      </c>
    </row>
    <row r="17" spans="1:17" x14ac:dyDescent="0.2">
      <c r="A17" t="s">
        <v>127</v>
      </c>
      <c r="B17" s="27">
        <v>45986.844814814816</v>
      </c>
      <c r="C17" t="s">
        <v>91</v>
      </c>
      <c r="D17" t="s">
        <v>90</v>
      </c>
      <c r="E17" t="s">
        <v>128</v>
      </c>
      <c r="F17" t="s">
        <v>45</v>
      </c>
      <c r="G17" t="s">
        <v>129</v>
      </c>
      <c r="H17" t="s">
        <v>46</v>
      </c>
      <c r="I17" t="s">
        <v>44</v>
      </c>
      <c r="J17" t="s">
        <v>47</v>
      </c>
      <c r="K17" t="s">
        <v>43</v>
      </c>
      <c r="L17">
        <v>432</v>
      </c>
      <c r="M17">
        <v>432</v>
      </c>
      <c r="N17">
        <v>41875.67</v>
      </c>
      <c r="Q17">
        <v>202511</v>
      </c>
    </row>
    <row r="18" spans="1:17" x14ac:dyDescent="0.2">
      <c r="A18" t="s">
        <v>130</v>
      </c>
      <c r="B18" s="27">
        <v>45985.67324074074</v>
      </c>
      <c r="C18" t="s">
        <v>91</v>
      </c>
      <c r="D18" t="s">
        <v>90</v>
      </c>
      <c r="E18" t="s">
        <v>131</v>
      </c>
      <c r="F18" t="s">
        <v>45</v>
      </c>
      <c r="G18" t="s">
        <v>132</v>
      </c>
      <c r="H18" t="s">
        <v>46</v>
      </c>
      <c r="I18" t="s">
        <v>44</v>
      </c>
      <c r="J18" t="s">
        <v>47</v>
      </c>
      <c r="K18" t="s">
        <v>43</v>
      </c>
      <c r="L18">
        <v>522.5</v>
      </c>
      <c r="M18">
        <v>522.5</v>
      </c>
      <c r="N18">
        <v>41436.67</v>
      </c>
      <c r="Q18">
        <v>202511</v>
      </c>
    </row>
    <row r="19" spans="1:17" x14ac:dyDescent="0.2">
      <c r="A19" t="s">
        <v>133</v>
      </c>
      <c r="B19" s="27">
        <v>45981.836597222224</v>
      </c>
      <c r="C19" t="s">
        <v>91</v>
      </c>
      <c r="D19" t="s">
        <v>90</v>
      </c>
      <c r="E19" t="s">
        <v>108</v>
      </c>
      <c r="F19" t="s">
        <v>45</v>
      </c>
      <c r="G19" t="s">
        <v>134</v>
      </c>
      <c r="H19" t="s">
        <v>46</v>
      </c>
      <c r="I19" t="s">
        <v>44</v>
      </c>
      <c r="J19" t="s">
        <v>47</v>
      </c>
      <c r="K19" t="s">
        <v>43</v>
      </c>
      <c r="L19">
        <v>570</v>
      </c>
      <c r="M19">
        <v>570</v>
      </c>
      <c r="N19">
        <v>30005.63</v>
      </c>
      <c r="Q19">
        <v>202511</v>
      </c>
    </row>
    <row r="20" spans="1:17" x14ac:dyDescent="0.2">
      <c r="A20" t="s">
        <v>135</v>
      </c>
      <c r="B20" s="27">
        <v>45981.836226851854</v>
      </c>
      <c r="C20" t="s">
        <v>91</v>
      </c>
      <c r="D20" t="s">
        <v>90</v>
      </c>
      <c r="E20" t="s">
        <v>128</v>
      </c>
      <c r="F20" t="s">
        <v>45</v>
      </c>
      <c r="G20" t="s">
        <v>136</v>
      </c>
      <c r="H20" t="s">
        <v>46</v>
      </c>
      <c r="I20" t="s">
        <v>44</v>
      </c>
      <c r="J20" t="s">
        <v>47</v>
      </c>
      <c r="K20" t="s">
        <v>43</v>
      </c>
      <c r="L20">
        <v>501</v>
      </c>
      <c r="M20">
        <v>501</v>
      </c>
      <c r="N20">
        <v>29428.63</v>
      </c>
      <c r="Q20">
        <v>202511</v>
      </c>
    </row>
    <row r="21" spans="1:17" x14ac:dyDescent="0.2">
      <c r="A21" t="s">
        <v>137</v>
      </c>
      <c r="B21" s="27">
        <v>45981.83388888889</v>
      </c>
      <c r="C21" t="s">
        <v>91</v>
      </c>
      <c r="D21" t="s">
        <v>90</v>
      </c>
      <c r="E21" t="s">
        <v>131</v>
      </c>
      <c r="F21" t="s">
        <v>45</v>
      </c>
      <c r="G21" t="s">
        <v>138</v>
      </c>
      <c r="H21" t="s">
        <v>46</v>
      </c>
      <c r="I21" t="s">
        <v>44</v>
      </c>
      <c r="J21" t="s">
        <v>47</v>
      </c>
      <c r="K21" t="s">
        <v>43</v>
      </c>
      <c r="L21">
        <v>137</v>
      </c>
      <c r="M21">
        <v>137</v>
      </c>
      <c r="N21">
        <v>28920.63</v>
      </c>
      <c r="Q21">
        <v>202511</v>
      </c>
    </row>
    <row r="22" spans="1:17" x14ac:dyDescent="0.2">
      <c r="A22" t="s">
        <v>139</v>
      </c>
      <c r="B22" s="27">
        <v>45980.814733796295</v>
      </c>
      <c r="C22" t="s">
        <v>91</v>
      </c>
      <c r="D22" t="s">
        <v>90</v>
      </c>
      <c r="F22" t="s">
        <v>45</v>
      </c>
      <c r="G22" t="s">
        <v>140</v>
      </c>
      <c r="H22" t="s">
        <v>46</v>
      </c>
      <c r="I22" t="s">
        <v>44</v>
      </c>
      <c r="J22" t="s">
        <v>47</v>
      </c>
      <c r="K22" t="s">
        <v>43</v>
      </c>
      <c r="L22">
        <v>224</v>
      </c>
      <c r="M22">
        <v>224</v>
      </c>
      <c r="N22">
        <v>28776.63</v>
      </c>
      <c r="Q22">
        <v>202511</v>
      </c>
    </row>
    <row r="23" spans="1:17" x14ac:dyDescent="0.2">
      <c r="A23" t="s">
        <v>141</v>
      </c>
      <c r="B23" s="27">
        <v>45979.817743055559</v>
      </c>
      <c r="C23" t="s">
        <v>91</v>
      </c>
      <c r="D23" t="s">
        <v>90</v>
      </c>
      <c r="F23" t="s">
        <v>45</v>
      </c>
      <c r="G23" t="s">
        <v>142</v>
      </c>
      <c r="H23" t="s">
        <v>46</v>
      </c>
      <c r="I23" t="s">
        <v>44</v>
      </c>
      <c r="J23" t="s">
        <v>47</v>
      </c>
      <c r="K23" t="s">
        <v>43</v>
      </c>
      <c r="L23">
        <v>261.25</v>
      </c>
      <c r="M23">
        <v>261.25</v>
      </c>
      <c r="N23">
        <v>28545.63</v>
      </c>
      <c r="Q23">
        <v>202511</v>
      </c>
    </row>
    <row r="24" spans="1:17" x14ac:dyDescent="0.2">
      <c r="A24" t="s">
        <v>143</v>
      </c>
      <c r="B24" s="27">
        <v>45979.817731481482</v>
      </c>
      <c r="C24" t="s">
        <v>91</v>
      </c>
      <c r="D24" t="s">
        <v>90</v>
      </c>
      <c r="F24" t="s">
        <v>45</v>
      </c>
      <c r="G24" t="s">
        <v>144</v>
      </c>
      <c r="H24" t="s">
        <v>46</v>
      </c>
      <c r="I24" t="s">
        <v>44</v>
      </c>
      <c r="J24" t="s">
        <v>47</v>
      </c>
      <c r="K24" t="s">
        <v>43</v>
      </c>
      <c r="L24">
        <v>261.25</v>
      </c>
      <c r="M24">
        <v>261.25</v>
      </c>
      <c r="N24">
        <v>28277.38</v>
      </c>
      <c r="Q24">
        <v>202511</v>
      </c>
    </row>
    <row r="25" spans="1:17" x14ac:dyDescent="0.2">
      <c r="A25" t="s">
        <v>145</v>
      </c>
      <c r="B25" s="27">
        <v>45979.817407407405</v>
      </c>
      <c r="C25" t="s">
        <v>91</v>
      </c>
      <c r="D25" t="s">
        <v>90</v>
      </c>
      <c r="F25" t="s">
        <v>45</v>
      </c>
      <c r="G25" t="s">
        <v>146</v>
      </c>
      <c r="H25" t="s">
        <v>46</v>
      </c>
      <c r="I25" t="s">
        <v>44</v>
      </c>
      <c r="J25" t="s">
        <v>47</v>
      </c>
      <c r="K25" t="s">
        <v>43</v>
      </c>
      <c r="L25">
        <v>317</v>
      </c>
      <c r="M25">
        <v>317</v>
      </c>
      <c r="N25">
        <v>28009.13</v>
      </c>
      <c r="Q25">
        <v>202511</v>
      </c>
    </row>
    <row r="26" spans="1:17" x14ac:dyDescent="0.2">
      <c r="A26" t="s">
        <v>147</v>
      </c>
      <c r="B26" s="27">
        <v>45979.812777777777</v>
      </c>
      <c r="C26" t="s">
        <v>91</v>
      </c>
      <c r="D26" t="s">
        <v>90</v>
      </c>
      <c r="E26" t="s">
        <v>101</v>
      </c>
      <c r="F26" t="s">
        <v>45</v>
      </c>
      <c r="G26" t="s">
        <v>148</v>
      </c>
      <c r="H26" t="s">
        <v>46</v>
      </c>
      <c r="I26" t="s">
        <v>44</v>
      </c>
      <c r="J26" t="s">
        <v>47</v>
      </c>
      <c r="K26" t="s">
        <v>43</v>
      </c>
      <c r="L26">
        <v>98</v>
      </c>
      <c r="M26">
        <v>98</v>
      </c>
      <c r="N26">
        <v>27685.13</v>
      </c>
      <c r="Q26">
        <v>202511</v>
      </c>
    </row>
    <row r="27" spans="1:17" x14ac:dyDescent="0.2">
      <c r="A27" t="s">
        <v>149</v>
      </c>
      <c r="B27" s="27">
        <v>45975.821782407409</v>
      </c>
      <c r="C27" t="s">
        <v>91</v>
      </c>
      <c r="D27" t="s">
        <v>90</v>
      </c>
      <c r="E27" t="s">
        <v>150</v>
      </c>
      <c r="F27" t="s">
        <v>45</v>
      </c>
      <c r="G27" t="s">
        <v>151</v>
      </c>
      <c r="H27" t="s">
        <v>46</v>
      </c>
      <c r="I27" t="s">
        <v>44</v>
      </c>
      <c r="J27" t="s">
        <v>47</v>
      </c>
      <c r="K27" t="s">
        <v>43</v>
      </c>
      <c r="L27">
        <v>27</v>
      </c>
      <c r="M27">
        <v>27</v>
      </c>
      <c r="N27">
        <v>27580.13</v>
      </c>
      <c r="Q27">
        <v>202511</v>
      </c>
    </row>
    <row r="28" spans="1:17" x14ac:dyDescent="0.2">
      <c r="A28" t="s">
        <v>152</v>
      </c>
      <c r="B28" s="27">
        <v>45975.81527777778</v>
      </c>
      <c r="C28" t="s">
        <v>91</v>
      </c>
      <c r="D28" t="s">
        <v>90</v>
      </c>
      <c r="F28" t="s">
        <v>45</v>
      </c>
      <c r="G28" t="s">
        <v>153</v>
      </c>
      <c r="H28" t="s">
        <v>46</v>
      </c>
      <c r="I28" t="s">
        <v>44</v>
      </c>
      <c r="J28" t="s">
        <v>47</v>
      </c>
      <c r="K28" t="s">
        <v>43</v>
      </c>
      <c r="L28">
        <v>458.19</v>
      </c>
      <c r="M28">
        <v>458.19</v>
      </c>
      <c r="N28">
        <v>27526.13</v>
      </c>
      <c r="Q28">
        <v>202511</v>
      </c>
    </row>
    <row r="29" spans="1:17" x14ac:dyDescent="0.2">
      <c r="A29" t="s">
        <v>154</v>
      </c>
      <c r="B29" s="27">
        <v>45974.884097222224</v>
      </c>
      <c r="C29" t="s">
        <v>91</v>
      </c>
      <c r="D29" t="s">
        <v>90</v>
      </c>
      <c r="E29" t="s">
        <v>131</v>
      </c>
      <c r="F29" t="s">
        <v>45</v>
      </c>
      <c r="G29" t="s">
        <v>155</v>
      </c>
      <c r="H29" t="s">
        <v>46</v>
      </c>
      <c r="I29" t="s">
        <v>44</v>
      </c>
      <c r="J29" t="s">
        <v>47</v>
      </c>
      <c r="K29" t="s">
        <v>43</v>
      </c>
      <c r="L29">
        <v>7</v>
      </c>
      <c r="M29">
        <v>7</v>
      </c>
      <c r="N29">
        <v>27067.94</v>
      </c>
      <c r="Q29">
        <v>202511</v>
      </c>
    </row>
    <row r="30" spans="1:17" x14ac:dyDescent="0.2">
      <c r="A30" t="s">
        <v>156</v>
      </c>
      <c r="B30" s="27">
        <v>45972.860497685186</v>
      </c>
      <c r="C30" t="s">
        <v>91</v>
      </c>
      <c r="D30" t="s">
        <v>90</v>
      </c>
      <c r="F30" t="s">
        <v>45</v>
      </c>
      <c r="G30" t="s">
        <v>157</v>
      </c>
      <c r="H30" t="s">
        <v>46</v>
      </c>
      <c r="I30" t="s">
        <v>44</v>
      </c>
      <c r="J30" t="s">
        <v>47</v>
      </c>
      <c r="K30" t="s">
        <v>43</v>
      </c>
      <c r="L30">
        <v>317</v>
      </c>
      <c r="M30">
        <v>317</v>
      </c>
      <c r="N30">
        <v>27053.94</v>
      </c>
      <c r="Q30">
        <v>202511</v>
      </c>
    </row>
    <row r="31" spans="1:17" x14ac:dyDescent="0.2">
      <c r="A31" t="s">
        <v>158</v>
      </c>
      <c r="B31" s="27">
        <v>45972.86010416667</v>
      </c>
      <c r="C31" t="s">
        <v>91</v>
      </c>
      <c r="D31" t="s">
        <v>90</v>
      </c>
      <c r="F31" t="s">
        <v>45</v>
      </c>
      <c r="G31" t="s">
        <v>159</v>
      </c>
      <c r="H31" t="s">
        <v>46</v>
      </c>
      <c r="I31" t="s">
        <v>44</v>
      </c>
      <c r="J31" t="s">
        <v>47</v>
      </c>
      <c r="K31" t="s">
        <v>43</v>
      </c>
      <c r="L31">
        <v>358</v>
      </c>
      <c r="M31">
        <v>358</v>
      </c>
      <c r="N31">
        <v>26729.94</v>
      </c>
      <c r="Q31">
        <v>202511</v>
      </c>
    </row>
    <row r="32" spans="1:17" x14ac:dyDescent="0.2">
      <c r="A32" t="s">
        <v>160</v>
      </c>
      <c r="B32" s="27">
        <v>45971.694675925923</v>
      </c>
      <c r="C32" t="s">
        <v>91</v>
      </c>
      <c r="D32" t="s">
        <v>90</v>
      </c>
      <c r="E32" t="s">
        <v>161</v>
      </c>
      <c r="F32" t="s">
        <v>45</v>
      </c>
      <c r="G32" t="s">
        <v>162</v>
      </c>
      <c r="H32" t="s">
        <v>46</v>
      </c>
      <c r="I32" t="s">
        <v>44</v>
      </c>
      <c r="J32" t="s">
        <v>47</v>
      </c>
      <c r="K32" t="s">
        <v>43</v>
      </c>
      <c r="L32">
        <v>570</v>
      </c>
      <c r="M32">
        <v>570</v>
      </c>
      <c r="N32">
        <v>26364.94</v>
      </c>
      <c r="Q32">
        <v>202511</v>
      </c>
    </row>
    <row r="33" spans="1:17" x14ac:dyDescent="0.2">
      <c r="A33" t="s">
        <v>163</v>
      </c>
      <c r="B33" s="27">
        <v>45971.692673611113</v>
      </c>
      <c r="C33" t="s">
        <v>91</v>
      </c>
      <c r="D33" t="s">
        <v>90</v>
      </c>
      <c r="F33" t="s">
        <v>45</v>
      </c>
      <c r="G33" t="s">
        <v>164</v>
      </c>
      <c r="H33" t="s">
        <v>46</v>
      </c>
      <c r="I33" t="s">
        <v>44</v>
      </c>
      <c r="J33" t="s">
        <v>47</v>
      </c>
      <c r="K33" t="s">
        <v>43</v>
      </c>
      <c r="L33">
        <v>358</v>
      </c>
      <c r="M33">
        <v>358</v>
      </c>
      <c r="N33">
        <v>25787.94</v>
      </c>
      <c r="Q33">
        <v>202511</v>
      </c>
    </row>
    <row r="34" spans="1:17" x14ac:dyDescent="0.2">
      <c r="A34" t="s">
        <v>165</v>
      </c>
      <c r="B34" s="27">
        <v>45971.686527777776</v>
      </c>
      <c r="C34" t="s">
        <v>91</v>
      </c>
      <c r="D34" t="s">
        <v>90</v>
      </c>
      <c r="F34" t="s">
        <v>45</v>
      </c>
      <c r="G34" t="s">
        <v>166</v>
      </c>
      <c r="H34" t="s">
        <v>46</v>
      </c>
      <c r="I34" t="s">
        <v>44</v>
      </c>
      <c r="J34" t="s">
        <v>47</v>
      </c>
      <c r="K34" t="s">
        <v>43</v>
      </c>
      <c r="L34">
        <v>570</v>
      </c>
      <c r="M34">
        <v>570</v>
      </c>
      <c r="N34">
        <v>25422.94</v>
      </c>
      <c r="Q34">
        <v>202511</v>
      </c>
    </row>
    <row r="35" spans="1:17" x14ac:dyDescent="0.2">
      <c r="A35" t="s">
        <v>167</v>
      </c>
      <c r="B35" s="27">
        <v>45971.683368055557</v>
      </c>
      <c r="C35" t="s">
        <v>91</v>
      </c>
      <c r="D35" t="s">
        <v>90</v>
      </c>
      <c r="F35" t="s">
        <v>45</v>
      </c>
      <c r="G35" t="s">
        <v>168</v>
      </c>
      <c r="H35" t="s">
        <v>46</v>
      </c>
      <c r="I35" t="s">
        <v>44</v>
      </c>
      <c r="J35" t="s">
        <v>47</v>
      </c>
      <c r="K35" t="s">
        <v>43</v>
      </c>
      <c r="L35">
        <v>570</v>
      </c>
      <c r="M35">
        <v>570</v>
      </c>
      <c r="N35">
        <v>24845.94</v>
      </c>
      <c r="Q35">
        <v>202511</v>
      </c>
    </row>
    <row r="36" spans="1:17" x14ac:dyDescent="0.2">
      <c r="A36" t="s">
        <v>169</v>
      </c>
      <c r="B36" s="27">
        <v>45968.826701388891</v>
      </c>
      <c r="C36" t="s">
        <v>91</v>
      </c>
      <c r="D36" t="s">
        <v>90</v>
      </c>
      <c r="E36" t="s">
        <v>161</v>
      </c>
      <c r="F36" t="s">
        <v>45</v>
      </c>
      <c r="G36" t="s">
        <v>170</v>
      </c>
      <c r="H36" t="s">
        <v>46</v>
      </c>
      <c r="I36" t="s">
        <v>44</v>
      </c>
      <c r="J36" t="s">
        <v>47</v>
      </c>
      <c r="K36" t="s">
        <v>43</v>
      </c>
      <c r="L36">
        <v>24</v>
      </c>
      <c r="M36">
        <v>24</v>
      </c>
      <c r="N36">
        <v>24268.94</v>
      </c>
      <c r="Q36">
        <v>202511</v>
      </c>
    </row>
    <row r="37" spans="1:17" x14ac:dyDescent="0.2">
      <c r="A37" t="s">
        <v>171</v>
      </c>
      <c r="B37" s="27">
        <v>45968.820983796293</v>
      </c>
      <c r="C37" t="s">
        <v>91</v>
      </c>
      <c r="D37" t="s">
        <v>90</v>
      </c>
      <c r="E37" t="s">
        <v>161</v>
      </c>
      <c r="F37" t="s">
        <v>45</v>
      </c>
      <c r="G37" t="s">
        <v>172</v>
      </c>
      <c r="H37" t="s">
        <v>46</v>
      </c>
      <c r="I37" t="s">
        <v>44</v>
      </c>
      <c r="J37" t="s">
        <v>47</v>
      </c>
      <c r="K37" t="s">
        <v>43</v>
      </c>
      <c r="L37">
        <v>141.56</v>
      </c>
      <c r="M37">
        <v>141.56</v>
      </c>
      <c r="N37">
        <v>24237.94</v>
      </c>
      <c r="Q37">
        <v>202511</v>
      </c>
    </row>
    <row r="38" spans="1:17" x14ac:dyDescent="0.2">
      <c r="A38" t="s">
        <v>173</v>
      </c>
      <c r="B38" s="27">
        <v>45967.807569444441</v>
      </c>
      <c r="C38" t="s">
        <v>91</v>
      </c>
      <c r="D38" t="s">
        <v>90</v>
      </c>
      <c r="E38" t="s">
        <v>174</v>
      </c>
      <c r="F38" t="s">
        <v>45</v>
      </c>
      <c r="G38" t="s">
        <v>175</v>
      </c>
      <c r="H38" t="s">
        <v>46</v>
      </c>
      <c r="I38" t="s">
        <v>44</v>
      </c>
      <c r="J38" t="s">
        <v>47</v>
      </c>
      <c r="K38" t="s">
        <v>43</v>
      </c>
      <c r="L38">
        <v>432</v>
      </c>
      <c r="M38">
        <v>432</v>
      </c>
      <c r="N38">
        <v>24069.38</v>
      </c>
      <c r="Q38">
        <v>202511</v>
      </c>
    </row>
    <row r="39" spans="1:17" x14ac:dyDescent="0.2">
      <c r="A39" t="s">
        <v>176</v>
      </c>
      <c r="B39" s="27">
        <v>45967.80605324074</v>
      </c>
      <c r="C39" t="s">
        <v>91</v>
      </c>
      <c r="D39" t="s">
        <v>90</v>
      </c>
      <c r="F39" t="s">
        <v>45</v>
      </c>
      <c r="G39" t="s">
        <v>177</v>
      </c>
      <c r="H39" t="s">
        <v>46</v>
      </c>
      <c r="I39" t="s">
        <v>44</v>
      </c>
      <c r="J39" t="s">
        <v>47</v>
      </c>
      <c r="K39" t="s">
        <v>43</v>
      </c>
      <c r="L39">
        <v>132.71</v>
      </c>
      <c r="M39">
        <v>132.71</v>
      </c>
      <c r="N39">
        <v>23621.38</v>
      </c>
      <c r="Q39">
        <v>202511</v>
      </c>
    </row>
    <row r="40" spans="1:17" x14ac:dyDescent="0.2">
      <c r="A40" t="s">
        <v>178</v>
      </c>
      <c r="B40" s="27">
        <v>45967.8049537037</v>
      </c>
      <c r="C40" t="s">
        <v>91</v>
      </c>
      <c r="D40" t="s">
        <v>90</v>
      </c>
      <c r="E40" t="s">
        <v>174</v>
      </c>
      <c r="F40" t="s">
        <v>45</v>
      </c>
      <c r="G40" t="s">
        <v>179</v>
      </c>
      <c r="H40" t="s">
        <v>46</v>
      </c>
      <c r="I40" t="s">
        <v>44</v>
      </c>
      <c r="J40" t="s">
        <v>47</v>
      </c>
      <c r="K40" t="s">
        <v>43</v>
      </c>
      <c r="L40">
        <v>889</v>
      </c>
      <c r="M40">
        <v>889</v>
      </c>
      <c r="N40">
        <v>23472.67</v>
      </c>
      <c r="Q40">
        <v>202511</v>
      </c>
    </row>
    <row r="41" spans="1:17" x14ac:dyDescent="0.2">
      <c r="A41" t="s">
        <v>180</v>
      </c>
      <c r="B41" s="27">
        <v>45967.803877314815</v>
      </c>
      <c r="C41" t="s">
        <v>91</v>
      </c>
      <c r="D41" t="s">
        <v>90</v>
      </c>
      <c r="F41" t="s">
        <v>45</v>
      </c>
      <c r="G41" t="s">
        <v>181</v>
      </c>
      <c r="H41" t="s">
        <v>46</v>
      </c>
      <c r="I41" t="s">
        <v>44</v>
      </c>
      <c r="J41" t="s">
        <v>47</v>
      </c>
      <c r="K41" t="s">
        <v>43</v>
      </c>
      <c r="L41">
        <v>458.19</v>
      </c>
      <c r="M41">
        <v>458.19</v>
      </c>
      <c r="N41">
        <v>22556.67</v>
      </c>
      <c r="Q41">
        <v>202511</v>
      </c>
    </row>
    <row r="42" spans="1:17" x14ac:dyDescent="0.2">
      <c r="A42" t="s">
        <v>182</v>
      </c>
      <c r="B42" s="27">
        <v>45967.799884259257</v>
      </c>
      <c r="C42" t="s">
        <v>91</v>
      </c>
      <c r="D42" t="s">
        <v>90</v>
      </c>
      <c r="F42" t="s">
        <v>45</v>
      </c>
      <c r="G42" t="s">
        <v>183</v>
      </c>
      <c r="H42" t="s">
        <v>46</v>
      </c>
      <c r="I42" t="s">
        <v>44</v>
      </c>
      <c r="J42" t="s">
        <v>47</v>
      </c>
      <c r="K42" t="s">
        <v>43</v>
      </c>
      <c r="L42">
        <v>317</v>
      </c>
      <c r="M42">
        <v>317</v>
      </c>
      <c r="N42">
        <v>22091.48</v>
      </c>
      <c r="Q42">
        <v>202511</v>
      </c>
    </row>
    <row r="43" spans="1:17" x14ac:dyDescent="0.2">
      <c r="A43" t="s">
        <v>184</v>
      </c>
      <c r="B43" s="27">
        <v>45967.799456018518</v>
      </c>
      <c r="C43" t="s">
        <v>91</v>
      </c>
      <c r="D43" t="s">
        <v>90</v>
      </c>
      <c r="F43" t="s">
        <v>45</v>
      </c>
      <c r="G43" t="s">
        <v>185</v>
      </c>
      <c r="H43" t="s">
        <v>46</v>
      </c>
      <c r="I43" t="s">
        <v>44</v>
      </c>
      <c r="J43" t="s">
        <v>47</v>
      </c>
      <c r="K43" t="s">
        <v>43</v>
      </c>
      <c r="L43">
        <v>85.8</v>
      </c>
      <c r="M43">
        <v>85.8</v>
      </c>
      <c r="N43">
        <v>21758.48</v>
      </c>
      <c r="Q43">
        <v>202511</v>
      </c>
    </row>
    <row r="44" spans="1:17" x14ac:dyDescent="0.2">
      <c r="A44" t="s">
        <v>186</v>
      </c>
      <c r="B44" s="27">
        <v>45967.799178240741</v>
      </c>
      <c r="C44" t="s">
        <v>91</v>
      </c>
      <c r="D44" t="s">
        <v>90</v>
      </c>
      <c r="E44" t="s">
        <v>161</v>
      </c>
      <c r="F44" t="s">
        <v>45</v>
      </c>
      <c r="G44" t="s">
        <v>187</v>
      </c>
      <c r="H44" t="s">
        <v>46</v>
      </c>
      <c r="I44" t="s">
        <v>44</v>
      </c>
      <c r="J44" t="s">
        <v>47</v>
      </c>
      <c r="K44" t="s">
        <v>43</v>
      </c>
      <c r="L44">
        <v>511</v>
      </c>
      <c r="M44">
        <v>511</v>
      </c>
      <c r="N44">
        <v>21665.68</v>
      </c>
      <c r="Q44">
        <v>202511</v>
      </c>
    </row>
    <row r="45" spans="1:17" x14ac:dyDescent="0.2">
      <c r="A45" t="s">
        <v>188</v>
      </c>
      <c r="B45" s="27">
        <v>45967.760393518518</v>
      </c>
      <c r="C45" t="s">
        <v>91</v>
      </c>
      <c r="D45" t="s">
        <v>90</v>
      </c>
      <c r="E45" t="s">
        <v>121</v>
      </c>
      <c r="F45" t="s">
        <v>45</v>
      </c>
      <c r="G45" t="s">
        <v>189</v>
      </c>
      <c r="H45" t="s">
        <v>46</v>
      </c>
      <c r="I45" t="s">
        <v>44</v>
      </c>
      <c r="J45" t="s">
        <v>47</v>
      </c>
      <c r="K45" t="s">
        <v>43</v>
      </c>
      <c r="L45">
        <v>94.54</v>
      </c>
      <c r="M45">
        <v>94.54</v>
      </c>
      <c r="N45">
        <v>21147.68</v>
      </c>
      <c r="Q45">
        <v>202511</v>
      </c>
    </row>
    <row r="46" spans="1:17" x14ac:dyDescent="0.2">
      <c r="A46" t="s">
        <v>190</v>
      </c>
      <c r="B46" s="27">
        <v>45966.871134259258</v>
      </c>
      <c r="C46" t="s">
        <v>91</v>
      </c>
      <c r="D46" t="s">
        <v>90</v>
      </c>
      <c r="F46" t="s">
        <v>45</v>
      </c>
      <c r="G46" t="s">
        <v>191</v>
      </c>
      <c r="H46" t="s">
        <v>46</v>
      </c>
      <c r="I46" t="s">
        <v>44</v>
      </c>
      <c r="J46" t="s">
        <v>47</v>
      </c>
      <c r="K46" t="s">
        <v>43</v>
      </c>
      <c r="L46">
        <v>358</v>
      </c>
      <c r="M46">
        <v>358</v>
      </c>
      <c r="N46">
        <v>21046.14</v>
      </c>
      <c r="Q46">
        <v>202511</v>
      </c>
    </row>
    <row r="47" spans="1:17" x14ac:dyDescent="0.2">
      <c r="A47" t="s">
        <v>192</v>
      </c>
      <c r="B47" s="27">
        <v>45966.868449074071</v>
      </c>
      <c r="C47" t="s">
        <v>91</v>
      </c>
      <c r="D47" t="s">
        <v>90</v>
      </c>
      <c r="E47" t="s">
        <v>131</v>
      </c>
      <c r="F47" t="s">
        <v>45</v>
      </c>
      <c r="G47" t="s">
        <v>193</v>
      </c>
      <c r="H47" t="s">
        <v>46</v>
      </c>
      <c r="I47" t="s">
        <v>44</v>
      </c>
      <c r="J47" t="s">
        <v>47</v>
      </c>
      <c r="K47" t="s">
        <v>43</v>
      </c>
      <c r="L47">
        <v>261.25</v>
      </c>
      <c r="M47">
        <v>261.25</v>
      </c>
      <c r="N47">
        <v>20681.14</v>
      </c>
      <c r="Q47">
        <v>202511</v>
      </c>
    </row>
    <row r="48" spans="1:17" x14ac:dyDescent="0.2">
      <c r="A48" t="s">
        <v>194</v>
      </c>
      <c r="B48" s="27">
        <v>45966.868090277778</v>
      </c>
      <c r="C48" t="s">
        <v>91</v>
      </c>
      <c r="D48" t="s">
        <v>90</v>
      </c>
      <c r="F48" t="s">
        <v>45</v>
      </c>
      <c r="G48" t="s">
        <v>195</v>
      </c>
      <c r="H48" t="s">
        <v>46</v>
      </c>
      <c r="I48" t="s">
        <v>44</v>
      </c>
      <c r="J48" t="s">
        <v>47</v>
      </c>
      <c r="K48" t="s">
        <v>43</v>
      </c>
      <c r="L48">
        <v>358</v>
      </c>
      <c r="M48">
        <v>358</v>
      </c>
      <c r="N48">
        <v>20412.89</v>
      </c>
      <c r="Q48">
        <v>202511</v>
      </c>
    </row>
    <row r="49" spans="1:17" x14ac:dyDescent="0.2">
      <c r="A49" t="s">
        <v>196</v>
      </c>
      <c r="B49" s="27">
        <v>45966.867152777777</v>
      </c>
      <c r="C49" t="s">
        <v>91</v>
      </c>
      <c r="D49" t="s">
        <v>90</v>
      </c>
      <c r="E49" t="s">
        <v>197</v>
      </c>
      <c r="F49" t="s">
        <v>45</v>
      </c>
      <c r="G49" t="s">
        <v>198</v>
      </c>
      <c r="H49" t="s">
        <v>46</v>
      </c>
      <c r="I49" t="s">
        <v>44</v>
      </c>
      <c r="J49" t="s">
        <v>47</v>
      </c>
      <c r="K49" t="s">
        <v>43</v>
      </c>
      <c r="L49">
        <v>570</v>
      </c>
      <c r="M49">
        <v>570</v>
      </c>
      <c r="N49">
        <v>20047.89</v>
      </c>
      <c r="Q49">
        <v>202511</v>
      </c>
    </row>
    <row r="50" spans="1:17" x14ac:dyDescent="0.2">
      <c r="A50" t="s">
        <v>199</v>
      </c>
      <c r="B50" s="27">
        <v>45966.867106481484</v>
      </c>
      <c r="C50" t="s">
        <v>91</v>
      </c>
      <c r="D50" t="s">
        <v>90</v>
      </c>
      <c r="F50" t="s">
        <v>45</v>
      </c>
      <c r="G50" t="s">
        <v>200</v>
      </c>
      <c r="H50" t="s">
        <v>46</v>
      </c>
      <c r="I50" t="s">
        <v>44</v>
      </c>
      <c r="J50" t="s">
        <v>47</v>
      </c>
      <c r="K50" t="s">
        <v>43</v>
      </c>
      <c r="L50">
        <v>27</v>
      </c>
      <c r="M50">
        <v>27</v>
      </c>
      <c r="N50">
        <v>19470.89</v>
      </c>
      <c r="Q50">
        <v>202511</v>
      </c>
    </row>
    <row r="51" spans="1:17" x14ac:dyDescent="0.2">
      <c r="A51" t="s">
        <v>201</v>
      </c>
      <c r="B51" s="27">
        <v>45966.866863425923</v>
      </c>
      <c r="C51" t="s">
        <v>91</v>
      </c>
      <c r="D51" t="s">
        <v>90</v>
      </c>
      <c r="E51" t="s">
        <v>131</v>
      </c>
      <c r="F51" t="s">
        <v>45</v>
      </c>
      <c r="G51" t="s">
        <v>202</v>
      </c>
      <c r="H51" t="s">
        <v>46</v>
      </c>
      <c r="I51" t="s">
        <v>44</v>
      </c>
      <c r="J51" t="s">
        <v>47</v>
      </c>
      <c r="K51" t="s">
        <v>43</v>
      </c>
      <c r="L51">
        <v>72.8</v>
      </c>
      <c r="M51">
        <v>72.8</v>
      </c>
      <c r="N51">
        <v>19436.89</v>
      </c>
      <c r="Q51">
        <v>202511</v>
      </c>
    </row>
    <row r="52" spans="1:17" x14ac:dyDescent="0.2">
      <c r="A52" t="s">
        <v>203</v>
      </c>
      <c r="B52" s="27">
        <v>45966.866620370369</v>
      </c>
      <c r="C52" t="s">
        <v>91</v>
      </c>
      <c r="D52" t="s">
        <v>90</v>
      </c>
      <c r="F52" t="s">
        <v>45</v>
      </c>
      <c r="G52" t="s">
        <v>204</v>
      </c>
      <c r="H52" t="s">
        <v>46</v>
      </c>
      <c r="I52" t="s">
        <v>44</v>
      </c>
      <c r="J52" t="s">
        <v>47</v>
      </c>
      <c r="K52" t="s">
        <v>43</v>
      </c>
      <c r="L52">
        <v>317</v>
      </c>
      <c r="M52">
        <v>317</v>
      </c>
      <c r="N52">
        <v>19357.09</v>
      </c>
      <c r="Q52">
        <v>202511</v>
      </c>
    </row>
    <row r="53" spans="1:17" x14ac:dyDescent="0.2">
      <c r="A53" t="s">
        <v>205</v>
      </c>
      <c r="B53" s="27">
        <v>45966.866273148145</v>
      </c>
      <c r="C53" t="s">
        <v>91</v>
      </c>
      <c r="D53" t="s">
        <v>90</v>
      </c>
      <c r="F53" t="s">
        <v>45</v>
      </c>
      <c r="G53" t="s">
        <v>206</v>
      </c>
      <c r="H53" t="s">
        <v>46</v>
      </c>
      <c r="I53" t="s">
        <v>44</v>
      </c>
      <c r="J53" t="s">
        <v>47</v>
      </c>
      <c r="K53" t="s">
        <v>43</v>
      </c>
      <c r="L53">
        <v>261.25</v>
      </c>
      <c r="M53">
        <v>261.25</v>
      </c>
      <c r="N53">
        <v>19033.09</v>
      </c>
      <c r="Q53">
        <v>202511</v>
      </c>
    </row>
    <row r="54" spans="1:17" x14ac:dyDescent="0.2">
      <c r="A54" t="s">
        <v>207</v>
      </c>
      <c r="B54" s="27">
        <v>45966.862013888887</v>
      </c>
      <c r="C54" t="s">
        <v>91</v>
      </c>
      <c r="D54" t="s">
        <v>90</v>
      </c>
      <c r="F54" t="s">
        <v>45</v>
      </c>
      <c r="G54" t="s">
        <v>208</v>
      </c>
      <c r="H54" t="s">
        <v>46</v>
      </c>
      <c r="I54" t="s">
        <v>44</v>
      </c>
      <c r="J54" t="s">
        <v>47</v>
      </c>
      <c r="K54" t="s">
        <v>43</v>
      </c>
      <c r="L54">
        <v>358</v>
      </c>
      <c r="M54">
        <v>358</v>
      </c>
      <c r="N54">
        <v>18764.84</v>
      </c>
      <c r="Q54">
        <v>202511</v>
      </c>
    </row>
    <row r="55" spans="1:17" x14ac:dyDescent="0.2">
      <c r="A55" t="s">
        <v>209</v>
      </c>
      <c r="B55" s="27">
        <v>45966.86178240741</v>
      </c>
      <c r="C55" t="s">
        <v>91</v>
      </c>
      <c r="D55" t="s">
        <v>90</v>
      </c>
      <c r="F55" t="s">
        <v>45</v>
      </c>
      <c r="G55" t="s">
        <v>210</v>
      </c>
      <c r="H55" t="s">
        <v>46</v>
      </c>
      <c r="I55" t="s">
        <v>44</v>
      </c>
      <c r="J55" t="s">
        <v>47</v>
      </c>
      <c r="K55" t="s">
        <v>43</v>
      </c>
      <c r="L55">
        <v>358</v>
      </c>
      <c r="M55">
        <v>358</v>
      </c>
      <c r="N55">
        <v>18399.84</v>
      </c>
      <c r="Q55">
        <v>202511</v>
      </c>
    </row>
    <row r="56" spans="1:17" x14ac:dyDescent="0.2">
      <c r="A56" t="s">
        <v>211</v>
      </c>
      <c r="B56" s="27">
        <v>45966.861724537041</v>
      </c>
      <c r="C56" t="s">
        <v>91</v>
      </c>
      <c r="D56" t="s">
        <v>90</v>
      </c>
      <c r="F56" t="s">
        <v>45</v>
      </c>
      <c r="G56" t="s">
        <v>212</v>
      </c>
      <c r="H56" t="s">
        <v>46</v>
      </c>
      <c r="I56" t="s">
        <v>44</v>
      </c>
      <c r="J56" t="s">
        <v>47</v>
      </c>
      <c r="K56" t="s">
        <v>43</v>
      </c>
      <c r="L56">
        <v>358</v>
      </c>
      <c r="M56">
        <v>358</v>
      </c>
      <c r="N56">
        <v>18034.84</v>
      </c>
      <c r="Q56">
        <v>202511</v>
      </c>
    </row>
    <row r="57" spans="1:17" x14ac:dyDescent="0.2">
      <c r="A57" t="s">
        <v>213</v>
      </c>
      <c r="B57" s="27">
        <v>45965.909594907411</v>
      </c>
      <c r="C57" t="s">
        <v>91</v>
      </c>
      <c r="D57" t="s">
        <v>90</v>
      </c>
      <c r="F57" t="s">
        <v>45</v>
      </c>
      <c r="G57" t="s">
        <v>214</v>
      </c>
      <c r="H57" t="s">
        <v>46</v>
      </c>
      <c r="I57" t="s">
        <v>44</v>
      </c>
      <c r="J57" t="s">
        <v>47</v>
      </c>
      <c r="K57" t="s">
        <v>43</v>
      </c>
      <c r="L57">
        <v>869</v>
      </c>
      <c r="M57">
        <v>869</v>
      </c>
      <c r="N57">
        <v>17660.84</v>
      </c>
      <c r="Q57">
        <v>202511</v>
      </c>
    </row>
    <row r="58" spans="1:17" x14ac:dyDescent="0.2">
      <c r="A58" t="s">
        <v>215</v>
      </c>
      <c r="B58" s="27">
        <v>45964.686157407406</v>
      </c>
      <c r="C58" t="s">
        <v>91</v>
      </c>
      <c r="D58" t="s">
        <v>90</v>
      </c>
      <c r="E58" t="s">
        <v>121</v>
      </c>
      <c r="F58" t="s">
        <v>45</v>
      </c>
      <c r="G58" t="s">
        <v>216</v>
      </c>
      <c r="H58" t="s">
        <v>46</v>
      </c>
      <c r="I58" t="s">
        <v>44</v>
      </c>
      <c r="J58" t="s">
        <v>47</v>
      </c>
      <c r="K58" t="s">
        <v>43</v>
      </c>
      <c r="L58">
        <v>432</v>
      </c>
      <c r="M58">
        <v>432</v>
      </c>
      <c r="N58">
        <v>16764.84</v>
      </c>
      <c r="Q58">
        <v>202511</v>
      </c>
    </row>
    <row r="59" spans="1:17" x14ac:dyDescent="0.2">
      <c r="A59" t="s">
        <v>217</v>
      </c>
      <c r="B59" s="27">
        <v>45964.678912037038</v>
      </c>
      <c r="C59" t="s">
        <v>91</v>
      </c>
      <c r="D59" t="s">
        <v>90</v>
      </c>
      <c r="E59" t="s">
        <v>101</v>
      </c>
      <c r="F59" t="s">
        <v>45</v>
      </c>
      <c r="G59" t="s">
        <v>218</v>
      </c>
      <c r="H59" t="s">
        <v>46</v>
      </c>
      <c r="I59" t="s">
        <v>44</v>
      </c>
      <c r="J59" t="s">
        <v>47</v>
      </c>
      <c r="K59" t="s">
        <v>43</v>
      </c>
      <c r="L59">
        <v>2096.1</v>
      </c>
      <c r="M59">
        <v>2096.1</v>
      </c>
      <c r="N59">
        <v>16305.84</v>
      </c>
      <c r="Q59">
        <v>202511</v>
      </c>
    </row>
    <row r="60" spans="1:17" x14ac:dyDescent="0.2">
      <c r="A60" t="s">
        <v>219</v>
      </c>
      <c r="B60" s="27">
        <v>46009.70108796296</v>
      </c>
      <c r="C60" t="s">
        <v>91</v>
      </c>
      <c r="D60" t="s">
        <v>90</v>
      </c>
      <c r="E60" t="s">
        <v>220</v>
      </c>
      <c r="F60" t="s">
        <v>40</v>
      </c>
      <c r="G60" t="s">
        <v>221</v>
      </c>
      <c r="H60" t="s">
        <v>46</v>
      </c>
      <c r="I60" t="s">
        <v>44</v>
      </c>
      <c r="J60" t="s">
        <v>42</v>
      </c>
      <c r="K60" t="s">
        <v>43</v>
      </c>
      <c r="M60">
        <v>378.69</v>
      </c>
      <c r="Q60">
        <v>202511</v>
      </c>
    </row>
    <row r="61" spans="1:17" x14ac:dyDescent="0.2">
      <c r="A61" t="s">
        <v>219</v>
      </c>
      <c r="B61" s="27">
        <v>46009.70108796296</v>
      </c>
      <c r="C61" t="s">
        <v>91</v>
      </c>
      <c r="D61" t="s">
        <v>90</v>
      </c>
      <c r="E61" t="s">
        <v>90</v>
      </c>
      <c r="F61" t="s">
        <v>40</v>
      </c>
      <c r="G61" t="s">
        <v>222</v>
      </c>
      <c r="H61" t="s">
        <v>46</v>
      </c>
      <c r="I61" t="s">
        <v>44</v>
      </c>
      <c r="J61" t="s">
        <v>42</v>
      </c>
      <c r="K61" t="s">
        <v>43</v>
      </c>
      <c r="M61">
        <v>501</v>
      </c>
      <c r="Q61">
        <v>202511</v>
      </c>
    </row>
    <row r="62" spans="1:17" x14ac:dyDescent="0.2">
      <c r="A62" t="s">
        <v>219</v>
      </c>
      <c r="B62" s="27">
        <v>46009.70108796296</v>
      </c>
      <c r="C62" t="s">
        <v>91</v>
      </c>
      <c r="D62" t="s">
        <v>90</v>
      </c>
      <c r="E62" t="s">
        <v>90</v>
      </c>
      <c r="F62" t="s">
        <v>40</v>
      </c>
      <c r="G62" t="s">
        <v>223</v>
      </c>
      <c r="H62" t="s">
        <v>46</v>
      </c>
      <c r="I62" t="s">
        <v>44</v>
      </c>
      <c r="J62" t="s">
        <v>42</v>
      </c>
      <c r="K62" t="s">
        <v>43</v>
      </c>
      <c r="M62">
        <v>741.15</v>
      </c>
      <c r="Q62">
        <v>202511</v>
      </c>
    </row>
    <row r="63" spans="1:17" x14ac:dyDescent="0.2">
      <c r="A63" t="s">
        <v>219</v>
      </c>
      <c r="B63" s="27">
        <v>46009.70108796296</v>
      </c>
      <c r="C63" t="s">
        <v>91</v>
      </c>
      <c r="D63" t="s">
        <v>90</v>
      </c>
      <c r="E63" t="s">
        <v>90</v>
      </c>
      <c r="F63" t="s">
        <v>40</v>
      </c>
      <c r="G63" t="s">
        <v>224</v>
      </c>
      <c r="H63" t="s">
        <v>46</v>
      </c>
      <c r="I63" t="s">
        <v>44</v>
      </c>
      <c r="J63" t="s">
        <v>42</v>
      </c>
      <c r="K63" t="s">
        <v>43</v>
      </c>
      <c r="M63">
        <v>358</v>
      </c>
      <c r="Q63">
        <v>202511</v>
      </c>
    </row>
    <row r="64" spans="1:17" x14ac:dyDescent="0.2">
      <c r="A64" t="s">
        <v>219</v>
      </c>
      <c r="B64" s="27">
        <v>46009.70108796296</v>
      </c>
      <c r="C64" t="s">
        <v>91</v>
      </c>
      <c r="D64" t="s">
        <v>90</v>
      </c>
      <c r="E64" t="s">
        <v>90</v>
      </c>
      <c r="F64" t="s">
        <v>40</v>
      </c>
      <c r="G64" t="s">
        <v>104</v>
      </c>
      <c r="H64" t="s">
        <v>46</v>
      </c>
      <c r="I64" t="s">
        <v>41</v>
      </c>
      <c r="J64" t="s">
        <v>42</v>
      </c>
      <c r="K64" t="s">
        <v>43</v>
      </c>
      <c r="M64">
        <v>-432</v>
      </c>
      <c r="P64" t="s">
        <v>48</v>
      </c>
      <c r="Q64">
        <v>202511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224F-F0AC-4B89-B69C-61B776D73048}">
  <sheetPr codeName="Sheet10"/>
  <dimension ref="A1:Q6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8.25" customWidth="1"/>
    <col min="2" max="2" width="14.5" customWidth="1"/>
    <col min="3" max="3" width="22.5" customWidth="1"/>
    <col min="4" max="4" width="26" customWidth="1"/>
    <col min="5" max="5" width="14.5" customWidth="1"/>
    <col min="6" max="6" width="13.5" customWidth="1"/>
    <col min="7" max="7" width="16" customWidth="1"/>
    <col min="12" max="12" width="9.375" customWidth="1"/>
    <col min="13" max="13" width="10.5" customWidth="1"/>
    <col min="14" max="14" width="10.625" customWidth="1"/>
    <col min="17" max="17" width="9.375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25" t="s">
        <v>39</v>
      </c>
    </row>
    <row r="2" spans="1:17" x14ac:dyDescent="0.2">
      <c r="A2" t="s">
        <v>225</v>
      </c>
      <c r="B2" s="27">
        <v>45989.813935185186</v>
      </c>
      <c r="C2" t="s">
        <v>91</v>
      </c>
      <c r="D2" t="s">
        <v>90</v>
      </c>
      <c r="F2" t="s">
        <v>45</v>
      </c>
      <c r="G2" t="s">
        <v>95</v>
      </c>
      <c r="H2" t="s">
        <v>49</v>
      </c>
      <c r="I2" t="s">
        <v>44</v>
      </c>
      <c r="J2" t="s">
        <v>47</v>
      </c>
      <c r="K2" t="s">
        <v>43</v>
      </c>
      <c r="L2">
        <v>7</v>
      </c>
      <c r="M2">
        <v>7</v>
      </c>
      <c r="N2">
        <v>46740.67</v>
      </c>
      <c r="Q2">
        <v>202511</v>
      </c>
    </row>
    <row r="3" spans="1:17" x14ac:dyDescent="0.2">
      <c r="A3" t="s">
        <v>226</v>
      </c>
      <c r="B3" s="27">
        <v>45989.810300925928</v>
      </c>
      <c r="C3" t="s">
        <v>91</v>
      </c>
      <c r="D3" t="s">
        <v>90</v>
      </c>
      <c r="F3" t="s">
        <v>45</v>
      </c>
      <c r="G3" t="s">
        <v>97</v>
      </c>
      <c r="H3" t="s">
        <v>49</v>
      </c>
      <c r="I3" t="s">
        <v>44</v>
      </c>
      <c r="J3" t="s">
        <v>47</v>
      </c>
      <c r="K3" t="s">
        <v>43</v>
      </c>
      <c r="L3">
        <v>7</v>
      </c>
      <c r="M3">
        <v>7</v>
      </c>
      <c r="N3">
        <v>46375.67</v>
      </c>
      <c r="Q3">
        <v>202511</v>
      </c>
    </row>
    <row r="4" spans="1:17" x14ac:dyDescent="0.2">
      <c r="A4" t="s">
        <v>227</v>
      </c>
      <c r="B4" s="27">
        <v>45989.810208333336</v>
      </c>
      <c r="C4" t="s">
        <v>91</v>
      </c>
      <c r="D4" t="s">
        <v>90</v>
      </c>
      <c r="F4" t="s">
        <v>45</v>
      </c>
      <c r="G4" t="s">
        <v>99</v>
      </c>
      <c r="H4" t="s">
        <v>49</v>
      </c>
      <c r="I4" t="s">
        <v>44</v>
      </c>
      <c r="J4" t="s">
        <v>47</v>
      </c>
      <c r="K4" t="s">
        <v>43</v>
      </c>
      <c r="L4">
        <v>7</v>
      </c>
      <c r="M4">
        <v>7</v>
      </c>
      <c r="N4">
        <v>46219.67</v>
      </c>
      <c r="Q4">
        <v>202511</v>
      </c>
    </row>
    <row r="5" spans="1:17" x14ac:dyDescent="0.2">
      <c r="A5" t="s">
        <v>228</v>
      </c>
      <c r="B5" s="27">
        <v>45989.809918981482</v>
      </c>
      <c r="C5" t="s">
        <v>91</v>
      </c>
      <c r="D5" t="s">
        <v>90</v>
      </c>
      <c r="E5" t="s">
        <v>101</v>
      </c>
      <c r="F5" t="s">
        <v>45</v>
      </c>
      <c r="G5" t="s">
        <v>102</v>
      </c>
      <c r="H5" t="s">
        <v>49</v>
      </c>
      <c r="I5" t="s">
        <v>44</v>
      </c>
      <c r="J5" t="s">
        <v>47</v>
      </c>
      <c r="K5" t="s">
        <v>43</v>
      </c>
      <c r="L5">
        <v>16</v>
      </c>
      <c r="M5">
        <v>16</v>
      </c>
      <c r="N5">
        <v>46185.67</v>
      </c>
      <c r="Q5">
        <v>202511</v>
      </c>
    </row>
    <row r="6" spans="1:17" x14ac:dyDescent="0.2">
      <c r="A6" t="s">
        <v>229</v>
      </c>
      <c r="B6" s="27">
        <v>45989.808935185189</v>
      </c>
      <c r="C6" t="s">
        <v>91</v>
      </c>
      <c r="D6" t="s">
        <v>90</v>
      </c>
      <c r="F6" t="s">
        <v>45</v>
      </c>
      <c r="G6" t="s">
        <v>104</v>
      </c>
      <c r="H6" t="s">
        <v>49</v>
      </c>
      <c r="I6" t="s">
        <v>44</v>
      </c>
      <c r="J6" t="s">
        <v>47</v>
      </c>
      <c r="K6" t="s">
        <v>43</v>
      </c>
      <c r="L6">
        <v>27</v>
      </c>
      <c r="M6">
        <v>27</v>
      </c>
      <c r="N6">
        <v>45990.67</v>
      </c>
      <c r="P6" t="s">
        <v>230</v>
      </c>
      <c r="Q6">
        <v>202511</v>
      </c>
    </row>
    <row r="7" spans="1:17" x14ac:dyDescent="0.2">
      <c r="A7" t="s">
        <v>231</v>
      </c>
      <c r="B7" s="27">
        <v>45988.800671296296</v>
      </c>
      <c r="C7" t="s">
        <v>91</v>
      </c>
      <c r="D7" t="s">
        <v>90</v>
      </c>
      <c r="E7" t="s">
        <v>101</v>
      </c>
      <c r="F7" t="s">
        <v>45</v>
      </c>
      <c r="G7" t="s">
        <v>106</v>
      </c>
      <c r="H7" t="s">
        <v>49</v>
      </c>
      <c r="I7" t="s">
        <v>44</v>
      </c>
      <c r="J7" t="s">
        <v>47</v>
      </c>
      <c r="K7" t="s">
        <v>43</v>
      </c>
      <c r="L7">
        <v>27</v>
      </c>
      <c r="M7">
        <v>27</v>
      </c>
      <c r="N7">
        <v>45531.67</v>
      </c>
      <c r="Q7">
        <v>202511</v>
      </c>
    </row>
    <row r="8" spans="1:17" x14ac:dyDescent="0.2">
      <c r="A8" t="s">
        <v>232</v>
      </c>
      <c r="B8" s="27">
        <v>45988.799791666665</v>
      </c>
      <c r="C8" t="s">
        <v>91</v>
      </c>
      <c r="D8" t="s">
        <v>90</v>
      </c>
      <c r="E8" t="s">
        <v>108</v>
      </c>
      <c r="F8" t="s">
        <v>45</v>
      </c>
      <c r="G8" t="s">
        <v>109</v>
      </c>
      <c r="H8" t="s">
        <v>49</v>
      </c>
      <c r="I8" t="s">
        <v>44</v>
      </c>
      <c r="J8" t="s">
        <v>47</v>
      </c>
      <c r="K8" t="s">
        <v>43</v>
      </c>
      <c r="L8">
        <v>7</v>
      </c>
      <c r="M8">
        <v>7</v>
      </c>
      <c r="N8">
        <v>45072.67</v>
      </c>
      <c r="Q8">
        <v>202511</v>
      </c>
    </row>
    <row r="9" spans="1:17" x14ac:dyDescent="0.2">
      <c r="A9" t="s">
        <v>233</v>
      </c>
      <c r="B9" s="27">
        <v>45987.862326388888</v>
      </c>
      <c r="C9" t="s">
        <v>91</v>
      </c>
      <c r="D9" t="s">
        <v>90</v>
      </c>
      <c r="F9" t="s">
        <v>45</v>
      </c>
      <c r="G9" t="s">
        <v>111</v>
      </c>
      <c r="H9" t="s">
        <v>49</v>
      </c>
      <c r="I9" t="s">
        <v>44</v>
      </c>
      <c r="J9" t="s">
        <v>47</v>
      </c>
      <c r="K9" t="s">
        <v>43</v>
      </c>
      <c r="L9">
        <v>7</v>
      </c>
      <c r="M9">
        <v>7</v>
      </c>
      <c r="N9">
        <v>44985.67</v>
      </c>
      <c r="Q9">
        <v>202511</v>
      </c>
    </row>
    <row r="10" spans="1:17" x14ac:dyDescent="0.2">
      <c r="A10" t="s">
        <v>234</v>
      </c>
      <c r="B10" s="27">
        <v>45987.860960648148</v>
      </c>
      <c r="C10" t="s">
        <v>91</v>
      </c>
      <c r="D10" t="s">
        <v>90</v>
      </c>
      <c r="E10" t="s">
        <v>101</v>
      </c>
      <c r="F10" t="s">
        <v>45</v>
      </c>
      <c r="G10" t="s">
        <v>113</v>
      </c>
      <c r="H10" t="s">
        <v>49</v>
      </c>
      <c r="I10" t="s">
        <v>44</v>
      </c>
      <c r="J10" t="s">
        <v>47</v>
      </c>
      <c r="K10" t="s">
        <v>43</v>
      </c>
      <c r="L10">
        <v>7</v>
      </c>
      <c r="M10">
        <v>7</v>
      </c>
      <c r="N10">
        <v>44620.67</v>
      </c>
      <c r="Q10">
        <v>202511</v>
      </c>
    </row>
    <row r="11" spans="1:17" x14ac:dyDescent="0.2">
      <c r="A11" t="s">
        <v>235</v>
      </c>
      <c r="B11" s="27">
        <v>45987.859560185185</v>
      </c>
      <c r="C11" t="s">
        <v>91</v>
      </c>
      <c r="D11" t="s">
        <v>90</v>
      </c>
      <c r="F11" t="s">
        <v>45</v>
      </c>
      <c r="G11" t="s">
        <v>115</v>
      </c>
      <c r="H11" t="s">
        <v>49</v>
      </c>
      <c r="I11" t="s">
        <v>44</v>
      </c>
      <c r="J11" t="s">
        <v>47</v>
      </c>
      <c r="K11" t="s">
        <v>43</v>
      </c>
      <c r="L11">
        <v>7</v>
      </c>
      <c r="M11">
        <v>7</v>
      </c>
      <c r="N11">
        <v>44239.67</v>
      </c>
      <c r="Q11">
        <v>202511</v>
      </c>
    </row>
    <row r="12" spans="1:17" x14ac:dyDescent="0.2">
      <c r="A12" t="s">
        <v>236</v>
      </c>
      <c r="B12" s="27">
        <v>45987.859340277777</v>
      </c>
      <c r="C12" t="s">
        <v>91</v>
      </c>
      <c r="D12" t="s">
        <v>90</v>
      </c>
      <c r="F12" t="s">
        <v>45</v>
      </c>
      <c r="G12" t="s">
        <v>117</v>
      </c>
      <c r="H12" t="s">
        <v>49</v>
      </c>
      <c r="I12" t="s">
        <v>44</v>
      </c>
      <c r="J12" t="s">
        <v>47</v>
      </c>
      <c r="K12" t="s">
        <v>43</v>
      </c>
      <c r="L12">
        <v>7</v>
      </c>
      <c r="M12">
        <v>7</v>
      </c>
      <c r="N12">
        <v>44008.67</v>
      </c>
      <c r="Q12">
        <v>202511</v>
      </c>
    </row>
    <row r="13" spans="1:17" x14ac:dyDescent="0.2">
      <c r="A13" t="s">
        <v>237</v>
      </c>
      <c r="B13" s="27">
        <v>45987.859166666669</v>
      </c>
      <c r="C13" t="s">
        <v>91</v>
      </c>
      <c r="D13" t="s">
        <v>90</v>
      </c>
      <c r="F13" t="s">
        <v>45</v>
      </c>
      <c r="G13" t="s">
        <v>119</v>
      </c>
      <c r="H13" t="s">
        <v>49</v>
      </c>
      <c r="I13" t="s">
        <v>44</v>
      </c>
      <c r="J13" t="s">
        <v>47</v>
      </c>
      <c r="K13" t="s">
        <v>43</v>
      </c>
      <c r="L13">
        <v>7</v>
      </c>
      <c r="M13">
        <v>7</v>
      </c>
      <c r="N13">
        <v>43643.67</v>
      </c>
      <c r="Q13">
        <v>202511</v>
      </c>
    </row>
    <row r="14" spans="1:17" x14ac:dyDescent="0.2">
      <c r="A14" t="s">
        <v>238</v>
      </c>
      <c r="B14" s="27">
        <v>45987.858599537038</v>
      </c>
      <c r="C14" t="s">
        <v>91</v>
      </c>
      <c r="D14" t="s">
        <v>90</v>
      </c>
      <c r="E14" t="s">
        <v>121</v>
      </c>
      <c r="F14" t="s">
        <v>45</v>
      </c>
      <c r="G14" t="s">
        <v>122</v>
      </c>
      <c r="H14" t="s">
        <v>49</v>
      </c>
      <c r="I14" t="s">
        <v>44</v>
      </c>
      <c r="J14" t="s">
        <v>47</v>
      </c>
      <c r="K14" t="s">
        <v>43</v>
      </c>
      <c r="L14">
        <v>16</v>
      </c>
      <c r="M14">
        <v>16</v>
      </c>
      <c r="N14">
        <v>43278.67</v>
      </c>
      <c r="Q14">
        <v>202511</v>
      </c>
    </row>
    <row r="15" spans="1:17" x14ac:dyDescent="0.2">
      <c r="A15" t="s">
        <v>239</v>
      </c>
      <c r="B15" s="27">
        <v>45986.848043981481</v>
      </c>
      <c r="C15" t="s">
        <v>91</v>
      </c>
      <c r="D15" t="s">
        <v>90</v>
      </c>
      <c r="F15" t="s">
        <v>45</v>
      </c>
      <c r="G15" t="s">
        <v>124</v>
      </c>
      <c r="H15" t="s">
        <v>49</v>
      </c>
      <c r="I15" t="s">
        <v>44</v>
      </c>
      <c r="J15" t="s">
        <v>47</v>
      </c>
      <c r="K15" t="s">
        <v>43</v>
      </c>
      <c r="L15">
        <v>7</v>
      </c>
      <c r="M15">
        <v>7</v>
      </c>
      <c r="N15">
        <v>42710.67</v>
      </c>
      <c r="Q15">
        <v>202511</v>
      </c>
    </row>
    <row r="16" spans="1:17" x14ac:dyDescent="0.2">
      <c r="A16" t="s">
        <v>240</v>
      </c>
      <c r="B16" s="27">
        <v>45986.846319444441</v>
      </c>
      <c r="C16" t="s">
        <v>91</v>
      </c>
      <c r="D16" t="s">
        <v>90</v>
      </c>
      <c r="E16" t="s">
        <v>121</v>
      </c>
      <c r="F16" t="s">
        <v>45</v>
      </c>
      <c r="G16" t="s">
        <v>126</v>
      </c>
      <c r="H16" t="s">
        <v>49</v>
      </c>
      <c r="I16" t="s">
        <v>44</v>
      </c>
      <c r="J16" t="s">
        <v>47</v>
      </c>
      <c r="K16" t="s">
        <v>43</v>
      </c>
      <c r="L16">
        <v>7</v>
      </c>
      <c r="M16">
        <v>7</v>
      </c>
      <c r="N16">
        <v>42479.67</v>
      </c>
      <c r="Q16">
        <v>202511</v>
      </c>
    </row>
    <row r="17" spans="1:17" x14ac:dyDescent="0.2">
      <c r="A17" t="s">
        <v>241</v>
      </c>
      <c r="B17" s="27">
        <v>45986.844814814816</v>
      </c>
      <c r="C17" t="s">
        <v>91</v>
      </c>
      <c r="D17" t="s">
        <v>90</v>
      </c>
      <c r="E17" t="s">
        <v>128</v>
      </c>
      <c r="F17" t="s">
        <v>45</v>
      </c>
      <c r="G17" t="s">
        <v>129</v>
      </c>
      <c r="H17" t="s">
        <v>49</v>
      </c>
      <c r="I17" t="s">
        <v>44</v>
      </c>
      <c r="J17" t="s">
        <v>47</v>
      </c>
      <c r="K17" t="s">
        <v>43</v>
      </c>
      <c r="L17">
        <v>27</v>
      </c>
      <c r="M17">
        <v>27</v>
      </c>
      <c r="N17">
        <v>41902.67</v>
      </c>
      <c r="Q17">
        <v>202511</v>
      </c>
    </row>
    <row r="18" spans="1:17" x14ac:dyDescent="0.2">
      <c r="A18" t="s">
        <v>242</v>
      </c>
      <c r="B18" s="27">
        <v>45985.67324074074</v>
      </c>
      <c r="C18" t="s">
        <v>91</v>
      </c>
      <c r="D18" t="s">
        <v>90</v>
      </c>
      <c r="E18" t="s">
        <v>131</v>
      </c>
      <c r="F18" t="s">
        <v>45</v>
      </c>
      <c r="G18" t="s">
        <v>132</v>
      </c>
      <c r="H18" t="s">
        <v>49</v>
      </c>
      <c r="I18" t="s">
        <v>44</v>
      </c>
      <c r="J18" t="s">
        <v>47</v>
      </c>
      <c r="K18" t="s">
        <v>43</v>
      </c>
      <c r="L18">
        <v>7</v>
      </c>
      <c r="M18">
        <v>7</v>
      </c>
      <c r="N18">
        <v>41443.67</v>
      </c>
      <c r="Q18">
        <v>202511</v>
      </c>
    </row>
    <row r="19" spans="1:17" x14ac:dyDescent="0.2">
      <c r="A19" t="s">
        <v>243</v>
      </c>
      <c r="B19" s="27">
        <v>45981.836597222224</v>
      </c>
      <c r="C19" t="s">
        <v>91</v>
      </c>
      <c r="D19" t="s">
        <v>90</v>
      </c>
      <c r="E19" t="s">
        <v>108</v>
      </c>
      <c r="F19" t="s">
        <v>45</v>
      </c>
      <c r="G19" t="s">
        <v>134</v>
      </c>
      <c r="H19" t="s">
        <v>49</v>
      </c>
      <c r="I19" t="s">
        <v>44</v>
      </c>
      <c r="J19" t="s">
        <v>47</v>
      </c>
      <c r="K19" t="s">
        <v>43</v>
      </c>
      <c r="L19">
        <v>7</v>
      </c>
      <c r="M19">
        <v>7</v>
      </c>
      <c r="N19">
        <v>30012.63</v>
      </c>
      <c r="Q19">
        <v>202511</v>
      </c>
    </row>
    <row r="20" spans="1:17" x14ac:dyDescent="0.2">
      <c r="A20" t="s">
        <v>244</v>
      </c>
      <c r="B20" s="27">
        <v>45981.836226851854</v>
      </c>
      <c r="C20" t="s">
        <v>91</v>
      </c>
      <c r="D20" t="s">
        <v>90</v>
      </c>
      <c r="E20" t="s">
        <v>128</v>
      </c>
      <c r="F20" t="s">
        <v>45</v>
      </c>
      <c r="G20" t="s">
        <v>136</v>
      </c>
      <c r="H20" t="s">
        <v>49</v>
      </c>
      <c r="I20" t="s">
        <v>44</v>
      </c>
      <c r="J20" t="s">
        <v>47</v>
      </c>
      <c r="K20" t="s">
        <v>43</v>
      </c>
      <c r="L20">
        <v>7</v>
      </c>
      <c r="M20">
        <v>7</v>
      </c>
      <c r="N20">
        <v>29435.63</v>
      </c>
      <c r="Q20">
        <v>202511</v>
      </c>
    </row>
    <row r="21" spans="1:17" x14ac:dyDescent="0.2">
      <c r="A21" t="s">
        <v>245</v>
      </c>
      <c r="B21" s="27">
        <v>45981.83388888889</v>
      </c>
      <c r="C21" t="s">
        <v>91</v>
      </c>
      <c r="D21" t="s">
        <v>90</v>
      </c>
      <c r="E21" t="s">
        <v>131</v>
      </c>
      <c r="F21" t="s">
        <v>45</v>
      </c>
      <c r="G21" t="s">
        <v>138</v>
      </c>
      <c r="H21" t="s">
        <v>49</v>
      </c>
      <c r="I21" t="s">
        <v>44</v>
      </c>
      <c r="J21" t="s">
        <v>47</v>
      </c>
      <c r="K21" t="s">
        <v>43</v>
      </c>
      <c r="L21">
        <v>7</v>
      </c>
      <c r="M21">
        <v>7</v>
      </c>
      <c r="N21">
        <v>28927.63</v>
      </c>
      <c r="Q21">
        <v>202511</v>
      </c>
    </row>
    <row r="22" spans="1:17" x14ac:dyDescent="0.2">
      <c r="A22" t="s">
        <v>246</v>
      </c>
      <c r="B22" s="27">
        <v>45980.814733796295</v>
      </c>
      <c r="C22" t="s">
        <v>91</v>
      </c>
      <c r="D22" t="s">
        <v>90</v>
      </c>
      <c r="F22" t="s">
        <v>45</v>
      </c>
      <c r="G22" t="s">
        <v>140</v>
      </c>
      <c r="H22" t="s">
        <v>49</v>
      </c>
      <c r="I22" t="s">
        <v>44</v>
      </c>
      <c r="J22" t="s">
        <v>47</v>
      </c>
      <c r="K22" t="s">
        <v>43</v>
      </c>
      <c r="L22">
        <v>7</v>
      </c>
      <c r="M22">
        <v>7</v>
      </c>
      <c r="N22">
        <v>28783.63</v>
      </c>
      <c r="Q22">
        <v>202511</v>
      </c>
    </row>
    <row r="23" spans="1:17" x14ac:dyDescent="0.2">
      <c r="A23" t="s">
        <v>247</v>
      </c>
      <c r="B23" s="27">
        <v>45979.817743055559</v>
      </c>
      <c r="C23" t="s">
        <v>91</v>
      </c>
      <c r="D23" t="s">
        <v>90</v>
      </c>
      <c r="F23" t="s">
        <v>45</v>
      </c>
      <c r="G23" t="s">
        <v>142</v>
      </c>
      <c r="H23" t="s">
        <v>49</v>
      </c>
      <c r="I23" t="s">
        <v>44</v>
      </c>
      <c r="J23" t="s">
        <v>47</v>
      </c>
      <c r="K23" t="s">
        <v>43</v>
      </c>
      <c r="L23">
        <v>7</v>
      </c>
      <c r="M23">
        <v>7</v>
      </c>
      <c r="N23">
        <v>28552.63</v>
      </c>
      <c r="Q23">
        <v>202511</v>
      </c>
    </row>
    <row r="24" spans="1:17" x14ac:dyDescent="0.2">
      <c r="A24" t="s">
        <v>248</v>
      </c>
      <c r="B24" s="27">
        <v>45979.817731481482</v>
      </c>
      <c r="C24" t="s">
        <v>91</v>
      </c>
      <c r="D24" t="s">
        <v>90</v>
      </c>
      <c r="F24" t="s">
        <v>45</v>
      </c>
      <c r="G24" t="s">
        <v>144</v>
      </c>
      <c r="H24" t="s">
        <v>49</v>
      </c>
      <c r="I24" t="s">
        <v>44</v>
      </c>
      <c r="J24" t="s">
        <v>47</v>
      </c>
      <c r="K24" t="s">
        <v>43</v>
      </c>
      <c r="L24">
        <v>7</v>
      </c>
      <c r="M24">
        <v>7</v>
      </c>
      <c r="N24">
        <v>28284.38</v>
      </c>
      <c r="Q24">
        <v>202511</v>
      </c>
    </row>
    <row r="25" spans="1:17" x14ac:dyDescent="0.2">
      <c r="A25" t="s">
        <v>249</v>
      </c>
      <c r="B25" s="27">
        <v>45979.817407407405</v>
      </c>
      <c r="C25" t="s">
        <v>91</v>
      </c>
      <c r="D25" t="s">
        <v>90</v>
      </c>
      <c r="F25" t="s">
        <v>45</v>
      </c>
      <c r="G25" t="s">
        <v>146</v>
      </c>
      <c r="H25" t="s">
        <v>49</v>
      </c>
      <c r="I25" t="s">
        <v>44</v>
      </c>
      <c r="J25" t="s">
        <v>47</v>
      </c>
      <c r="K25" t="s">
        <v>43</v>
      </c>
      <c r="L25">
        <v>7</v>
      </c>
      <c r="M25">
        <v>7</v>
      </c>
      <c r="N25">
        <v>28016.13</v>
      </c>
      <c r="Q25">
        <v>202511</v>
      </c>
    </row>
    <row r="26" spans="1:17" x14ac:dyDescent="0.2">
      <c r="A26" t="s">
        <v>250</v>
      </c>
      <c r="B26" s="27">
        <v>45979.812777777777</v>
      </c>
      <c r="C26" t="s">
        <v>91</v>
      </c>
      <c r="D26" t="s">
        <v>90</v>
      </c>
      <c r="E26" t="s">
        <v>101</v>
      </c>
      <c r="F26" t="s">
        <v>45</v>
      </c>
      <c r="G26" t="s">
        <v>148</v>
      </c>
      <c r="H26" t="s">
        <v>49</v>
      </c>
      <c r="I26" t="s">
        <v>44</v>
      </c>
      <c r="J26" t="s">
        <v>47</v>
      </c>
      <c r="K26" t="s">
        <v>43</v>
      </c>
      <c r="L26">
        <v>7</v>
      </c>
      <c r="M26">
        <v>7</v>
      </c>
      <c r="N26">
        <v>27692.13</v>
      </c>
      <c r="Q26">
        <v>202511</v>
      </c>
    </row>
    <row r="27" spans="1:17" x14ac:dyDescent="0.2">
      <c r="A27" t="s">
        <v>251</v>
      </c>
      <c r="B27" s="27">
        <v>45975.821782407409</v>
      </c>
      <c r="C27" t="s">
        <v>91</v>
      </c>
      <c r="D27" t="s">
        <v>90</v>
      </c>
      <c r="E27" t="s">
        <v>150</v>
      </c>
      <c r="F27" t="s">
        <v>45</v>
      </c>
      <c r="G27" t="s">
        <v>151</v>
      </c>
      <c r="H27" t="s">
        <v>49</v>
      </c>
      <c r="I27" t="s">
        <v>44</v>
      </c>
      <c r="J27" t="s">
        <v>47</v>
      </c>
      <c r="K27" t="s">
        <v>43</v>
      </c>
      <c r="L27">
        <v>7</v>
      </c>
      <c r="M27">
        <v>7</v>
      </c>
      <c r="N27">
        <v>27587.13</v>
      </c>
      <c r="Q27">
        <v>202511</v>
      </c>
    </row>
    <row r="28" spans="1:17" x14ac:dyDescent="0.2">
      <c r="A28" t="s">
        <v>252</v>
      </c>
      <c r="B28" s="27">
        <v>45975.81527777778</v>
      </c>
      <c r="C28" t="s">
        <v>91</v>
      </c>
      <c r="D28" t="s">
        <v>90</v>
      </c>
      <c r="F28" t="s">
        <v>45</v>
      </c>
      <c r="G28" t="s">
        <v>153</v>
      </c>
      <c r="H28" t="s">
        <v>49</v>
      </c>
      <c r="I28" t="s">
        <v>44</v>
      </c>
      <c r="J28" t="s">
        <v>47</v>
      </c>
      <c r="K28" t="s">
        <v>43</v>
      </c>
      <c r="L28">
        <v>27</v>
      </c>
      <c r="M28">
        <v>27</v>
      </c>
      <c r="N28">
        <v>27553.13</v>
      </c>
      <c r="Q28">
        <v>202511</v>
      </c>
    </row>
    <row r="29" spans="1:17" x14ac:dyDescent="0.2">
      <c r="A29" t="s">
        <v>253</v>
      </c>
      <c r="B29" s="27">
        <v>45972.860497685186</v>
      </c>
      <c r="C29" t="s">
        <v>91</v>
      </c>
      <c r="D29" t="s">
        <v>90</v>
      </c>
      <c r="F29" t="s">
        <v>45</v>
      </c>
      <c r="G29" t="s">
        <v>157</v>
      </c>
      <c r="H29" t="s">
        <v>49</v>
      </c>
      <c r="I29" t="s">
        <v>44</v>
      </c>
      <c r="J29" t="s">
        <v>47</v>
      </c>
      <c r="K29" t="s">
        <v>43</v>
      </c>
      <c r="L29">
        <v>7</v>
      </c>
      <c r="M29">
        <v>7</v>
      </c>
      <c r="N29">
        <v>27060.94</v>
      </c>
      <c r="Q29">
        <v>202511</v>
      </c>
    </row>
    <row r="30" spans="1:17" x14ac:dyDescent="0.2">
      <c r="A30" t="s">
        <v>254</v>
      </c>
      <c r="B30" s="27">
        <v>45972.86010416667</v>
      </c>
      <c r="C30" t="s">
        <v>91</v>
      </c>
      <c r="D30" t="s">
        <v>90</v>
      </c>
      <c r="F30" t="s">
        <v>45</v>
      </c>
      <c r="G30" t="s">
        <v>159</v>
      </c>
      <c r="H30" t="s">
        <v>49</v>
      </c>
      <c r="I30" t="s">
        <v>44</v>
      </c>
      <c r="J30" t="s">
        <v>47</v>
      </c>
      <c r="K30" t="s">
        <v>43</v>
      </c>
      <c r="L30">
        <v>7</v>
      </c>
      <c r="M30">
        <v>7</v>
      </c>
      <c r="N30">
        <v>26736.94</v>
      </c>
      <c r="Q30">
        <v>202511</v>
      </c>
    </row>
    <row r="31" spans="1:17" x14ac:dyDescent="0.2">
      <c r="A31" t="s">
        <v>255</v>
      </c>
      <c r="B31" s="27">
        <v>45971.694687499999</v>
      </c>
      <c r="C31" t="s">
        <v>91</v>
      </c>
      <c r="D31" t="s">
        <v>90</v>
      </c>
      <c r="E31" t="s">
        <v>161</v>
      </c>
      <c r="F31" t="s">
        <v>45</v>
      </c>
      <c r="G31" t="s">
        <v>162</v>
      </c>
      <c r="H31" t="s">
        <v>49</v>
      </c>
      <c r="I31" t="s">
        <v>44</v>
      </c>
      <c r="J31" t="s">
        <v>47</v>
      </c>
      <c r="K31" t="s">
        <v>43</v>
      </c>
      <c r="L31">
        <v>7</v>
      </c>
      <c r="M31">
        <v>7</v>
      </c>
      <c r="N31">
        <v>26371.94</v>
      </c>
      <c r="Q31">
        <v>202511</v>
      </c>
    </row>
    <row r="32" spans="1:17" x14ac:dyDescent="0.2">
      <c r="A32" t="s">
        <v>256</v>
      </c>
      <c r="B32" s="27">
        <v>45971.692673611113</v>
      </c>
      <c r="C32" t="s">
        <v>91</v>
      </c>
      <c r="D32" t="s">
        <v>90</v>
      </c>
      <c r="F32" t="s">
        <v>45</v>
      </c>
      <c r="G32" t="s">
        <v>164</v>
      </c>
      <c r="H32" t="s">
        <v>49</v>
      </c>
      <c r="I32" t="s">
        <v>44</v>
      </c>
      <c r="J32" t="s">
        <v>47</v>
      </c>
      <c r="K32" t="s">
        <v>43</v>
      </c>
      <c r="L32">
        <v>7</v>
      </c>
      <c r="M32">
        <v>7</v>
      </c>
      <c r="N32">
        <v>25794.94</v>
      </c>
      <c r="Q32">
        <v>202511</v>
      </c>
    </row>
    <row r="33" spans="1:17" x14ac:dyDescent="0.2">
      <c r="A33" t="s">
        <v>257</v>
      </c>
      <c r="B33" s="27">
        <v>45971.686527777776</v>
      </c>
      <c r="C33" t="s">
        <v>91</v>
      </c>
      <c r="D33" t="s">
        <v>90</v>
      </c>
      <c r="F33" t="s">
        <v>45</v>
      </c>
      <c r="G33" t="s">
        <v>166</v>
      </c>
      <c r="H33" t="s">
        <v>49</v>
      </c>
      <c r="I33" t="s">
        <v>44</v>
      </c>
      <c r="J33" t="s">
        <v>47</v>
      </c>
      <c r="K33" t="s">
        <v>43</v>
      </c>
      <c r="L33">
        <v>7</v>
      </c>
      <c r="M33">
        <v>7</v>
      </c>
      <c r="N33">
        <v>25429.94</v>
      </c>
      <c r="Q33">
        <v>202511</v>
      </c>
    </row>
    <row r="34" spans="1:17" x14ac:dyDescent="0.2">
      <c r="A34" t="s">
        <v>258</v>
      </c>
      <c r="B34" s="27">
        <v>45971.683368055557</v>
      </c>
      <c r="C34" t="s">
        <v>91</v>
      </c>
      <c r="D34" t="s">
        <v>90</v>
      </c>
      <c r="F34" t="s">
        <v>45</v>
      </c>
      <c r="G34" t="s">
        <v>168</v>
      </c>
      <c r="H34" t="s">
        <v>49</v>
      </c>
      <c r="I34" t="s">
        <v>44</v>
      </c>
      <c r="J34" t="s">
        <v>47</v>
      </c>
      <c r="K34" t="s">
        <v>43</v>
      </c>
      <c r="L34">
        <v>7</v>
      </c>
      <c r="M34">
        <v>7</v>
      </c>
      <c r="N34">
        <v>24852.94</v>
      </c>
      <c r="Q34">
        <v>202511</v>
      </c>
    </row>
    <row r="35" spans="1:17" x14ac:dyDescent="0.2">
      <c r="A35" t="s">
        <v>259</v>
      </c>
      <c r="B35" s="27">
        <v>45968.826701388891</v>
      </c>
      <c r="C35" t="s">
        <v>91</v>
      </c>
      <c r="D35" t="s">
        <v>90</v>
      </c>
      <c r="E35" t="s">
        <v>161</v>
      </c>
      <c r="F35" t="s">
        <v>45</v>
      </c>
      <c r="G35" t="s">
        <v>170</v>
      </c>
      <c r="H35" t="s">
        <v>49</v>
      </c>
      <c r="I35" t="s">
        <v>44</v>
      </c>
      <c r="J35" t="s">
        <v>47</v>
      </c>
      <c r="K35" t="s">
        <v>43</v>
      </c>
      <c r="L35">
        <v>7</v>
      </c>
      <c r="M35">
        <v>7</v>
      </c>
      <c r="N35">
        <v>24275.94</v>
      </c>
      <c r="Q35">
        <v>202511</v>
      </c>
    </row>
    <row r="36" spans="1:17" x14ac:dyDescent="0.2">
      <c r="A36" t="s">
        <v>260</v>
      </c>
      <c r="B36" s="27">
        <v>45968.820983796293</v>
      </c>
      <c r="C36" t="s">
        <v>91</v>
      </c>
      <c r="D36" t="s">
        <v>90</v>
      </c>
      <c r="E36" t="s">
        <v>161</v>
      </c>
      <c r="F36" t="s">
        <v>45</v>
      </c>
      <c r="G36" t="s">
        <v>172</v>
      </c>
      <c r="H36" t="s">
        <v>49</v>
      </c>
      <c r="I36" t="s">
        <v>44</v>
      </c>
      <c r="J36" t="s">
        <v>47</v>
      </c>
      <c r="K36" t="s">
        <v>43</v>
      </c>
      <c r="L36">
        <v>7</v>
      </c>
      <c r="M36">
        <v>7</v>
      </c>
      <c r="N36">
        <v>24244.94</v>
      </c>
      <c r="Q36">
        <v>202511</v>
      </c>
    </row>
    <row r="37" spans="1:17" x14ac:dyDescent="0.2">
      <c r="A37" t="s">
        <v>261</v>
      </c>
      <c r="B37" s="27">
        <v>45967.807569444441</v>
      </c>
      <c r="C37" t="s">
        <v>91</v>
      </c>
      <c r="D37" t="s">
        <v>90</v>
      </c>
      <c r="E37" t="s">
        <v>174</v>
      </c>
      <c r="F37" t="s">
        <v>45</v>
      </c>
      <c r="G37" t="s">
        <v>175</v>
      </c>
      <c r="H37" t="s">
        <v>49</v>
      </c>
      <c r="I37" t="s">
        <v>44</v>
      </c>
      <c r="J37" t="s">
        <v>47</v>
      </c>
      <c r="K37" t="s">
        <v>43</v>
      </c>
      <c r="L37">
        <v>27</v>
      </c>
      <c r="M37">
        <v>27</v>
      </c>
      <c r="N37">
        <v>24096.38</v>
      </c>
      <c r="Q37">
        <v>202511</v>
      </c>
    </row>
    <row r="38" spans="1:17" x14ac:dyDescent="0.2">
      <c r="A38" t="s">
        <v>262</v>
      </c>
      <c r="B38" s="27">
        <v>45967.80605324074</v>
      </c>
      <c r="C38" t="s">
        <v>91</v>
      </c>
      <c r="D38" t="s">
        <v>90</v>
      </c>
      <c r="F38" t="s">
        <v>45</v>
      </c>
      <c r="G38" t="s">
        <v>177</v>
      </c>
      <c r="H38" t="s">
        <v>49</v>
      </c>
      <c r="I38" t="s">
        <v>44</v>
      </c>
      <c r="J38" t="s">
        <v>47</v>
      </c>
      <c r="K38" t="s">
        <v>43</v>
      </c>
      <c r="L38">
        <v>16</v>
      </c>
      <c r="M38">
        <v>16</v>
      </c>
      <c r="N38">
        <v>23637.38</v>
      </c>
      <c r="Q38">
        <v>202511</v>
      </c>
    </row>
    <row r="39" spans="1:17" x14ac:dyDescent="0.2">
      <c r="A39" t="s">
        <v>263</v>
      </c>
      <c r="B39" s="27">
        <v>45967.8049537037</v>
      </c>
      <c r="C39" t="s">
        <v>91</v>
      </c>
      <c r="D39" t="s">
        <v>90</v>
      </c>
      <c r="E39" t="s">
        <v>174</v>
      </c>
      <c r="F39" t="s">
        <v>45</v>
      </c>
      <c r="G39" t="s">
        <v>179</v>
      </c>
      <c r="H39" t="s">
        <v>49</v>
      </c>
      <c r="I39" t="s">
        <v>44</v>
      </c>
      <c r="J39" t="s">
        <v>47</v>
      </c>
      <c r="K39" t="s">
        <v>43</v>
      </c>
      <c r="L39">
        <v>16</v>
      </c>
      <c r="M39">
        <v>16</v>
      </c>
      <c r="N39">
        <v>23488.67</v>
      </c>
      <c r="Q39">
        <v>202511</v>
      </c>
    </row>
    <row r="40" spans="1:17" x14ac:dyDescent="0.2">
      <c r="A40" t="s">
        <v>264</v>
      </c>
      <c r="B40" s="27">
        <v>45967.803877314815</v>
      </c>
      <c r="C40" t="s">
        <v>91</v>
      </c>
      <c r="D40" t="s">
        <v>90</v>
      </c>
      <c r="F40" t="s">
        <v>45</v>
      </c>
      <c r="G40" t="s">
        <v>181</v>
      </c>
      <c r="H40" t="s">
        <v>49</v>
      </c>
      <c r="I40" t="s">
        <v>44</v>
      </c>
      <c r="J40" t="s">
        <v>47</v>
      </c>
      <c r="K40" t="s">
        <v>43</v>
      </c>
      <c r="L40">
        <v>27</v>
      </c>
      <c r="M40">
        <v>27</v>
      </c>
      <c r="N40">
        <v>22583.67</v>
      </c>
      <c r="Q40">
        <v>202511</v>
      </c>
    </row>
    <row r="41" spans="1:17" x14ac:dyDescent="0.2">
      <c r="A41" t="s">
        <v>265</v>
      </c>
      <c r="B41" s="27">
        <v>45967.799884259257</v>
      </c>
      <c r="C41" t="s">
        <v>91</v>
      </c>
      <c r="D41" t="s">
        <v>90</v>
      </c>
      <c r="F41" t="s">
        <v>45</v>
      </c>
      <c r="G41" t="s">
        <v>183</v>
      </c>
      <c r="H41" t="s">
        <v>49</v>
      </c>
      <c r="I41" t="s">
        <v>44</v>
      </c>
      <c r="J41" t="s">
        <v>47</v>
      </c>
      <c r="K41" t="s">
        <v>43</v>
      </c>
      <c r="L41">
        <v>7</v>
      </c>
      <c r="M41">
        <v>7</v>
      </c>
      <c r="N41">
        <v>22098.48</v>
      </c>
      <c r="Q41">
        <v>202511</v>
      </c>
    </row>
    <row r="42" spans="1:17" x14ac:dyDescent="0.2">
      <c r="A42" t="s">
        <v>266</v>
      </c>
      <c r="B42" s="27">
        <v>45967.799456018518</v>
      </c>
      <c r="C42" t="s">
        <v>91</v>
      </c>
      <c r="D42" t="s">
        <v>90</v>
      </c>
      <c r="F42" t="s">
        <v>45</v>
      </c>
      <c r="G42" t="s">
        <v>185</v>
      </c>
      <c r="H42" t="s">
        <v>49</v>
      </c>
      <c r="I42" t="s">
        <v>44</v>
      </c>
      <c r="J42" t="s">
        <v>47</v>
      </c>
      <c r="K42" t="s">
        <v>43</v>
      </c>
      <c r="L42">
        <v>16</v>
      </c>
      <c r="M42">
        <v>16</v>
      </c>
      <c r="N42">
        <v>21774.48</v>
      </c>
      <c r="Q42">
        <v>202511</v>
      </c>
    </row>
    <row r="43" spans="1:17" x14ac:dyDescent="0.2">
      <c r="A43" t="s">
        <v>267</v>
      </c>
      <c r="B43" s="27">
        <v>45967.799178240741</v>
      </c>
      <c r="C43" t="s">
        <v>91</v>
      </c>
      <c r="D43" t="s">
        <v>90</v>
      </c>
      <c r="E43" t="s">
        <v>161</v>
      </c>
      <c r="F43" t="s">
        <v>45</v>
      </c>
      <c r="G43" t="s">
        <v>187</v>
      </c>
      <c r="H43" t="s">
        <v>49</v>
      </c>
      <c r="I43" t="s">
        <v>44</v>
      </c>
      <c r="J43" t="s">
        <v>47</v>
      </c>
      <c r="K43" t="s">
        <v>43</v>
      </c>
      <c r="L43">
        <v>7</v>
      </c>
      <c r="M43">
        <v>7</v>
      </c>
      <c r="N43">
        <v>21672.68</v>
      </c>
      <c r="Q43">
        <v>202511</v>
      </c>
    </row>
    <row r="44" spans="1:17" x14ac:dyDescent="0.2">
      <c r="A44" t="s">
        <v>268</v>
      </c>
      <c r="B44" s="27">
        <v>45967.760393518518</v>
      </c>
      <c r="C44" t="s">
        <v>91</v>
      </c>
      <c r="D44" t="s">
        <v>90</v>
      </c>
      <c r="E44" t="s">
        <v>121</v>
      </c>
      <c r="F44" t="s">
        <v>45</v>
      </c>
      <c r="G44" t="s">
        <v>189</v>
      </c>
      <c r="H44" t="s">
        <v>49</v>
      </c>
      <c r="I44" t="s">
        <v>44</v>
      </c>
      <c r="J44" t="s">
        <v>47</v>
      </c>
      <c r="K44" t="s">
        <v>43</v>
      </c>
      <c r="L44">
        <v>7</v>
      </c>
      <c r="M44">
        <v>7</v>
      </c>
      <c r="N44">
        <v>21154.68</v>
      </c>
      <c r="Q44">
        <v>202511</v>
      </c>
    </row>
    <row r="45" spans="1:17" x14ac:dyDescent="0.2">
      <c r="A45" t="s">
        <v>269</v>
      </c>
      <c r="B45" s="27">
        <v>45966.871134259258</v>
      </c>
      <c r="C45" t="s">
        <v>91</v>
      </c>
      <c r="D45" t="s">
        <v>90</v>
      </c>
      <c r="F45" t="s">
        <v>45</v>
      </c>
      <c r="G45" t="s">
        <v>191</v>
      </c>
      <c r="H45" t="s">
        <v>49</v>
      </c>
      <c r="I45" t="s">
        <v>44</v>
      </c>
      <c r="J45" t="s">
        <v>47</v>
      </c>
      <c r="K45" t="s">
        <v>43</v>
      </c>
      <c r="L45">
        <v>7</v>
      </c>
      <c r="M45">
        <v>7</v>
      </c>
      <c r="N45">
        <v>21053.14</v>
      </c>
      <c r="Q45">
        <v>202511</v>
      </c>
    </row>
    <row r="46" spans="1:17" x14ac:dyDescent="0.2">
      <c r="A46" t="s">
        <v>270</v>
      </c>
      <c r="B46" s="27">
        <v>45966.868449074071</v>
      </c>
      <c r="C46" t="s">
        <v>91</v>
      </c>
      <c r="D46" t="s">
        <v>90</v>
      </c>
      <c r="E46" t="s">
        <v>131</v>
      </c>
      <c r="F46" t="s">
        <v>45</v>
      </c>
      <c r="G46" t="s">
        <v>193</v>
      </c>
      <c r="H46" t="s">
        <v>49</v>
      </c>
      <c r="I46" t="s">
        <v>44</v>
      </c>
      <c r="J46" t="s">
        <v>47</v>
      </c>
      <c r="K46" t="s">
        <v>43</v>
      </c>
      <c r="L46">
        <v>7</v>
      </c>
      <c r="M46">
        <v>7</v>
      </c>
      <c r="N46">
        <v>20688.14</v>
      </c>
      <c r="Q46">
        <v>202511</v>
      </c>
    </row>
    <row r="47" spans="1:17" x14ac:dyDescent="0.2">
      <c r="A47" t="s">
        <v>271</v>
      </c>
      <c r="B47" s="27">
        <v>45966.868090277778</v>
      </c>
      <c r="C47" t="s">
        <v>91</v>
      </c>
      <c r="D47" t="s">
        <v>90</v>
      </c>
      <c r="F47" t="s">
        <v>45</v>
      </c>
      <c r="G47" t="s">
        <v>195</v>
      </c>
      <c r="H47" t="s">
        <v>49</v>
      </c>
      <c r="I47" t="s">
        <v>44</v>
      </c>
      <c r="J47" t="s">
        <v>47</v>
      </c>
      <c r="K47" t="s">
        <v>43</v>
      </c>
      <c r="L47">
        <v>7</v>
      </c>
      <c r="M47">
        <v>7</v>
      </c>
      <c r="N47">
        <v>20419.89</v>
      </c>
      <c r="Q47">
        <v>202511</v>
      </c>
    </row>
    <row r="48" spans="1:17" x14ac:dyDescent="0.2">
      <c r="A48" t="s">
        <v>272</v>
      </c>
      <c r="B48" s="27">
        <v>45966.867152777777</v>
      </c>
      <c r="C48" t="s">
        <v>91</v>
      </c>
      <c r="D48" t="s">
        <v>90</v>
      </c>
      <c r="E48" t="s">
        <v>197</v>
      </c>
      <c r="F48" t="s">
        <v>45</v>
      </c>
      <c r="G48" t="s">
        <v>198</v>
      </c>
      <c r="H48" t="s">
        <v>49</v>
      </c>
      <c r="I48" t="s">
        <v>44</v>
      </c>
      <c r="J48" t="s">
        <v>47</v>
      </c>
      <c r="K48" t="s">
        <v>43</v>
      </c>
      <c r="L48">
        <v>7</v>
      </c>
      <c r="M48">
        <v>7</v>
      </c>
      <c r="N48">
        <v>20054.89</v>
      </c>
      <c r="Q48">
        <v>202511</v>
      </c>
    </row>
    <row r="49" spans="1:17" x14ac:dyDescent="0.2">
      <c r="A49" t="s">
        <v>273</v>
      </c>
      <c r="B49" s="27">
        <v>45966.867106481484</v>
      </c>
      <c r="C49" t="s">
        <v>91</v>
      </c>
      <c r="D49" t="s">
        <v>90</v>
      </c>
      <c r="F49" t="s">
        <v>45</v>
      </c>
      <c r="G49" t="s">
        <v>200</v>
      </c>
      <c r="H49" t="s">
        <v>49</v>
      </c>
      <c r="I49" t="s">
        <v>44</v>
      </c>
      <c r="J49" t="s">
        <v>47</v>
      </c>
      <c r="K49" t="s">
        <v>43</v>
      </c>
      <c r="L49">
        <v>7</v>
      </c>
      <c r="M49">
        <v>7</v>
      </c>
      <c r="N49">
        <v>19477.89</v>
      </c>
      <c r="Q49">
        <v>202511</v>
      </c>
    </row>
    <row r="50" spans="1:17" x14ac:dyDescent="0.2">
      <c r="A50" t="s">
        <v>274</v>
      </c>
      <c r="B50" s="27">
        <v>45966.866863425923</v>
      </c>
      <c r="C50" t="s">
        <v>91</v>
      </c>
      <c r="D50" t="s">
        <v>90</v>
      </c>
      <c r="E50" t="s">
        <v>131</v>
      </c>
      <c r="F50" t="s">
        <v>45</v>
      </c>
      <c r="G50" t="s">
        <v>202</v>
      </c>
      <c r="H50" t="s">
        <v>49</v>
      </c>
      <c r="I50" t="s">
        <v>44</v>
      </c>
      <c r="J50" t="s">
        <v>47</v>
      </c>
      <c r="K50" t="s">
        <v>43</v>
      </c>
      <c r="L50">
        <v>7</v>
      </c>
      <c r="M50">
        <v>7</v>
      </c>
      <c r="N50">
        <v>19443.89</v>
      </c>
      <c r="Q50">
        <v>202511</v>
      </c>
    </row>
    <row r="51" spans="1:17" x14ac:dyDescent="0.2">
      <c r="A51" t="s">
        <v>275</v>
      </c>
      <c r="B51" s="27">
        <v>45966.866620370369</v>
      </c>
      <c r="C51" t="s">
        <v>91</v>
      </c>
      <c r="D51" t="s">
        <v>90</v>
      </c>
      <c r="F51" t="s">
        <v>45</v>
      </c>
      <c r="G51" t="s">
        <v>204</v>
      </c>
      <c r="H51" t="s">
        <v>49</v>
      </c>
      <c r="I51" t="s">
        <v>44</v>
      </c>
      <c r="J51" t="s">
        <v>47</v>
      </c>
      <c r="K51" t="s">
        <v>43</v>
      </c>
      <c r="L51">
        <v>7</v>
      </c>
      <c r="M51">
        <v>7</v>
      </c>
      <c r="N51">
        <v>19364.09</v>
      </c>
      <c r="Q51">
        <v>202511</v>
      </c>
    </row>
    <row r="52" spans="1:17" x14ac:dyDescent="0.2">
      <c r="A52" t="s">
        <v>276</v>
      </c>
      <c r="B52" s="27">
        <v>45966.866273148145</v>
      </c>
      <c r="C52" t="s">
        <v>91</v>
      </c>
      <c r="D52" t="s">
        <v>90</v>
      </c>
      <c r="F52" t="s">
        <v>45</v>
      </c>
      <c r="G52" t="s">
        <v>206</v>
      </c>
      <c r="H52" t="s">
        <v>49</v>
      </c>
      <c r="I52" t="s">
        <v>44</v>
      </c>
      <c r="J52" t="s">
        <v>47</v>
      </c>
      <c r="K52" t="s">
        <v>43</v>
      </c>
      <c r="L52">
        <v>7</v>
      </c>
      <c r="M52">
        <v>7</v>
      </c>
      <c r="N52">
        <v>19040.09</v>
      </c>
      <c r="Q52">
        <v>202511</v>
      </c>
    </row>
    <row r="53" spans="1:17" x14ac:dyDescent="0.2">
      <c r="A53" t="s">
        <v>277</v>
      </c>
      <c r="B53" s="27">
        <v>45966.862013888887</v>
      </c>
      <c r="C53" t="s">
        <v>91</v>
      </c>
      <c r="D53" t="s">
        <v>90</v>
      </c>
      <c r="F53" t="s">
        <v>45</v>
      </c>
      <c r="G53" t="s">
        <v>208</v>
      </c>
      <c r="H53" t="s">
        <v>49</v>
      </c>
      <c r="I53" t="s">
        <v>44</v>
      </c>
      <c r="J53" t="s">
        <v>47</v>
      </c>
      <c r="K53" t="s">
        <v>43</v>
      </c>
      <c r="L53">
        <v>7</v>
      </c>
      <c r="M53">
        <v>7</v>
      </c>
      <c r="N53">
        <v>18771.84</v>
      </c>
      <c r="Q53">
        <v>202511</v>
      </c>
    </row>
    <row r="54" spans="1:17" x14ac:dyDescent="0.2">
      <c r="A54" t="s">
        <v>278</v>
      </c>
      <c r="B54" s="27">
        <v>45966.86178240741</v>
      </c>
      <c r="C54" t="s">
        <v>91</v>
      </c>
      <c r="D54" t="s">
        <v>90</v>
      </c>
      <c r="F54" t="s">
        <v>45</v>
      </c>
      <c r="G54" t="s">
        <v>210</v>
      </c>
      <c r="H54" t="s">
        <v>49</v>
      </c>
      <c r="I54" t="s">
        <v>44</v>
      </c>
      <c r="J54" t="s">
        <v>47</v>
      </c>
      <c r="K54" t="s">
        <v>43</v>
      </c>
      <c r="L54">
        <v>7</v>
      </c>
      <c r="M54">
        <v>7</v>
      </c>
      <c r="N54">
        <v>18406.84</v>
      </c>
      <c r="Q54">
        <v>202511</v>
      </c>
    </row>
    <row r="55" spans="1:17" x14ac:dyDescent="0.2">
      <c r="A55" t="s">
        <v>279</v>
      </c>
      <c r="B55" s="27">
        <v>45966.861724537041</v>
      </c>
      <c r="C55" t="s">
        <v>91</v>
      </c>
      <c r="D55" t="s">
        <v>90</v>
      </c>
      <c r="F55" t="s">
        <v>45</v>
      </c>
      <c r="G55" t="s">
        <v>212</v>
      </c>
      <c r="H55" t="s">
        <v>49</v>
      </c>
      <c r="I55" t="s">
        <v>44</v>
      </c>
      <c r="J55" t="s">
        <v>47</v>
      </c>
      <c r="K55" t="s">
        <v>43</v>
      </c>
      <c r="L55">
        <v>7</v>
      </c>
      <c r="M55">
        <v>7</v>
      </c>
      <c r="N55">
        <v>18041.84</v>
      </c>
      <c r="Q55">
        <v>202511</v>
      </c>
    </row>
    <row r="56" spans="1:17" x14ac:dyDescent="0.2">
      <c r="A56" t="s">
        <v>280</v>
      </c>
      <c r="B56" s="27">
        <v>45965.909594907411</v>
      </c>
      <c r="C56" t="s">
        <v>91</v>
      </c>
      <c r="D56" t="s">
        <v>90</v>
      </c>
      <c r="F56" t="s">
        <v>45</v>
      </c>
      <c r="G56" t="s">
        <v>214</v>
      </c>
      <c r="H56" t="s">
        <v>49</v>
      </c>
      <c r="I56" t="s">
        <v>44</v>
      </c>
      <c r="J56" t="s">
        <v>47</v>
      </c>
      <c r="K56" t="s">
        <v>43</v>
      </c>
      <c r="L56">
        <v>16</v>
      </c>
      <c r="M56">
        <v>16</v>
      </c>
      <c r="N56">
        <v>17676.84</v>
      </c>
      <c r="Q56">
        <v>202511</v>
      </c>
    </row>
    <row r="57" spans="1:17" x14ac:dyDescent="0.2">
      <c r="A57" t="s">
        <v>281</v>
      </c>
      <c r="B57" s="27">
        <v>45964.686157407406</v>
      </c>
      <c r="C57" t="s">
        <v>91</v>
      </c>
      <c r="D57" t="s">
        <v>90</v>
      </c>
      <c r="E57" t="s">
        <v>121</v>
      </c>
      <c r="F57" t="s">
        <v>45</v>
      </c>
      <c r="G57" t="s">
        <v>216</v>
      </c>
      <c r="H57" t="s">
        <v>49</v>
      </c>
      <c r="I57" t="s">
        <v>44</v>
      </c>
      <c r="J57" t="s">
        <v>47</v>
      </c>
      <c r="K57" t="s">
        <v>43</v>
      </c>
      <c r="L57">
        <v>27</v>
      </c>
      <c r="M57">
        <v>27</v>
      </c>
      <c r="N57">
        <v>16791.84</v>
      </c>
      <c r="Q57">
        <v>202511</v>
      </c>
    </row>
    <row r="58" spans="1:17" x14ac:dyDescent="0.2">
      <c r="A58" t="s">
        <v>282</v>
      </c>
      <c r="B58" s="27">
        <v>45964.678912037038</v>
      </c>
      <c r="C58" t="s">
        <v>91</v>
      </c>
      <c r="D58" t="s">
        <v>90</v>
      </c>
      <c r="E58" t="s">
        <v>101</v>
      </c>
      <c r="F58" t="s">
        <v>45</v>
      </c>
      <c r="G58" t="s">
        <v>218</v>
      </c>
      <c r="H58" t="s">
        <v>49</v>
      </c>
      <c r="I58" t="s">
        <v>44</v>
      </c>
      <c r="J58" t="s">
        <v>47</v>
      </c>
      <c r="K58" t="s">
        <v>43</v>
      </c>
      <c r="L58">
        <v>27</v>
      </c>
      <c r="M58">
        <v>27</v>
      </c>
      <c r="N58">
        <v>16332.84</v>
      </c>
      <c r="Q58">
        <v>202511</v>
      </c>
    </row>
    <row r="59" spans="1:17" x14ac:dyDescent="0.2">
      <c r="A59" t="s">
        <v>283</v>
      </c>
      <c r="B59" s="27">
        <v>46009.70108796296</v>
      </c>
      <c r="C59" t="s">
        <v>91</v>
      </c>
      <c r="D59" t="s">
        <v>90</v>
      </c>
      <c r="E59" t="s">
        <v>220</v>
      </c>
      <c r="F59" t="s">
        <v>40</v>
      </c>
      <c r="G59" t="s">
        <v>221</v>
      </c>
      <c r="H59" t="s">
        <v>49</v>
      </c>
      <c r="I59" t="s">
        <v>44</v>
      </c>
      <c r="J59" t="s">
        <v>42</v>
      </c>
      <c r="K59" t="s">
        <v>43</v>
      </c>
      <c r="M59">
        <v>27</v>
      </c>
      <c r="Q59">
        <v>202511</v>
      </c>
    </row>
    <row r="60" spans="1:17" x14ac:dyDescent="0.2">
      <c r="A60" t="s">
        <v>283</v>
      </c>
      <c r="B60" s="27">
        <v>46009.70108796296</v>
      </c>
      <c r="C60" t="s">
        <v>91</v>
      </c>
      <c r="D60" t="s">
        <v>90</v>
      </c>
      <c r="E60" t="s">
        <v>90</v>
      </c>
      <c r="F60" t="s">
        <v>40</v>
      </c>
      <c r="G60" t="s">
        <v>104</v>
      </c>
      <c r="H60" t="s">
        <v>49</v>
      </c>
      <c r="I60" t="s">
        <v>41</v>
      </c>
      <c r="J60" t="s">
        <v>42</v>
      </c>
      <c r="K60" t="s">
        <v>43</v>
      </c>
      <c r="M60">
        <v>-27</v>
      </c>
      <c r="P60" t="s">
        <v>48</v>
      </c>
      <c r="Q60">
        <v>202511</v>
      </c>
    </row>
    <row r="61" spans="1:17" x14ac:dyDescent="0.2">
      <c r="A61" t="s">
        <v>283</v>
      </c>
      <c r="B61" s="27">
        <v>46009.70108796296</v>
      </c>
      <c r="C61" t="s">
        <v>91</v>
      </c>
      <c r="D61" t="s">
        <v>90</v>
      </c>
      <c r="E61" t="s">
        <v>90</v>
      </c>
      <c r="F61" t="s">
        <v>40</v>
      </c>
      <c r="G61" t="s">
        <v>222</v>
      </c>
      <c r="H61" t="s">
        <v>49</v>
      </c>
      <c r="I61" t="s">
        <v>44</v>
      </c>
      <c r="J61" t="s">
        <v>42</v>
      </c>
      <c r="K61" t="s">
        <v>43</v>
      </c>
      <c r="M61">
        <v>7</v>
      </c>
      <c r="Q61">
        <v>202511</v>
      </c>
    </row>
    <row r="62" spans="1:17" x14ac:dyDescent="0.2">
      <c r="A62" t="s">
        <v>283</v>
      </c>
      <c r="B62" s="27">
        <v>46009.70108796296</v>
      </c>
      <c r="C62" t="s">
        <v>91</v>
      </c>
      <c r="D62" t="s">
        <v>90</v>
      </c>
      <c r="E62" t="s">
        <v>90</v>
      </c>
      <c r="F62" t="s">
        <v>40</v>
      </c>
      <c r="G62" t="s">
        <v>223</v>
      </c>
      <c r="H62" t="s">
        <v>49</v>
      </c>
      <c r="I62" t="s">
        <v>44</v>
      </c>
      <c r="J62" t="s">
        <v>42</v>
      </c>
      <c r="K62" t="s">
        <v>43</v>
      </c>
      <c r="M62">
        <v>7</v>
      </c>
      <c r="Q62">
        <v>202511</v>
      </c>
    </row>
    <row r="63" spans="1:17" x14ac:dyDescent="0.2">
      <c r="A63" t="s">
        <v>283</v>
      </c>
      <c r="B63" s="27">
        <v>46009.70108796296</v>
      </c>
      <c r="C63" t="s">
        <v>91</v>
      </c>
      <c r="D63" t="s">
        <v>90</v>
      </c>
      <c r="E63" t="s">
        <v>90</v>
      </c>
      <c r="F63" t="s">
        <v>40</v>
      </c>
      <c r="G63" t="s">
        <v>224</v>
      </c>
      <c r="H63" t="s">
        <v>49</v>
      </c>
      <c r="I63" t="s">
        <v>44</v>
      </c>
      <c r="J63" t="s">
        <v>42</v>
      </c>
      <c r="K63" t="s">
        <v>43</v>
      </c>
      <c r="M63">
        <v>7</v>
      </c>
      <c r="Q63">
        <v>202511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EF98-3F81-4D69-B8FB-3224E9CC14DD}">
  <dimension ref="A1:Q62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3.25" customWidth="1"/>
    <col min="2" max="2" width="15.125" customWidth="1"/>
    <col min="3" max="3" width="15.75" customWidth="1"/>
    <col min="4" max="4" width="17.125" customWidth="1"/>
    <col min="5" max="5" width="14.375" customWidth="1"/>
    <col min="6" max="6" width="16.5" customWidth="1"/>
    <col min="7" max="7" width="15.75" customWidth="1"/>
    <col min="8" max="8" width="8.625" customWidth="1"/>
    <col min="9" max="9" width="9.5" customWidth="1"/>
    <col min="10" max="10" width="17.5" customWidth="1"/>
    <col min="11" max="11" width="9.125" customWidth="1"/>
    <col min="12" max="12" width="13.375" customWidth="1"/>
    <col min="13" max="15" width="11.25" customWidth="1"/>
    <col min="16" max="16" width="9.25" customWidth="1"/>
    <col min="17" max="17" width="7.5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25" t="s">
        <v>39</v>
      </c>
    </row>
    <row r="2" spans="1:17" x14ac:dyDescent="0.2">
      <c r="A2" t="s">
        <v>50</v>
      </c>
      <c r="B2" s="27">
        <v>46009.70108796296</v>
      </c>
      <c r="C2" t="s">
        <v>91</v>
      </c>
      <c r="D2" t="s">
        <v>90</v>
      </c>
      <c r="F2" t="s">
        <v>40</v>
      </c>
      <c r="G2" t="s">
        <v>122</v>
      </c>
      <c r="H2" t="s">
        <v>51</v>
      </c>
      <c r="I2" t="s">
        <v>44</v>
      </c>
      <c r="J2" t="s">
        <v>42</v>
      </c>
      <c r="K2" t="s">
        <v>43</v>
      </c>
      <c r="M2">
        <v>259.44</v>
      </c>
      <c r="Q2">
        <v>202511</v>
      </c>
    </row>
    <row r="3" spans="1:17" x14ac:dyDescent="0.2">
      <c r="A3" t="s">
        <v>50</v>
      </c>
      <c r="B3" s="27">
        <v>46009.70108796296</v>
      </c>
      <c r="C3" t="s">
        <v>91</v>
      </c>
      <c r="D3" t="s">
        <v>90</v>
      </c>
      <c r="F3" t="s">
        <v>40</v>
      </c>
      <c r="G3" t="s">
        <v>126</v>
      </c>
      <c r="H3" t="s">
        <v>51</v>
      </c>
      <c r="I3" t="s">
        <v>44</v>
      </c>
      <c r="J3" t="s">
        <v>42</v>
      </c>
      <c r="K3" t="s">
        <v>43</v>
      </c>
      <c r="M3">
        <v>267.89999999999998</v>
      </c>
      <c r="Q3">
        <v>202511</v>
      </c>
    </row>
    <row r="4" spans="1:17" x14ac:dyDescent="0.2">
      <c r="A4" t="s">
        <v>50</v>
      </c>
      <c r="B4" s="27">
        <v>46009.70108796296</v>
      </c>
      <c r="C4" t="s">
        <v>91</v>
      </c>
      <c r="D4" t="s">
        <v>90</v>
      </c>
      <c r="F4" t="s">
        <v>40</v>
      </c>
      <c r="G4" t="s">
        <v>189</v>
      </c>
      <c r="H4" t="s">
        <v>51</v>
      </c>
      <c r="I4" t="s">
        <v>44</v>
      </c>
      <c r="J4" t="s">
        <v>42</v>
      </c>
      <c r="K4" t="s">
        <v>43</v>
      </c>
      <c r="M4">
        <v>44.43</v>
      </c>
      <c r="Q4">
        <v>202511</v>
      </c>
    </row>
    <row r="5" spans="1:17" x14ac:dyDescent="0.2">
      <c r="A5" t="s">
        <v>50</v>
      </c>
      <c r="B5" s="27">
        <v>46009.70108796296</v>
      </c>
      <c r="C5" t="s">
        <v>91</v>
      </c>
      <c r="D5" t="s">
        <v>90</v>
      </c>
      <c r="F5" t="s">
        <v>40</v>
      </c>
      <c r="G5" t="s">
        <v>216</v>
      </c>
      <c r="H5" t="s">
        <v>51</v>
      </c>
      <c r="I5" t="s">
        <v>44</v>
      </c>
      <c r="J5" t="s">
        <v>42</v>
      </c>
      <c r="K5" t="s">
        <v>43</v>
      </c>
      <c r="M5">
        <v>203.04</v>
      </c>
      <c r="Q5">
        <v>202511</v>
      </c>
    </row>
    <row r="6" spans="1:17" x14ac:dyDescent="0.2">
      <c r="A6" t="s">
        <v>50</v>
      </c>
      <c r="B6" s="27">
        <v>46009.70108796296</v>
      </c>
      <c r="C6" t="s">
        <v>91</v>
      </c>
      <c r="D6" t="s">
        <v>90</v>
      </c>
      <c r="F6" t="s">
        <v>40</v>
      </c>
      <c r="G6" t="s">
        <v>151</v>
      </c>
      <c r="H6" t="s">
        <v>51</v>
      </c>
      <c r="I6" t="s">
        <v>44</v>
      </c>
      <c r="J6" t="s">
        <v>42</v>
      </c>
      <c r="K6" t="s">
        <v>43</v>
      </c>
      <c r="M6">
        <v>12.69</v>
      </c>
      <c r="Q6">
        <v>202511</v>
      </c>
    </row>
    <row r="7" spans="1:17" x14ac:dyDescent="0.2">
      <c r="A7" t="s">
        <v>50</v>
      </c>
      <c r="B7" s="27">
        <v>46009.70108796296</v>
      </c>
      <c r="C7" t="s">
        <v>91</v>
      </c>
      <c r="D7" t="s">
        <v>90</v>
      </c>
      <c r="F7" t="s">
        <v>40</v>
      </c>
      <c r="G7" t="s">
        <v>109</v>
      </c>
      <c r="H7" t="s">
        <v>51</v>
      </c>
      <c r="I7" t="s">
        <v>44</v>
      </c>
      <c r="J7" t="s">
        <v>42</v>
      </c>
      <c r="K7" t="s">
        <v>43</v>
      </c>
      <c r="M7">
        <v>37.6</v>
      </c>
      <c r="Q7">
        <v>202511</v>
      </c>
    </row>
    <row r="8" spans="1:17" x14ac:dyDescent="0.2">
      <c r="A8" t="s">
        <v>50</v>
      </c>
      <c r="B8" s="27">
        <v>46009.70108796296</v>
      </c>
      <c r="C8" t="s">
        <v>91</v>
      </c>
      <c r="D8" t="s">
        <v>90</v>
      </c>
      <c r="F8" t="s">
        <v>40</v>
      </c>
      <c r="G8" t="s">
        <v>134</v>
      </c>
      <c r="H8" t="s">
        <v>51</v>
      </c>
      <c r="I8" t="s">
        <v>44</v>
      </c>
      <c r="J8" t="s">
        <v>42</v>
      </c>
      <c r="K8" t="s">
        <v>43</v>
      </c>
      <c r="M8">
        <v>267.89999999999998</v>
      </c>
      <c r="Q8">
        <v>202511</v>
      </c>
    </row>
    <row r="9" spans="1:17" x14ac:dyDescent="0.2">
      <c r="A9" t="s">
        <v>50</v>
      </c>
      <c r="B9" s="27">
        <v>46009.70108796296</v>
      </c>
      <c r="C9" t="s">
        <v>91</v>
      </c>
      <c r="D9" t="s">
        <v>90</v>
      </c>
      <c r="F9" t="s">
        <v>40</v>
      </c>
      <c r="G9" t="s">
        <v>175</v>
      </c>
      <c r="H9" t="s">
        <v>51</v>
      </c>
      <c r="I9" t="s">
        <v>44</v>
      </c>
      <c r="J9" t="s">
        <v>42</v>
      </c>
      <c r="K9" t="s">
        <v>43</v>
      </c>
      <c r="M9">
        <v>203.04</v>
      </c>
      <c r="Q9">
        <v>202511</v>
      </c>
    </row>
    <row r="10" spans="1:17" x14ac:dyDescent="0.2">
      <c r="A10" t="s">
        <v>50</v>
      </c>
      <c r="B10" s="27">
        <v>46009.70108796296</v>
      </c>
      <c r="C10" t="s">
        <v>91</v>
      </c>
      <c r="D10" t="s">
        <v>90</v>
      </c>
      <c r="F10" t="s">
        <v>40</v>
      </c>
      <c r="G10" t="s">
        <v>179</v>
      </c>
      <c r="H10" t="s">
        <v>51</v>
      </c>
      <c r="I10" t="s">
        <v>44</v>
      </c>
      <c r="J10" t="s">
        <v>42</v>
      </c>
      <c r="K10" t="s">
        <v>43</v>
      </c>
      <c r="M10">
        <v>417.83</v>
      </c>
      <c r="Q10">
        <v>202511</v>
      </c>
    </row>
    <row r="11" spans="1:17" x14ac:dyDescent="0.2">
      <c r="A11" t="s">
        <v>50</v>
      </c>
      <c r="B11" s="27">
        <v>46009.70108796296</v>
      </c>
      <c r="C11" t="s">
        <v>91</v>
      </c>
      <c r="D11" t="s">
        <v>90</v>
      </c>
      <c r="F11" t="s">
        <v>40</v>
      </c>
      <c r="G11" t="s">
        <v>102</v>
      </c>
      <c r="H11" t="s">
        <v>51</v>
      </c>
      <c r="I11" t="s">
        <v>44</v>
      </c>
      <c r="J11" t="s">
        <v>42</v>
      </c>
      <c r="K11" t="s">
        <v>43</v>
      </c>
      <c r="M11">
        <v>84.13</v>
      </c>
      <c r="Q11">
        <v>202511</v>
      </c>
    </row>
    <row r="12" spans="1:17" x14ac:dyDescent="0.2">
      <c r="A12" t="s">
        <v>50</v>
      </c>
      <c r="B12" s="27">
        <v>46009.70108796296</v>
      </c>
      <c r="C12" t="s">
        <v>91</v>
      </c>
      <c r="D12" t="s">
        <v>90</v>
      </c>
      <c r="F12" t="s">
        <v>40</v>
      </c>
      <c r="G12" t="s">
        <v>106</v>
      </c>
      <c r="H12" t="s">
        <v>51</v>
      </c>
      <c r="I12" t="s">
        <v>44</v>
      </c>
      <c r="J12" t="s">
        <v>42</v>
      </c>
      <c r="K12" t="s">
        <v>43</v>
      </c>
      <c r="M12">
        <v>203.04</v>
      </c>
      <c r="Q12">
        <v>202511</v>
      </c>
    </row>
    <row r="13" spans="1:17" x14ac:dyDescent="0.2">
      <c r="A13" t="s">
        <v>50</v>
      </c>
      <c r="B13" s="27">
        <v>46009.70108796296</v>
      </c>
      <c r="C13" t="s">
        <v>91</v>
      </c>
      <c r="D13" t="s">
        <v>90</v>
      </c>
      <c r="F13" t="s">
        <v>40</v>
      </c>
      <c r="G13" t="s">
        <v>113</v>
      </c>
      <c r="H13" t="s">
        <v>51</v>
      </c>
      <c r="I13" t="s">
        <v>44</v>
      </c>
      <c r="J13" t="s">
        <v>42</v>
      </c>
      <c r="K13" t="s">
        <v>43</v>
      </c>
      <c r="M13">
        <v>175.78</v>
      </c>
      <c r="Q13">
        <v>202511</v>
      </c>
    </row>
    <row r="14" spans="1:17" x14ac:dyDescent="0.2">
      <c r="A14" t="s">
        <v>50</v>
      </c>
      <c r="B14" s="27">
        <v>46009.70108796296</v>
      </c>
      <c r="C14" t="s">
        <v>91</v>
      </c>
      <c r="D14" t="s">
        <v>90</v>
      </c>
      <c r="F14" t="s">
        <v>40</v>
      </c>
      <c r="G14" t="s">
        <v>148</v>
      </c>
      <c r="H14" t="s">
        <v>51</v>
      </c>
      <c r="I14" t="s">
        <v>44</v>
      </c>
      <c r="J14" t="s">
        <v>42</v>
      </c>
      <c r="K14" t="s">
        <v>43</v>
      </c>
      <c r="M14">
        <v>46.06</v>
      </c>
      <c r="Q14">
        <v>202511</v>
      </c>
    </row>
    <row r="15" spans="1:17" x14ac:dyDescent="0.2">
      <c r="A15" t="s">
        <v>50</v>
      </c>
      <c r="B15" s="27">
        <v>46009.70108796296</v>
      </c>
      <c r="C15" t="s">
        <v>91</v>
      </c>
      <c r="D15" t="s">
        <v>90</v>
      </c>
      <c r="F15" t="s">
        <v>40</v>
      </c>
      <c r="G15" t="s">
        <v>218</v>
      </c>
      <c r="H15" t="s">
        <v>51</v>
      </c>
      <c r="I15" t="s">
        <v>44</v>
      </c>
      <c r="J15" t="s">
        <v>42</v>
      </c>
      <c r="K15" t="s">
        <v>43</v>
      </c>
      <c r="M15">
        <v>985.17</v>
      </c>
      <c r="Q15">
        <v>202511</v>
      </c>
    </row>
    <row r="16" spans="1:17" x14ac:dyDescent="0.2">
      <c r="A16" t="s">
        <v>50</v>
      </c>
      <c r="B16" s="27">
        <v>46009.70108796296</v>
      </c>
      <c r="C16" t="s">
        <v>91</v>
      </c>
      <c r="D16" t="s">
        <v>90</v>
      </c>
      <c r="F16" t="s">
        <v>40</v>
      </c>
      <c r="G16" t="s">
        <v>221</v>
      </c>
      <c r="H16" t="s">
        <v>51</v>
      </c>
      <c r="I16" t="s">
        <v>44</v>
      </c>
      <c r="J16" t="s">
        <v>42</v>
      </c>
      <c r="K16" t="s">
        <v>43</v>
      </c>
      <c r="M16">
        <v>177.98</v>
      </c>
      <c r="Q16">
        <v>202511</v>
      </c>
    </row>
    <row r="17" spans="1:17" x14ac:dyDescent="0.2">
      <c r="A17" t="s">
        <v>50</v>
      </c>
      <c r="B17" s="27">
        <v>46009.70108796296</v>
      </c>
      <c r="C17" t="s">
        <v>91</v>
      </c>
      <c r="D17" t="s">
        <v>90</v>
      </c>
      <c r="F17" t="s">
        <v>40</v>
      </c>
      <c r="G17" t="s">
        <v>138</v>
      </c>
      <c r="H17" t="s">
        <v>51</v>
      </c>
      <c r="I17" t="s">
        <v>44</v>
      </c>
      <c r="J17" t="s">
        <v>42</v>
      </c>
      <c r="K17" t="s">
        <v>43</v>
      </c>
      <c r="M17">
        <v>64.39</v>
      </c>
      <c r="Q17">
        <v>202511</v>
      </c>
    </row>
    <row r="18" spans="1:17" x14ac:dyDescent="0.2">
      <c r="A18" t="s">
        <v>50</v>
      </c>
      <c r="B18" s="27">
        <v>46009.70108796296</v>
      </c>
      <c r="C18" t="s">
        <v>91</v>
      </c>
      <c r="D18" t="s">
        <v>90</v>
      </c>
      <c r="F18" t="s">
        <v>40</v>
      </c>
      <c r="G18" t="s">
        <v>132</v>
      </c>
      <c r="H18" t="s">
        <v>51</v>
      </c>
      <c r="I18" t="s">
        <v>44</v>
      </c>
      <c r="J18" t="s">
        <v>42</v>
      </c>
      <c r="K18" t="s">
        <v>43</v>
      </c>
      <c r="M18">
        <v>245.58</v>
      </c>
      <c r="Q18">
        <v>202511</v>
      </c>
    </row>
    <row r="19" spans="1:17" x14ac:dyDescent="0.2">
      <c r="A19" t="s">
        <v>50</v>
      </c>
      <c r="B19" s="27">
        <v>46009.70108796296</v>
      </c>
      <c r="C19" t="s">
        <v>91</v>
      </c>
      <c r="D19" t="s">
        <v>90</v>
      </c>
      <c r="F19" t="s">
        <v>40</v>
      </c>
      <c r="G19" t="s">
        <v>155</v>
      </c>
      <c r="H19" t="s">
        <v>51</v>
      </c>
      <c r="I19" t="s">
        <v>44</v>
      </c>
      <c r="J19" t="s">
        <v>42</v>
      </c>
      <c r="K19" t="s">
        <v>43</v>
      </c>
      <c r="M19">
        <v>3.29</v>
      </c>
      <c r="Q19">
        <v>202511</v>
      </c>
    </row>
    <row r="20" spans="1:17" x14ac:dyDescent="0.2">
      <c r="A20" t="s">
        <v>50</v>
      </c>
      <c r="B20" s="27">
        <v>46009.70108796296</v>
      </c>
      <c r="C20" t="s">
        <v>91</v>
      </c>
      <c r="D20" t="s">
        <v>90</v>
      </c>
      <c r="F20" t="s">
        <v>40</v>
      </c>
      <c r="G20" t="s">
        <v>193</v>
      </c>
      <c r="H20" t="s">
        <v>51</v>
      </c>
      <c r="I20" t="s">
        <v>44</v>
      </c>
      <c r="J20" t="s">
        <v>42</v>
      </c>
      <c r="K20" t="s">
        <v>43</v>
      </c>
      <c r="M20">
        <v>122.79</v>
      </c>
      <c r="Q20">
        <v>202511</v>
      </c>
    </row>
    <row r="21" spans="1:17" x14ac:dyDescent="0.2">
      <c r="A21" t="s">
        <v>50</v>
      </c>
      <c r="B21" s="27">
        <v>46009.70108796296</v>
      </c>
      <c r="C21" t="s">
        <v>91</v>
      </c>
      <c r="D21" t="s">
        <v>90</v>
      </c>
      <c r="F21" t="s">
        <v>40</v>
      </c>
      <c r="G21" t="s">
        <v>202</v>
      </c>
      <c r="H21" t="s">
        <v>51</v>
      </c>
      <c r="I21" t="s">
        <v>44</v>
      </c>
      <c r="J21" t="s">
        <v>42</v>
      </c>
      <c r="K21" t="s">
        <v>43</v>
      </c>
      <c r="M21">
        <v>34.22</v>
      </c>
      <c r="Q21">
        <v>202511</v>
      </c>
    </row>
    <row r="22" spans="1:17" x14ac:dyDescent="0.2">
      <c r="A22" t="s">
        <v>50</v>
      </c>
      <c r="B22" s="27">
        <v>46009.70108796296</v>
      </c>
      <c r="C22" t="s">
        <v>91</v>
      </c>
      <c r="D22" t="s">
        <v>90</v>
      </c>
      <c r="F22" t="s">
        <v>40</v>
      </c>
      <c r="G22" t="s">
        <v>99</v>
      </c>
      <c r="H22" t="s">
        <v>51</v>
      </c>
      <c r="I22" t="s">
        <v>44</v>
      </c>
      <c r="J22" t="s">
        <v>42</v>
      </c>
      <c r="K22" t="s">
        <v>43</v>
      </c>
      <c r="M22">
        <v>12.69</v>
      </c>
      <c r="Q22">
        <v>202511</v>
      </c>
    </row>
    <row r="23" spans="1:17" x14ac:dyDescent="0.2">
      <c r="A23" t="s">
        <v>50</v>
      </c>
      <c r="B23" s="27">
        <v>46009.70108796296</v>
      </c>
      <c r="C23" t="s">
        <v>91</v>
      </c>
      <c r="D23" t="s">
        <v>90</v>
      </c>
      <c r="F23" t="s">
        <v>40</v>
      </c>
      <c r="G23" t="s">
        <v>97</v>
      </c>
      <c r="H23" t="s">
        <v>51</v>
      </c>
      <c r="I23" t="s">
        <v>44</v>
      </c>
      <c r="J23" t="s">
        <v>42</v>
      </c>
      <c r="K23" t="s">
        <v>43</v>
      </c>
      <c r="M23">
        <v>70.03</v>
      </c>
      <c r="Q23">
        <v>202511</v>
      </c>
    </row>
    <row r="24" spans="1:17" x14ac:dyDescent="0.2">
      <c r="A24" t="s">
        <v>50</v>
      </c>
      <c r="B24" s="27">
        <v>46009.70108796296</v>
      </c>
      <c r="C24" t="s">
        <v>91</v>
      </c>
      <c r="D24" t="s">
        <v>90</v>
      </c>
      <c r="F24" t="s">
        <v>40</v>
      </c>
      <c r="G24" t="s">
        <v>95</v>
      </c>
      <c r="H24" t="s">
        <v>51</v>
      </c>
      <c r="I24" t="s">
        <v>44</v>
      </c>
      <c r="J24" t="s">
        <v>42</v>
      </c>
      <c r="K24" t="s">
        <v>43</v>
      </c>
      <c r="M24">
        <v>168.26</v>
      </c>
      <c r="Q24">
        <v>202511</v>
      </c>
    </row>
    <row r="25" spans="1:17" x14ac:dyDescent="0.2">
      <c r="A25" t="s">
        <v>50</v>
      </c>
      <c r="B25" s="27">
        <v>46009.70108796296</v>
      </c>
      <c r="C25" t="s">
        <v>91</v>
      </c>
      <c r="D25" t="s">
        <v>90</v>
      </c>
      <c r="F25" t="s">
        <v>40</v>
      </c>
      <c r="G25" t="s">
        <v>111</v>
      </c>
      <c r="H25" t="s">
        <v>51</v>
      </c>
      <c r="I25" t="s">
        <v>44</v>
      </c>
      <c r="J25" t="s">
        <v>42</v>
      </c>
      <c r="K25" t="s">
        <v>43</v>
      </c>
      <c r="M25">
        <v>168.26</v>
      </c>
      <c r="Q25">
        <v>202511</v>
      </c>
    </row>
    <row r="26" spans="1:17" x14ac:dyDescent="0.2">
      <c r="A26" t="s">
        <v>50</v>
      </c>
      <c r="B26" s="27">
        <v>46009.70108796296</v>
      </c>
      <c r="C26" t="s">
        <v>91</v>
      </c>
      <c r="D26" t="s">
        <v>90</v>
      </c>
      <c r="F26" t="s">
        <v>40</v>
      </c>
      <c r="G26" t="s">
        <v>119</v>
      </c>
      <c r="H26" t="s">
        <v>51</v>
      </c>
      <c r="I26" t="s">
        <v>44</v>
      </c>
      <c r="J26" t="s">
        <v>42</v>
      </c>
      <c r="K26" t="s">
        <v>43</v>
      </c>
      <c r="M26">
        <v>168.26</v>
      </c>
      <c r="Q26">
        <v>202511</v>
      </c>
    </row>
    <row r="27" spans="1:17" x14ac:dyDescent="0.2">
      <c r="A27" t="s">
        <v>50</v>
      </c>
      <c r="B27" s="27">
        <v>46009.70108796296</v>
      </c>
      <c r="C27" t="s">
        <v>91</v>
      </c>
      <c r="D27" t="s">
        <v>90</v>
      </c>
      <c r="F27" t="s">
        <v>40</v>
      </c>
      <c r="G27" t="s">
        <v>117</v>
      </c>
      <c r="H27" t="s">
        <v>51</v>
      </c>
      <c r="I27" t="s">
        <v>44</v>
      </c>
      <c r="J27" t="s">
        <v>42</v>
      </c>
      <c r="K27" t="s">
        <v>43</v>
      </c>
      <c r="M27">
        <v>168.26</v>
      </c>
      <c r="Q27">
        <v>202511</v>
      </c>
    </row>
    <row r="28" spans="1:17" x14ac:dyDescent="0.2">
      <c r="A28" t="s">
        <v>50</v>
      </c>
      <c r="B28" s="27">
        <v>46009.70108796296</v>
      </c>
      <c r="C28" t="s">
        <v>91</v>
      </c>
      <c r="D28" t="s">
        <v>90</v>
      </c>
      <c r="F28" t="s">
        <v>40</v>
      </c>
      <c r="G28" t="s">
        <v>115</v>
      </c>
      <c r="H28" t="s">
        <v>51</v>
      </c>
      <c r="I28" t="s">
        <v>44</v>
      </c>
      <c r="J28" t="s">
        <v>42</v>
      </c>
      <c r="K28" t="s">
        <v>43</v>
      </c>
      <c r="M28">
        <v>105.28</v>
      </c>
      <c r="Q28">
        <v>202511</v>
      </c>
    </row>
    <row r="29" spans="1:17" x14ac:dyDescent="0.2">
      <c r="A29" t="s">
        <v>50</v>
      </c>
      <c r="B29" s="27">
        <v>46009.70108796296</v>
      </c>
      <c r="C29" t="s">
        <v>91</v>
      </c>
      <c r="D29" t="s">
        <v>90</v>
      </c>
      <c r="F29" t="s">
        <v>40</v>
      </c>
      <c r="G29" t="s">
        <v>124</v>
      </c>
      <c r="H29" t="s">
        <v>51</v>
      </c>
      <c r="I29" t="s">
        <v>44</v>
      </c>
      <c r="J29" t="s">
        <v>42</v>
      </c>
      <c r="K29" t="s">
        <v>43</v>
      </c>
      <c r="M29">
        <v>105.28</v>
      </c>
      <c r="Q29">
        <v>202511</v>
      </c>
    </row>
    <row r="30" spans="1:17" x14ac:dyDescent="0.2">
      <c r="A30" t="s">
        <v>50</v>
      </c>
      <c r="B30" s="27">
        <v>46009.70108796296</v>
      </c>
      <c r="C30" t="s">
        <v>91</v>
      </c>
      <c r="D30" t="s">
        <v>90</v>
      </c>
      <c r="F30" t="s">
        <v>40</v>
      </c>
      <c r="G30" t="s">
        <v>222</v>
      </c>
      <c r="H30" t="s">
        <v>51</v>
      </c>
      <c r="I30" t="s">
        <v>44</v>
      </c>
      <c r="J30" t="s">
        <v>42</v>
      </c>
      <c r="K30" t="s">
        <v>43</v>
      </c>
      <c r="M30">
        <v>235.47</v>
      </c>
      <c r="Q30">
        <v>202511</v>
      </c>
    </row>
    <row r="31" spans="1:17" x14ac:dyDescent="0.2">
      <c r="A31" t="s">
        <v>50</v>
      </c>
      <c r="B31" s="27">
        <v>46009.70108796296</v>
      </c>
      <c r="C31" t="s">
        <v>91</v>
      </c>
      <c r="D31" t="s">
        <v>90</v>
      </c>
      <c r="F31" t="s">
        <v>40</v>
      </c>
      <c r="G31" t="s">
        <v>140</v>
      </c>
      <c r="H31" t="s">
        <v>51</v>
      </c>
      <c r="I31" t="s">
        <v>44</v>
      </c>
      <c r="J31" t="s">
        <v>42</v>
      </c>
      <c r="K31" t="s">
        <v>43</v>
      </c>
      <c r="M31">
        <v>105.28</v>
      </c>
      <c r="Q31">
        <v>202511</v>
      </c>
    </row>
    <row r="32" spans="1:17" x14ac:dyDescent="0.2">
      <c r="A32" t="s">
        <v>50</v>
      </c>
      <c r="B32" s="27">
        <v>46009.70108796296</v>
      </c>
      <c r="C32" t="s">
        <v>91</v>
      </c>
      <c r="D32" t="s">
        <v>90</v>
      </c>
      <c r="F32" t="s">
        <v>40</v>
      </c>
      <c r="G32" t="s">
        <v>223</v>
      </c>
      <c r="H32" t="s">
        <v>51</v>
      </c>
      <c r="I32" t="s">
        <v>44</v>
      </c>
      <c r="J32" t="s">
        <v>42</v>
      </c>
      <c r="K32" t="s">
        <v>43</v>
      </c>
      <c r="M32">
        <v>348.34</v>
      </c>
      <c r="Q32">
        <v>202511</v>
      </c>
    </row>
    <row r="33" spans="1:17" x14ac:dyDescent="0.2">
      <c r="A33" t="s">
        <v>50</v>
      </c>
      <c r="B33" s="27">
        <v>46009.70108796296</v>
      </c>
      <c r="C33" t="s">
        <v>91</v>
      </c>
      <c r="D33" t="s">
        <v>90</v>
      </c>
      <c r="F33" t="s">
        <v>40</v>
      </c>
      <c r="G33" t="s">
        <v>146</v>
      </c>
      <c r="H33" t="s">
        <v>51</v>
      </c>
      <c r="I33" t="s">
        <v>44</v>
      </c>
      <c r="J33" t="s">
        <v>42</v>
      </c>
      <c r="K33" t="s">
        <v>43</v>
      </c>
      <c r="M33">
        <v>148.99</v>
      </c>
      <c r="Q33">
        <v>202511</v>
      </c>
    </row>
    <row r="34" spans="1:17" x14ac:dyDescent="0.2">
      <c r="A34" t="s">
        <v>50</v>
      </c>
      <c r="B34" s="27">
        <v>46009.70108796296</v>
      </c>
      <c r="C34" t="s">
        <v>91</v>
      </c>
      <c r="D34" t="s">
        <v>90</v>
      </c>
      <c r="F34" t="s">
        <v>40</v>
      </c>
      <c r="G34" t="s">
        <v>144</v>
      </c>
      <c r="H34" t="s">
        <v>51</v>
      </c>
      <c r="I34" t="s">
        <v>44</v>
      </c>
      <c r="J34" t="s">
        <v>42</v>
      </c>
      <c r="K34" t="s">
        <v>43</v>
      </c>
      <c r="M34">
        <v>122.79</v>
      </c>
      <c r="Q34">
        <v>202511</v>
      </c>
    </row>
    <row r="35" spans="1:17" x14ac:dyDescent="0.2">
      <c r="A35" t="s">
        <v>50</v>
      </c>
      <c r="B35" s="27">
        <v>46009.70108796296</v>
      </c>
      <c r="C35" t="s">
        <v>91</v>
      </c>
      <c r="D35" t="s">
        <v>90</v>
      </c>
      <c r="F35" t="s">
        <v>40</v>
      </c>
      <c r="G35" t="s">
        <v>142</v>
      </c>
      <c r="H35" t="s">
        <v>51</v>
      </c>
      <c r="I35" t="s">
        <v>44</v>
      </c>
      <c r="J35" t="s">
        <v>42</v>
      </c>
      <c r="K35" t="s">
        <v>43</v>
      </c>
      <c r="M35">
        <v>122.79</v>
      </c>
      <c r="Q35">
        <v>202511</v>
      </c>
    </row>
    <row r="36" spans="1:17" x14ac:dyDescent="0.2">
      <c r="A36" t="s">
        <v>50</v>
      </c>
      <c r="B36" s="27">
        <v>46009.70108796296</v>
      </c>
      <c r="C36" t="s">
        <v>91</v>
      </c>
      <c r="D36" t="s">
        <v>90</v>
      </c>
      <c r="F36" t="s">
        <v>40</v>
      </c>
      <c r="G36" t="s">
        <v>153</v>
      </c>
      <c r="H36" t="s">
        <v>51</v>
      </c>
      <c r="I36" t="s">
        <v>44</v>
      </c>
      <c r="J36" t="s">
        <v>42</v>
      </c>
      <c r="K36" t="s">
        <v>43</v>
      </c>
      <c r="M36">
        <v>215.35</v>
      </c>
      <c r="Q36">
        <v>202511</v>
      </c>
    </row>
    <row r="37" spans="1:17" x14ac:dyDescent="0.2">
      <c r="A37" t="s">
        <v>50</v>
      </c>
      <c r="B37" s="27">
        <v>46009.70108796296</v>
      </c>
      <c r="C37" t="s">
        <v>91</v>
      </c>
      <c r="D37" t="s">
        <v>90</v>
      </c>
      <c r="F37" t="s">
        <v>40</v>
      </c>
      <c r="G37" t="s">
        <v>159</v>
      </c>
      <c r="H37" t="s">
        <v>51</v>
      </c>
      <c r="I37" t="s">
        <v>44</v>
      </c>
      <c r="J37" t="s">
        <v>42</v>
      </c>
      <c r="K37" t="s">
        <v>43</v>
      </c>
      <c r="M37">
        <v>168.26</v>
      </c>
      <c r="Q37">
        <v>202511</v>
      </c>
    </row>
    <row r="38" spans="1:17" x14ac:dyDescent="0.2">
      <c r="A38" t="s">
        <v>50</v>
      </c>
      <c r="B38" s="27">
        <v>46009.70108796296</v>
      </c>
      <c r="C38" t="s">
        <v>91</v>
      </c>
      <c r="D38" t="s">
        <v>90</v>
      </c>
      <c r="F38" t="s">
        <v>40</v>
      </c>
      <c r="G38" t="s">
        <v>224</v>
      </c>
      <c r="H38" t="s">
        <v>51</v>
      </c>
      <c r="I38" t="s">
        <v>44</v>
      </c>
      <c r="J38" t="s">
        <v>42</v>
      </c>
      <c r="K38" t="s">
        <v>43</v>
      </c>
      <c r="M38">
        <v>168.26</v>
      </c>
      <c r="Q38">
        <v>202511</v>
      </c>
    </row>
    <row r="39" spans="1:17" x14ac:dyDescent="0.2">
      <c r="A39" t="s">
        <v>50</v>
      </c>
      <c r="B39" s="27">
        <v>46009.70108796296</v>
      </c>
      <c r="C39" t="s">
        <v>91</v>
      </c>
      <c r="D39" t="s">
        <v>90</v>
      </c>
      <c r="F39" t="s">
        <v>40</v>
      </c>
      <c r="G39" t="s">
        <v>168</v>
      </c>
      <c r="H39" t="s">
        <v>51</v>
      </c>
      <c r="I39" t="s">
        <v>44</v>
      </c>
      <c r="J39" t="s">
        <v>42</v>
      </c>
      <c r="K39" t="s">
        <v>43</v>
      </c>
      <c r="M39">
        <v>267.89999999999998</v>
      </c>
      <c r="Q39">
        <v>202511</v>
      </c>
    </row>
    <row r="40" spans="1:17" x14ac:dyDescent="0.2">
      <c r="A40" t="s">
        <v>50</v>
      </c>
      <c r="B40" s="27">
        <v>46009.70108796296</v>
      </c>
      <c r="C40" t="s">
        <v>91</v>
      </c>
      <c r="D40" t="s">
        <v>90</v>
      </c>
      <c r="F40" t="s">
        <v>40</v>
      </c>
      <c r="G40" t="s">
        <v>166</v>
      </c>
      <c r="H40" t="s">
        <v>51</v>
      </c>
      <c r="I40" t="s">
        <v>44</v>
      </c>
      <c r="J40" t="s">
        <v>42</v>
      </c>
      <c r="K40" t="s">
        <v>43</v>
      </c>
      <c r="M40">
        <v>267.89999999999998</v>
      </c>
      <c r="Q40">
        <v>202511</v>
      </c>
    </row>
    <row r="41" spans="1:17" x14ac:dyDescent="0.2">
      <c r="A41" t="s">
        <v>50</v>
      </c>
      <c r="B41" s="27">
        <v>46009.70108796296</v>
      </c>
      <c r="C41" t="s">
        <v>91</v>
      </c>
      <c r="D41" t="s">
        <v>90</v>
      </c>
      <c r="F41" t="s">
        <v>40</v>
      </c>
      <c r="G41" t="s">
        <v>164</v>
      </c>
      <c r="H41" t="s">
        <v>51</v>
      </c>
      <c r="I41" t="s">
        <v>44</v>
      </c>
      <c r="J41" t="s">
        <v>42</v>
      </c>
      <c r="K41" t="s">
        <v>43</v>
      </c>
      <c r="M41">
        <v>168.26</v>
      </c>
      <c r="Q41">
        <v>202511</v>
      </c>
    </row>
    <row r="42" spans="1:17" x14ac:dyDescent="0.2">
      <c r="A42" t="s">
        <v>50</v>
      </c>
      <c r="B42" s="27">
        <v>46009.70108796296</v>
      </c>
      <c r="C42" t="s">
        <v>91</v>
      </c>
      <c r="D42" t="s">
        <v>90</v>
      </c>
      <c r="F42" t="s">
        <v>40</v>
      </c>
      <c r="G42" t="s">
        <v>185</v>
      </c>
      <c r="H42" t="s">
        <v>51</v>
      </c>
      <c r="I42" t="s">
        <v>44</v>
      </c>
      <c r="J42" t="s">
        <v>42</v>
      </c>
      <c r="K42" t="s">
        <v>43</v>
      </c>
      <c r="M42">
        <v>40.33</v>
      </c>
      <c r="Q42">
        <v>202511</v>
      </c>
    </row>
    <row r="43" spans="1:17" x14ac:dyDescent="0.2">
      <c r="A43" t="s">
        <v>50</v>
      </c>
      <c r="B43" s="27">
        <v>46009.70108796296</v>
      </c>
      <c r="C43" t="s">
        <v>91</v>
      </c>
      <c r="D43" t="s">
        <v>90</v>
      </c>
      <c r="F43" t="s">
        <v>40</v>
      </c>
      <c r="G43" t="s">
        <v>206</v>
      </c>
      <c r="H43" t="s">
        <v>51</v>
      </c>
      <c r="I43" t="s">
        <v>44</v>
      </c>
      <c r="J43" t="s">
        <v>42</v>
      </c>
      <c r="K43" t="s">
        <v>43</v>
      </c>
      <c r="M43">
        <v>122.79</v>
      </c>
      <c r="Q43">
        <v>202511</v>
      </c>
    </row>
    <row r="44" spans="1:17" x14ac:dyDescent="0.2">
      <c r="A44" t="s">
        <v>50</v>
      </c>
      <c r="B44" s="27">
        <v>46009.70108796296</v>
      </c>
      <c r="C44" t="s">
        <v>91</v>
      </c>
      <c r="D44" t="s">
        <v>90</v>
      </c>
      <c r="F44" t="s">
        <v>40</v>
      </c>
      <c r="G44" t="s">
        <v>200</v>
      </c>
      <c r="H44" t="s">
        <v>51</v>
      </c>
      <c r="I44" t="s">
        <v>44</v>
      </c>
      <c r="J44" t="s">
        <v>42</v>
      </c>
      <c r="K44" t="s">
        <v>43</v>
      </c>
      <c r="M44">
        <v>12.69</v>
      </c>
      <c r="Q44">
        <v>202511</v>
      </c>
    </row>
    <row r="45" spans="1:17" x14ac:dyDescent="0.2">
      <c r="A45" t="s">
        <v>50</v>
      </c>
      <c r="B45" s="27">
        <v>46009.70108796296</v>
      </c>
      <c r="C45" t="s">
        <v>91</v>
      </c>
      <c r="D45" t="s">
        <v>90</v>
      </c>
      <c r="F45" t="s">
        <v>40</v>
      </c>
      <c r="G45" t="s">
        <v>181</v>
      </c>
      <c r="H45" t="s">
        <v>51</v>
      </c>
      <c r="I45" t="s">
        <v>44</v>
      </c>
      <c r="J45" t="s">
        <v>42</v>
      </c>
      <c r="K45" t="s">
        <v>43</v>
      </c>
      <c r="M45">
        <v>215.35</v>
      </c>
      <c r="Q45">
        <v>202511</v>
      </c>
    </row>
    <row r="46" spans="1:17" x14ac:dyDescent="0.2">
      <c r="A46" t="s">
        <v>50</v>
      </c>
      <c r="B46" s="27">
        <v>46009.70108796296</v>
      </c>
      <c r="C46" t="s">
        <v>91</v>
      </c>
      <c r="D46" t="s">
        <v>90</v>
      </c>
      <c r="F46" t="s">
        <v>40</v>
      </c>
      <c r="G46" t="s">
        <v>195</v>
      </c>
      <c r="H46" t="s">
        <v>51</v>
      </c>
      <c r="I46" t="s">
        <v>44</v>
      </c>
      <c r="J46" t="s">
        <v>42</v>
      </c>
      <c r="K46" t="s">
        <v>43</v>
      </c>
      <c r="M46">
        <v>168.26</v>
      </c>
      <c r="Q46">
        <v>202511</v>
      </c>
    </row>
    <row r="47" spans="1:17" x14ac:dyDescent="0.2">
      <c r="A47" t="s">
        <v>50</v>
      </c>
      <c r="B47" s="27">
        <v>46009.70108796296</v>
      </c>
      <c r="C47" t="s">
        <v>91</v>
      </c>
      <c r="D47" t="s">
        <v>90</v>
      </c>
      <c r="F47" t="s">
        <v>40</v>
      </c>
      <c r="G47" t="s">
        <v>204</v>
      </c>
      <c r="H47" t="s">
        <v>51</v>
      </c>
      <c r="I47" t="s">
        <v>44</v>
      </c>
      <c r="J47" t="s">
        <v>42</v>
      </c>
      <c r="K47" t="s">
        <v>43</v>
      </c>
      <c r="M47">
        <v>148.99</v>
      </c>
      <c r="Q47">
        <v>202511</v>
      </c>
    </row>
    <row r="48" spans="1:17" x14ac:dyDescent="0.2">
      <c r="A48" t="s">
        <v>50</v>
      </c>
      <c r="B48" s="27">
        <v>46009.70108796296</v>
      </c>
      <c r="C48" t="s">
        <v>91</v>
      </c>
      <c r="D48" t="s">
        <v>90</v>
      </c>
      <c r="F48" t="s">
        <v>40</v>
      </c>
      <c r="G48" t="s">
        <v>183</v>
      </c>
      <c r="H48" t="s">
        <v>51</v>
      </c>
      <c r="I48" t="s">
        <v>44</v>
      </c>
      <c r="J48" t="s">
        <v>42</v>
      </c>
      <c r="K48" t="s">
        <v>43</v>
      </c>
      <c r="M48">
        <v>148.99</v>
      </c>
      <c r="Q48">
        <v>202511</v>
      </c>
    </row>
    <row r="49" spans="1:17" x14ac:dyDescent="0.2">
      <c r="A49" t="s">
        <v>50</v>
      </c>
      <c r="B49" s="27">
        <v>46009.70108796296</v>
      </c>
      <c r="C49" t="s">
        <v>91</v>
      </c>
      <c r="D49" t="s">
        <v>90</v>
      </c>
      <c r="F49" t="s">
        <v>40</v>
      </c>
      <c r="G49" t="s">
        <v>191</v>
      </c>
      <c r="H49" t="s">
        <v>51</v>
      </c>
      <c r="I49" t="s">
        <v>44</v>
      </c>
      <c r="J49" t="s">
        <v>42</v>
      </c>
      <c r="K49" t="s">
        <v>43</v>
      </c>
      <c r="M49">
        <v>168.26</v>
      </c>
      <c r="Q49">
        <v>202511</v>
      </c>
    </row>
    <row r="50" spans="1:17" x14ac:dyDescent="0.2">
      <c r="A50" t="s">
        <v>50</v>
      </c>
      <c r="B50" s="27">
        <v>46009.70108796296</v>
      </c>
      <c r="C50" t="s">
        <v>91</v>
      </c>
      <c r="D50" t="s">
        <v>90</v>
      </c>
      <c r="F50" t="s">
        <v>40</v>
      </c>
      <c r="G50" t="s">
        <v>212</v>
      </c>
      <c r="H50" t="s">
        <v>51</v>
      </c>
      <c r="I50" t="s">
        <v>44</v>
      </c>
      <c r="J50" t="s">
        <v>42</v>
      </c>
      <c r="K50" t="s">
        <v>43</v>
      </c>
      <c r="M50">
        <v>168.26</v>
      </c>
      <c r="Q50">
        <v>202511</v>
      </c>
    </row>
    <row r="51" spans="1:17" x14ac:dyDescent="0.2">
      <c r="A51" t="s">
        <v>50</v>
      </c>
      <c r="B51" s="27">
        <v>46009.70108796296</v>
      </c>
      <c r="C51" t="s">
        <v>91</v>
      </c>
      <c r="D51" t="s">
        <v>90</v>
      </c>
      <c r="F51" t="s">
        <v>40</v>
      </c>
      <c r="G51" t="s">
        <v>210</v>
      </c>
      <c r="H51" t="s">
        <v>51</v>
      </c>
      <c r="I51" t="s">
        <v>44</v>
      </c>
      <c r="J51" t="s">
        <v>42</v>
      </c>
      <c r="K51" t="s">
        <v>43</v>
      </c>
      <c r="M51">
        <v>168.26</v>
      </c>
      <c r="Q51">
        <v>202511</v>
      </c>
    </row>
    <row r="52" spans="1:17" x14ac:dyDescent="0.2">
      <c r="A52" t="s">
        <v>50</v>
      </c>
      <c r="B52" s="27">
        <v>46009.70108796296</v>
      </c>
      <c r="C52" t="s">
        <v>91</v>
      </c>
      <c r="D52" t="s">
        <v>90</v>
      </c>
      <c r="F52" t="s">
        <v>40</v>
      </c>
      <c r="G52" t="s">
        <v>208</v>
      </c>
      <c r="H52" t="s">
        <v>51</v>
      </c>
      <c r="I52" t="s">
        <v>44</v>
      </c>
      <c r="J52" t="s">
        <v>42</v>
      </c>
      <c r="K52" t="s">
        <v>43</v>
      </c>
      <c r="M52">
        <v>168.26</v>
      </c>
      <c r="Q52">
        <v>202511</v>
      </c>
    </row>
    <row r="53" spans="1:17" x14ac:dyDescent="0.2">
      <c r="A53" t="s">
        <v>50</v>
      </c>
      <c r="B53" s="27">
        <v>46009.70108796296</v>
      </c>
      <c r="C53" t="s">
        <v>91</v>
      </c>
      <c r="D53" t="s">
        <v>90</v>
      </c>
      <c r="F53" t="s">
        <v>40</v>
      </c>
      <c r="G53" t="s">
        <v>214</v>
      </c>
      <c r="H53" t="s">
        <v>51</v>
      </c>
      <c r="I53" t="s">
        <v>44</v>
      </c>
      <c r="J53" t="s">
        <v>42</v>
      </c>
      <c r="K53" t="s">
        <v>43</v>
      </c>
      <c r="M53">
        <v>408.43</v>
      </c>
      <c r="Q53">
        <v>202511</v>
      </c>
    </row>
    <row r="54" spans="1:17" x14ac:dyDescent="0.2">
      <c r="A54" t="s">
        <v>50</v>
      </c>
      <c r="B54" s="27">
        <v>46009.70108796296</v>
      </c>
      <c r="C54" t="s">
        <v>91</v>
      </c>
      <c r="D54" t="s">
        <v>90</v>
      </c>
      <c r="F54" t="s">
        <v>40</v>
      </c>
      <c r="G54" t="s">
        <v>157</v>
      </c>
      <c r="H54" t="s">
        <v>51</v>
      </c>
      <c r="I54" t="s">
        <v>44</v>
      </c>
      <c r="J54" t="s">
        <v>42</v>
      </c>
      <c r="K54" t="s">
        <v>43</v>
      </c>
      <c r="M54">
        <v>148.99</v>
      </c>
      <c r="Q54">
        <v>202511</v>
      </c>
    </row>
    <row r="55" spans="1:17" x14ac:dyDescent="0.2">
      <c r="A55" t="s">
        <v>50</v>
      </c>
      <c r="B55" s="27">
        <v>46009.70108796296</v>
      </c>
      <c r="C55" t="s">
        <v>91</v>
      </c>
      <c r="D55" t="s">
        <v>90</v>
      </c>
      <c r="F55" t="s">
        <v>40</v>
      </c>
      <c r="G55" t="s">
        <v>177</v>
      </c>
      <c r="H55" t="s">
        <v>51</v>
      </c>
      <c r="I55" t="s">
        <v>44</v>
      </c>
      <c r="J55" t="s">
        <v>42</v>
      </c>
      <c r="K55" t="s">
        <v>43</v>
      </c>
      <c r="M55">
        <v>62.37</v>
      </c>
      <c r="Q55">
        <v>202511</v>
      </c>
    </row>
    <row r="56" spans="1:17" x14ac:dyDescent="0.2">
      <c r="A56" t="s">
        <v>50</v>
      </c>
      <c r="B56" s="27">
        <v>46009.70108796296</v>
      </c>
      <c r="C56" t="s">
        <v>91</v>
      </c>
      <c r="D56" t="s">
        <v>90</v>
      </c>
      <c r="F56" t="s">
        <v>40</v>
      </c>
      <c r="G56" t="s">
        <v>129</v>
      </c>
      <c r="H56" t="s">
        <v>51</v>
      </c>
      <c r="I56" t="s">
        <v>44</v>
      </c>
      <c r="J56" t="s">
        <v>42</v>
      </c>
      <c r="K56" t="s">
        <v>43</v>
      </c>
      <c r="M56">
        <v>203.04</v>
      </c>
      <c r="Q56">
        <v>202511</v>
      </c>
    </row>
    <row r="57" spans="1:17" x14ac:dyDescent="0.2">
      <c r="A57" t="s">
        <v>50</v>
      </c>
      <c r="B57" s="27">
        <v>46009.70108796296</v>
      </c>
      <c r="C57" t="s">
        <v>91</v>
      </c>
      <c r="D57" t="s">
        <v>90</v>
      </c>
      <c r="F57" t="s">
        <v>40</v>
      </c>
      <c r="G57" t="s">
        <v>136</v>
      </c>
      <c r="H57" t="s">
        <v>51</v>
      </c>
      <c r="I57" t="s">
        <v>44</v>
      </c>
      <c r="J57" t="s">
        <v>42</v>
      </c>
      <c r="K57" t="s">
        <v>43</v>
      </c>
      <c r="M57">
        <v>235.47</v>
      </c>
      <c r="Q57">
        <v>202511</v>
      </c>
    </row>
    <row r="58" spans="1:17" x14ac:dyDescent="0.2">
      <c r="A58" t="s">
        <v>50</v>
      </c>
      <c r="B58" s="27">
        <v>46009.70108796296</v>
      </c>
      <c r="C58" t="s">
        <v>91</v>
      </c>
      <c r="D58" t="s">
        <v>90</v>
      </c>
      <c r="F58" t="s">
        <v>40</v>
      </c>
      <c r="G58" t="s">
        <v>162</v>
      </c>
      <c r="H58" t="s">
        <v>51</v>
      </c>
      <c r="I58" t="s">
        <v>44</v>
      </c>
      <c r="J58" t="s">
        <v>42</v>
      </c>
      <c r="K58" t="s">
        <v>43</v>
      </c>
      <c r="M58">
        <v>267.89999999999998</v>
      </c>
      <c r="Q58">
        <v>202511</v>
      </c>
    </row>
    <row r="59" spans="1:17" x14ac:dyDescent="0.2">
      <c r="A59" t="s">
        <v>50</v>
      </c>
      <c r="B59" s="27">
        <v>46009.70108796296</v>
      </c>
      <c r="C59" t="s">
        <v>91</v>
      </c>
      <c r="D59" t="s">
        <v>90</v>
      </c>
      <c r="F59" t="s">
        <v>40</v>
      </c>
      <c r="G59" t="s">
        <v>187</v>
      </c>
      <c r="H59" t="s">
        <v>51</v>
      </c>
      <c r="I59" t="s">
        <v>44</v>
      </c>
      <c r="J59" t="s">
        <v>42</v>
      </c>
      <c r="K59" t="s">
        <v>43</v>
      </c>
      <c r="M59">
        <v>240.17</v>
      </c>
      <c r="Q59">
        <v>202511</v>
      </c>
    </row>
    <row r="60" spans="1:17" x14ac:dyDescent="0.2">
      <c r="A60" t="s">
        <v>50</v>
      </c>
      <c r="B60" s="27">
        <v>46009.70108796296</v>
      </c>
      <c r="C60" t="s">
        <v>91</v>
      </c>
      <c r="D60" t="s">
        <v>90</v>
      </c>
      <c r="F60" t="s">
        <v>40</v>
      </c>
      <c r="G60" t="s">
        <v>170</v>
      </c>
      <c r="H60" t="s">
        <v>51</v>
      </c>
      <c r="I60" t="s">
        <v>44</v>
      </c>
      <c r="J60" t="s">
        <v>42</v>
      </c>
      <c r="K60" t="s">
        <v>43</v>
      </c>
      <c r="M60">
        <v>11.28</v>
      </c>
      <c r="Q60">
        <v>202511</v>
      </c>
    </row>
    <row r="61" spans="1:17" x14ac:dyDescent="0.2">
      <c r="A61" t="s">
        <v>50</v>
      </c>
      <c r="B61" s="27">
        <v>46009.70108796296</v>
      </c>
      <c r="C61" t="s">
        <v>91</v>
      </c>
      <c r="D61" t="s">
        <v>90</v>
      </c>
      <c r="F61" t="s">
        <v>40</v>
      </c>
      <c r="G61" t="s">
        <v>172</v>
      </c>
      <c r="H61" t="s">
        <v>51</v>
      </c>
      <c r="I61" t="s">
        <v>44</v>
      </c>
      <c r="J61" t="s">
        <v>42</v>
      </c>
      <c r="K61" t="s">
        <v>43</v>
      </c>
      <c r="M61">
        <v>66.53</v>
      </c>
      <c r="Q61">
        <v>202511</v>
      </c>
    </row>
    <row r="62" spans="1:17" x14ac:dyDescent="0.2">
      <c r="A62" t="s">
        <v>50</v>
      </c>
      <c r="B62" s="27">
        <v>46009.70108796296</v>
      </c>
      <c r="C62" t="s">
        <v>91</v>
      </c>
      <c r="D62" t="s">
        <v>90</v>
      </c>
      <c r="F62" t="s">
        <v>40</v>
      </c>
      <c r="G62" t="s">
        <v>198</v>
      </c>
      <c r="H62" t="s">
        <v>51</v>
      </c>
      <c r="I62" t="s">
        <v>44</v>
      </c>
      <c r="J62" t="s">
        <v>42</v>
      </c>
      <c r="K62" t="s">
        <v>43</v>
      </c>
      <c r="M62">
        <v>267.89999999999998</v>
      </c>
      <c r="Q62">
        <v>202511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E47F-FD8F-40EE-91A6-428B9A410F3F}">
  <sheetPr codeName="Sheet1"/>
  <dimension ref="A1:J13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57" x14ac:dyDescent="0.2">
      <c r="A1" s="29" t="s">
        <v>52</v>
      </c>
      <c r="B1" s="29" t="s">
        <v>53</v>
      </c>
      <c r="C1" s="30" t="s">
        <v>54</v>
      </c>
      <c r="D1" s="30" t="s">
        <v>55</v>
      </c>
      <c r="E1" s="29" t="s">
        <v>56</v>
      </c>
      <c r="F1" s="29" t="s">
        <v>57</v>
      </c>
      <c r="G1" s="29" t="s">
        <v>58</v>
      </c>
      <c r="H1" s="29" t="s">
        <v>59</v>
      </c>
      <c r="I1" s="29" t="s">
        <v>60</v>
      </c>
      <c r="J1" s="29" t="s">
        <v>61</v>
      </c>
    </row>
    <row r="2" spans="1:10" x14ac:dyDescent="0.2">
      <c r="A2" t="s">
        <v>102</v>
      </c>
      <c r="B2" t="s">
        <v>101</v>
      </c>
      <c r="C2" t="s">
        <v>90</v>
      </c>
      <c r="D2" t="s">
        <v>91</v>
      </c>
      <c r="E2" t="s">
        <v>284</v>
      </c>
      <c r="F2" t="s">
        <v>285</v>
      </c>
      <c r="G2">
        <v>1</v>
      </c>
      <c r="H2" t="s">
        <v>43</v>
      </c>
      <c r="I2">
        <v>179</v>
      </c>
      <c r="J2">
        <v>179</v>
      </c>
    </row>
    <row r="3" spans="1:10" x14ac:dyDescent="0.2">
      <c r="A3" t="s">
        <v>99</v>
      </c>
      <c r="B3" t="s">
        <v>90</v>
      </c>
      <c r="C3" t="s">
        <v>90</v>
      </c>
      <c r="D3" t="s">
        <v>91</v>
      </c>
      <c r="E3" t="s">
        <v>286</v>
      </c>
      <c r="F3" t="s">
        <v>287</v>
      </c>
      <c r="G3">
        <v>1</v>
      </c>
      <c r="H3" t="s">
        <v>43</v>
      </c>
      <c r="I3">
        <v>27</v>
      </c>
      <c r="J3">
        <v>27</v>
      </c>
    </row>
    <row r="4" spans="1:10" x14ac:dyDescent="0.2">
      <c r="A4" t="s">
        <v>97</v>
      </c>
      <c r="B4" t="s">
        <v>90</v>
      </c>
      <c r="C4" t="s">
        <v>90</v>
      </c>
      <c r="D4" t="s">
        <v>91</v>
      </c>
      <c r="E4" t="s">
        <v>288</v>
      </c>
      <c r="F4" t="s">
        <v>289</v>
      </c>
      <c r="G4">
        <v>1</v>
      </c>
      <c r="H4" t="s">
        <v>43</v>
      </c>
      <c r="I4">
        <v>149</v>
      </c>
      <c r="J4">
        <v>149</v>
      </c>
    </row>
    <row r="5" spans="1:10" x14ac:dyDescent="0.2">
      <c r="A5" t="s">
        <v>95</v>
      </c>
      <c r="B5" t="s">
        <v>90</v>
      </c>
      <c r="C5" t="s">
        <v>90</v>
      </c>
      <c r="D5" t="s">
        <v>91</v>
      </c>
      <c r="E5" t="s">
        <v>290</v>
      </c>
      <c r="F5" t="s">
        <v>291</v>
      </c>
      <c r="G5">
        <v>1</v>
      </c>
      <c r="H5" t="s">
        <v>43</v>
      </c>
      <c r="I5">
        <v>358</v>
      </c>
      <c r="J5">
        <v>358</v>
      </c>
    </row>
    <row r="6" spans="1:10" x14ac:dyDescent="0.2">
      <c r="A6" t="s">
        <v>104</v>
      </c>
      <c r="B6" t="s">
        <v>90</v>
      </c>
      <c r="C6" t="s">
        <v>90</v>
      </c>
      <c r="D6" t="s">
        <v>91</v>
      </c>
      <c r="E6" t="s">
        <v>292</v>
      </c>
      <c r="F6" t="s">
        <v>293</v>
      </c>
      <c r="G6">
        <v>1</v>
      </c>
      <c r="H6" t="s">
        <v>43</v>
      </c>
      <c r="I6">
        <v>432</v>
      </c>
      <c r="J6">
        <v>432</v>
      </c>
    </row>
    <row r="7" spans="1:10" x14ac:dyDescent="0.2">
      <c r="A7" t="s">
        <v>109</v>
      </c>
      <c r="B7" t="s">
        <v>108</v>
      </c>
      <c r="C7" t="s">
        <v>90</v>
      </c>
      <c r="D7" t="s">
        <v>91</v>
      </c>
      <c r="E7" t="s">
        <v>294</v>
      </c>
      <c r="F7" t="s">
        <v>295</v>
      </c>
      <c r="G7">
        <v>1</v>
      </c>
      <c r="H7" t="s">
        <v>43</v>
      </c>
      <c r="I7">
        <v>80</v>
      </c>
      <c r="J7">
        <v>80</v>
      </c>
    </row>
    <row r="8" spans="1:10" x14ac:dyDescent="0.2">
      <c r="A8" t="s">
        <v>106</v>
      </c>
      <c r="B8" t="s">
        <v>101</v>
      </c>
      <c r="C8" t="s">
        <v>90</v>
      </c>
      <c r="D8" t="s">
        <v>91</v>
      </c>
      <c r="E8" t="s">
        <v>292</v>
      </c>
      <c r="F8" t="s">
        <v>293</v>
      </c>
      <c r="G8">
        <v>1</v>
      </c>
      <c r="H8" t="s">
        <v>43</v>
      </c>
      <c r="I8">
        <v>432</v>
      </c>
      <c r="J8">
        <v>432</v>
      </c>
    </row>
    <row r="9" spans="1:10" x14ac:dyDescent="0.2">
      <c r="A9" t="s">
        <v>113</v>
      </c>
      <c r="B9" t="s">
        <v>101</v>
      </c>
      <c r="C9" t="s">
        <v>90</v>
      </c>
      <c r="D9" t="s">
        <v>91</v>
      </c>
      <c r="E9" t="s">
        <v>296</v>
      </c>
      <c r="F9" t="s">
        <v>295</v>
      </c>
      <c r="G9">
        <v>1</v>
      </c>
      <c r="H9" t="s">
        <v>43</v>
      </c>
      <c r="I9">
        <v>80</v>
      </c>
      <c r="J9">
        <v>80</v>
      </c>
    </row>
    <row r="10" spans="1:10" x14ac:dyDescent="0.2">
      <c r="A10" t="s">
        <v>113</v>
      </c>
      <c r="B10" t="s">
        <v>101</v>
      </c>
      <c r="C10" t="s">
        <v>90</v>
      </c>
      <c r="D10" t="s">
        <v>91</v>
      </c>
      <c r="E10" t="s">
        <v>297</v>
      </c>
      <c r="F10" t="s">
        <v>298</v>
      </c>
      <c r="G10">
        <v>2</v>
      </c>
      <c r="H10" t="s">
        <v>43</v>
      </c>
      <c r="I10">
        <v>147</v>
      </c>
      <c r="J10">
        <v>294</v>
      </c>
    </row>
    <row r="11" spans="1:10" x14ac:dyDescent="0.2">
      <c r="A11" t="s">
        <v>111</v>
      </c>
      <c r="B11" t="s">
        <v>90</v>
      </c>
      <c r="C11" t="s">
        <v>90</v>
      </c>
      <c r="D11" t="s">
        <v>91</v>
      </c>
      <c r="E11" t="s">
        <v>299</v>
      </c>
      <c r="F11" t="s">
        <v>300</v>
      </c>
      <c r="G11">
        <v>1</v>
      </c>
      <c r="H11" t="s">
        <v>43</v>
      </c>
      <c r="I11">
        <v>358</v>
      </c>
      <c r="J11">
        <v>358</v>
      </c>
    </row>
    <row r="12" spans="1:10" x14ac:dyDescent="0.2">
      <c r="A12" t="s">
        <v>122</v>
      </c>
      <c r="B12" t="s">
        <v>121</v>
      </c>
      <c r="C12" t="s">
        <v>90</v>
      </c>
      <c r="D12" t="s">
        <v>91</v>
      </c>
      <c r="E12" t="s">
        <v>301</v>
      </c>
      <c r="F12" t="s">
        <v>302</v>
      </c>
      <c r="G12">
        <v>1</v>
      </c>
      <c r="H12" t="s">
        <v>43</v>
      </c>
      <c r="I12">
        <v>552</v>
      </c>
      <c r="J12">
        <v>552</v>
      </c>
    </row>
    <row r="13" spans="1:10" x14ac:dyDescent="0.2">
      <c r="A13" t="s">
        <v>119</v>
      </c>
      <c r="B13" t="s">
        <v>90</v>
      </c>
      <c r="C13" t="s">
        <v>90</v>
      </c>
      <c r="D13" t="s">
        <v>91</v>
      </c>
      <c r="E13" t="s">
        <v>299</v>
      </c>
      <c r="F13" t="s">
        <v>300</v>
      </c>
      <c r="G13">
        <v>1</v>
      </c>
      <c r="H13" t="s">
        <v>43</v>
      </c>
      <c r="I13">
        <v>358</v>
      </c>
      <c r="J13">
        <v>358</v>
      </c>
    </row>
    <row r="14" spans="1:10" x14ac:dyDescent="0.2">
      <c r="A14" t="s">
        <v>117</v>
      </c>
      <c r="B14" t="s">
        <v>90</v>
      </c>
      <c r="C14" t="s">
        <v>90</v>
      </c>
      <c r="D14" t="s">
        <v>91</v>
      </c>
      <c r="E14" t="s">
        <v>290</v>
      </c>
      <c r="F14" t="s">
        <v>291</v>
      </c>
      <c r="G14">
        <v>1</v>
      </c>
      <c r="H14" t="s">
        <v>43</v>
      </c>
      <c r="I14">
        <v>358</v>
      </c>
      <c r="J14">
        <v>358</v>
      </c>
    </row>
    <row r="15" spans="1:10" x14ac:dyDescent="0.2">
      <c r="A15" t="s">
        <v>115</v>
      </c>
      <c r="B15" t="s">
        <v>90</v>
      </c>
      <c r="C15" t="s">
        <v>90</v>
      </c>
      <c r="D15" t="s">
        <v>91</v>
      </c>
      <c r="E15" t="s">
        <v>303</v>
      </c>
      <c r="F15" t="s">
        <v>304</v>
      </c>
      <c r="G15">
        <v>1</v>
      </c>
      <c r="H15" t="s">
        <v>43</v>
      </c>
      <c r="I15">
        <v>224</v>
      </c>
      <c r="J15">
        <v>224</v>
      </c>
    </row>
    <row r="16" spans="1:10" x14ac:dyDescent="0.2">
      <c r="A16" t="s">
        <v>129</v>
      </c>
      <c r="B16" t="s">
        <v>128</v>
      </c>
      <c r="C16" t="s">
        <v>90</v>
      </c>
      <c r="D16" t="s">
        <v>91</v>
      </c>
      <c r="E16" t="s">
        <v>292</v>
      </c>
      <c r="F16" t="s">
        <v>293</v>
      </c>
      <c r="G16">
        <v>1</v>
      </c>
      <c r="H16" t="s">
        <v>43</v>
      </c>
      <c r="I16">
        <v>432</v>
      </c>
      <c r="J16">
        <v>432</v>
      </c>
    </row>
    <row r="17" spans="1:10" x14ac:dyDescent="0.2">
      <c r="A17" t="s">
        <v>126</v>
      </c>
      <c r="B17" t="s">
        <v>121</v>
      </c>
      <c r="C17" t="s">
        <v>90</v>
      </c>
      <c r="D17" t="s">
        <v>91</v>
      </c>
      <c r="E17" t="s">
        <v>305</v>
      </c>
      <c r="F17" t="s">
        <v>306</v>
      </c>
      <c r="G17">
        <v>1</v>
      </c>
      <c r="H17" t="s">
        <v>43</v>
      </c>
      <c r="I17">
        <v>570</v>
      </c>
      <c r="J17">
        <v>570</v>
      </c>
    </row>
    <row r="18" spans="1:10" x14ac:dyDescent="0.2">
      <c r="A18" t="s">
        <v>124</v>
      </c>
      <c r="B18" t="s">
        <v>90</v>
      </c>
      <c r="C18" t="s">
        <v>90</v>
      </c>
      <c r="D18" t="s">
        <v>91</v>
      </c>
      <c r="E18" t="s">
        <v>303</v>
      </c>
      <c r="F18" t="s">
        <v>304</v>
      </c>
      <c r="G18">
        <v>1</v>
      </c>
      <c r="H18" t="s">
        <v>43</v>
      </c>
      <c r="I18">
        <v>224</v>
      </c>
      <c r="J18">
        <v>224</v>
      </c>
    </row>
    <row r="19" spans="1:10" x14ac:dyDescent="0.2">
      <c r="A19" t="s">
        <v>136</v>
      </c>
      <c r="B19" t="s">
        <v>128</v>
      </c>
      <c r="C19" t="s">
        <v>90</v>
      </c>
      <c r="D19" t="s">
        <v>91</v>
      </c>
      <c r="E19" t="s">
        <v>307</v>
      </c>
      <c r="F19" t="s">
        <v>308</v>
      </c>
      <c r="G19">
        <v>1</v>
      </c>
      <c r="H19" t="s">
        <v>43</v>
      </c>
      <c r="I19">
        <v>501</v>
      </c>
      <c r="J19">
        <v>501</v>
      </c>
    </row>
    <row r="20" spans="1:10" x14ac:dyDescent="0.2">
      <c r="A20" t="s">
        <v>222</v>
      </c>
      <c r="B20" t="s">
        <v>90</v>
      </c>
      <c r="C20" t="s">
        <v>90</v>
      </c>
      <c r="D20" t="s">
        <v>91</v>
      </c>
      <c r="E20" t="s">
        <v>307</v>
      </c>
      <c r="F20" t="s">
        <v>308</v>
      </c>
      <c r="G20">
        <v>1</v>
      </c>
      <c r="H20" t="s">
        <v>43</v>
      </c>
      <c r="I20">
        <v>501</v>
      </c>
      <c r="J20">
        <v>501</v>
      </c>
    </row>
    <row r="21" spans="1:10" x14ac:dyDescent="0.2">
      <c r="A21" t="s">
        <v>221</v>
      </c>
      <c r="B21" t="s">
        <v>220</v>
      </c>
      <c r="C21" t="s">
        <v>90</v>
      </c>
      <c r="D21" t="s">
        <v>91</v>
      </c>
      <c r="E21" t="s">
        <v>309</v>
      </c>
      <c r="F21" t="s">
        <v>310</v>
      </c>
      <c r="G21">
        <v>1</v>
      </c>
      <c r="H21" t="s">
        <v>43</v>
      </c>
      <c r="I21">
        <v>378.69</v>
      </c>
      <c r="J21">
        <v>378.69</v>
      </c>
    </row>
    <row r="22" spans="1:10" x14ac:dyDescent="0.2">
      <c r="A22" t="s">
        <v>138</v>
      </c>
      <c r="B22" t="s">
        <v>131</v>
      </c>
      <c r="C22" t="s">
        <v>90</v>
      </c>
      <c r="D22" t="s">
        <v>91</v>
      </c>
      <c r="E22" t="s">
        <v>311</v>
      </c>
      <c r="F22" t="s">
        <v>312</v>
      </c>
      <c r="G22">
        <v>1</v>
      </c>
      <c r="H22" t="s">
        <v>43</v>
      </c>
      <c r="I22">
        <v>137</v>
      </c>
      <c r="J22">
        <v>137</v>
      </c>
    </row>
    <row r="23" spans="1:10" x14ac:dyDescent="0.2">
      <c r="A23" t="s">
        <v>140</v>
      </c>
      <c r="B23" t="s">
        <v>90</v>
      </c>
      <c r="C23" t="s">
        <v>90</v>
      </c>
      <c r="D23" t="s">
        <v>91</v>
      </c>
      <c r="E23" t="s">
        <v>303</v>
      </c>
      <c r="F23" t="s">
        <v>304</v>
      </c>
      <c r="G23">
        <v>1</v>
      </c>
      <c r="H23" t="s">
        <v>43</v>
      </c>
      <c r="I23">
        <v>224</v>
      </c>
      <c r="J23">
        <v>224</v>
      </c>
    </row>
    <row r="24" spans="1:10" x14ac:dyDescent="0.2">
      <c r="A24" t="s">
        <v>223</v>
      </c>
      <c r="B24" t="s">
        <v>90</v>
      </c>
      <c r="C24" t="s">
        <v>90</v>
      </c>
      <c r="D24" t="s">
        <v>91</v>
      </c>
      <c r="E24" t="s">
        <v>313</v>
      </c>
      <c r="F24" t="s">
        <v>314</v>
      </c>
      <c r="G24">
        <v>1</v>
      </c>
      <c r="H24" t="s">
        <v>43</v>
      </c>
      <c r="I24">
        <v>741.15</v>
      </c>
      <c r="J24">
        <v>741.15</v>
      </c>
    </row>
    <row r="25" spans="1:10" x14ac:dyDescent="0.2">
      <c r="A25" t="s">
        <v>146</v>
      </c>
      <c r="B25" t="s">
        <v>90</v>
      </c>
      <c r="C25" t="s">
        <v>90</v>
      </c>
      <c r="D25" t="s">
        <v>91</v>
      </c>
      <c r="E25" t="s">
        <v>315</v>
      </c>
      <c r="F25" t="s">
        <v>316</v>
      </c>
      <c r="G25">
        <v>1</v>
      </c>
      <c r="H25" t="s">
        <v>43</v>
      </c>
      <c r="I25">
        <v>317</v>
      </c>
      <c r="J25">
        <v>317</v>
      </c>
    </row>
    <row r="26" spans="1:10" x14ac:dyDescent="0.2">
      <c r="A26" t="s">
        <v>144</v>
      </c>
      <c r="B26" t="s">
        <v>90</v>
      </c>
      <c r="C26" t="s">
        <v>90</v>
      </c>
      <c r="D26" t="s">
        <v>91</v>
      </c>
      <c r="E26" t="s">
        <v>317</v>
      </c>
      <c r="F26" t="s">
        <v>318</v>
      </c>
      <c r="G26">
        <v>1</v>
      </c>
      <c r="H26" t="s">
        <v>43</v>
      </c>
      <c r="I26">
        <v>261.25</v>
      </c>
      <c r="J26">
        <v>261.25</v>
      </c>
    </row>
    <row r="27" spans="1:10" x14ac:dyDescent="0.2">
      <c r="A27" t="s">
        <v>142</v>
      </c>
      <c r="B27" t="s">
        <v>90</v>
      </c>
      <c r="C27" t="s">
        <v>90</v>
      </c>
      <c r="D27" t="s">
        <v>91</v>
      </c>
      <c r="E27" t="s">
        <v>317</v>
      </c>
      <c r="F27" t="s">
        <v>318</v>
      </c>
      <c r="G27">
        <v>1</v>
      </c>
      <c r="H27" t="s">
        <v>43</v>
      </c>
      <c r="I27">
        <v>261.25</v>
      </c>
      <c r="J27">
        <v>261.25</v>
      </c>
    </row>
    <row r="28" spans="1:10" x14ac:dyDescent="0.2">
      <c r="A28" t="s">
        <v>148</v>
      </c>
      <c r="B28" t="s">
        <v>101</v>
      </c>
      <c r="C28" t="s">
        <v>90</v>
      </c>
      <c r="D28" t="s">
        <v>91</v>
      </c>
      <c r="E28" t="s">
        <v>319</v>
      </c>
      <c r="F28" t="s">
        <v>320</v>
      </c>
      <c r="G28">
        <v>1</v>
      </c>
      <c r="H28" t="s">
        <v>43</v>
      </c>
      <c r="I28">
        <v>98</v>
      </c>
      <c r="J28">
        <v>98</v>
      </c>
    </row>
    <row r="29" spans="1:10" x14ac:dyDescent="0.2">
      <c r="A29" t="s">
        <v>132</v>
      </c>
      <c r="B29" t="s">
        <v>131</v>
      </c>
      <c r="C29" t="s">
        <v>90</v>
      </c>
      <c r="D29" t="s">
        <v>91</v>
      </c>
      <c r="E29" t="s">
        <v>317</v>
      </c>
      <c r="F29" t="s">
        <v>318</v>
      </c>
      <c r="G29">
        <v>2</v>
      </c>
      <c r="H29" t="s">
        <v>43</v>
      </c>
      <c r="I29">
        <v>261.25</v>
      </c>
      <c r="J29">
        <v>522.5</v>
      </c>
    </row>
    <row r="30" spans="1:10" x14ac:dyDescent="0.2">
      <c r="A30" t="s">
        <v>155</v>
      </c>
      <c r="B30" t="s">
        <v>131</v>
      </c>
      <c r="C30" t="s">
        <v>90</v>
      </c>
      <c r="D30" t="s">
        <v>91</v>
      </c>
      <c r="E30" t="s">
        <v>321</v>
      </c>
      <c r="F30" t="s">
        <v>322</v>
      </c>
      <c r="G30">
        <v>1</v>
      </c>
      <c r="H30" t="s">
        <v>43</v>
      </c>
      <c r="I30">
        <v>7</v>
      </c>
      <c r="J30">
        <v>7</v>
      </c>
    </row>
    <row r="31" spans="1:10" x14ac:dyDescent="0.2">
      <c r="A31" t="s">
        <v>153</v>
      </c>
      <c r="B31" t="s">
        <v>90</v>
      </c>
      <c r="C31" t="s">
        <v>90</v>
      </c>
      <c r="D31" t="s">
        <v>91</v>
      </c>
      <c r="E31" t="s">
        <v>323</v>
      </c>
      <c r="F31" t="s">
        <v>324</v>
      </c>
      <c r="G31">
        <v>1</v>
      </c>
      <c r="H31" t="s">
        <v>43</v>
      </c>
      <c r="I31">
        <v>458.19</v>
      </c>
      <c r="J31">
        <v>458.19</v>
      </c>
    </row>
    <row r="32" spans="1:10" x14ac:dyDescent="0.2">
      <c r="A32" t="s">
        <v>159</v>
      </c>
      <c r="B32" t="s">
        <v>90</v>
      </c>
      <c r="C32" t="s">
        <v>90</v>
      </c>
      <c r="D32" t="s">
        <v>91</v>
      </c>
      <c r="E32" t="s">
        <v>290</v>
      </c>
      <c r="F32" t="s">
        <v>291</v>
      </c>
      <c r="G32">
        <v>1</v>
      </c>
      <c r="H32" t="s">
        <v>43</v>
      </c>
      <c r="I32">
        <v>358</v>
      </c>
      <c r="J32">
        <v>358</v>
      </c>
    </row>
    <row r="33" spans="1:10" x14ac:dyDescent="0.2">
      <c r="A33" t="s">
        <v>224</v>
      </c>
      <c r="B33" t="s">
        <v>90</v>
      </c>
      <c r="C33" t="s">
        <v>90</v>
      </c>
      <c r="D33" t="s">
        <v>91</v>
      </c>
      <c r="E33" t="s">
        <v>299</v>
      </c>
      <c r="F33" t="s">
        <v>300</v>
      </c>
      <c r="G33">
        <v>1</v>
      </c>
      <c r="H33" t="s">
        <v>43</v>
      </c>
      <c r="I33">
        <v>358</v>
      </c>
      <c r="J33">
        <v>358</v>
      </c>
    </row>
    <row r="34" spans="1:10" x14ac:dyDescent="0.2">
      <c r="A34" t="s">
        <v>162</v>
      </c>
      <c r="B34" t="s">
        <v>161</v>
      </c>
      <c r="C34" t="s">
        <v>90</v>
      </c>
      <c r="D34" t="s">
        <v>91</v>
      </c>
      <c r="E34" t="s">
        <v>305</v>
      </c>
      <c r="F34" t="s">
        <v>306</v>
      </c>
      <c r="G34">
        <v>1</v>
      </c>
      <c r="H34" t="s">
        <v>43</v>
      </c>
      <c r="I34">
        <v>570</v>
      </c>
      <c r="J34">
        <v>570</v>
      </c>
    </row>
    <row r="35" spans="1:10" x14ac:dyDescent="0.2">
      <c r="A35" t="s">
        <v>151</v>
      </c>
      <c r="B35" t="s">
        <v>150</v>
      </c>
      <c r="C35" t="s">
        <v>90</v>
      </c>
      <c r="D35" t="s">
        <v>91</v>
      </c>
      <c r="E35" t="s">
        <v>286</v>
      </c>
      <c r="F35" t="s">
        <v>287</v>
      </c>
      <c r="G35">
        <v>1</v>
      </c>
      <c r="H35" t="s">
        <v>43</v>
      </c>
      <c r="I35">
        <v>27</v>
      </c>
      <c r="J35">
        <v>27</v>
      </c>
    </row>
    <row r="36" spans="1:10" x14ac:dyDescent="0.2">
      <c r="A36" t="s">
        <v>168</v>
      </c>
      <c r="B36" t="s">
        <v>90</v>
      </c>
      <c r="C36" t="s">
        <v>90</v>
      </c>
      <c r="D36" t="s">
        <v>91</v>
      </c>
      <c r="E36" t="s">
        <v>305</v>
      </c>
      <c r="F36" t="s">
        <v>306</v>
      </c>
      <c r="G36">
        <v>1</v>
      </c>
      <c r="H36" t="s">
        <v>43</v>
      </c>
      <c r="I36">
        <v>570</v>
      </c>
      <c r="J36">
        <v>570</v>
      </c>
    </row>
    <row r="37" spans="1:10" x14ac:dyDescent="0.2">
      <c r="A37" t="s">
        <v>166</v>
      </c>
      <c r="B37" t="s">
        <v>90</v>
      </c>
      <c r="C37" t="s">
        <v>90</v>
      </c>
      <c r="D37" t="s">
        <v>91</v>
      </c>
      <c r="E37" t="s">
        <v>305</v>
      </c>
      <c r="F37" t="s">
        <v>306</v>
      </c>
      <c r="G37">
        <v>1</v>
      </c>
      <c r="H37" t="s">
        <v>43</v>
      </c>
      <c r="I37">
        <v>570</v>
      </c>
      <c r="J37">
        <v>570</v>
      </c>
    </row>
    <row r="38" spans="1:10" x14ac:dyDescent="0.2">
      <c r="A38" t="s">
        <v>164</v>
      </c>
      <c r="B38" t="s">
        <v>90</v>
      </c>
      <c r="C38" t="s">
        <v>90</v>
      </c>
      <c r="D38" t="s">
        <v>91</v>
      </c>
      <c r="E38" t="s">
        <v>290</v>
      </c>
      <c r="F38" t="s">
        <v>291</v>
      </c>
      <c r="G38">
        <v>1</v>
      </c>
      <c r="H38" t="s">
        <v>43</v>
      </c>
      <c r="I38">
        <v>358</v>
      </c>
      <c r="J38">
        <v>358</v>
      </c>
    </row>
    <row r="39" spans="1:10" x14ac:dyDescent="0.2">
      <c r="A39" t="s">
        <v>175</v>
      </c>
      <c r="B39" t="s">
        <v>174</v>
      </c>
      <c r="C39" t="s">
        <v>90</v>
      </c>
      <c r="D39" t="s">
        <v>91</v>
      </c>
      <c r="E39" t="s">
        <v>292</v>
      </c>
      <c r="F39" t="s">
        <v>293</v>
      </c>
      <c r="G39">
        <v>1</v>
      </c>
      <c r="H39" t="s">
        <v>43</v>
      </c>
      <c r="I39">
        <v>432</v>
      </c>
      <c r="J39">
        <v>432</v>
      </c>
    </row>
    <row r="40" spans="1:10" x14ac:dyDescent="0.2">
      <c r="A40" t="s">
        <v>185</v>
      </c>
      <c r="B40" t="s">
        <v>90</v>
      </c>
      <c r="C40" t="s">
        <v>90</v>
      </c>
      <c r="D40" t="s">
        <v>91</v>
      </c>
      <c r="E40" t="s">
        <v>325</v>
      </c>
      <c r="F40" t="s">
        <v>326</v>
      </c>
      <c r="G40">
        <v>1</v>
      </c>
      <c r="H40" t="s">
        <v>43</v>
      </c>
      <c r="I40">
        <v>85.8</v>
      </c>
      <c r="J40">
        <v>85.8</v>
      </c>
    </row>
    <row r="41" spans="1:10" x14ac:dyDescent="0.2">
      <c r="A41" t="s">
        <v>187</v>
      </c>
      <c r="B41" t="s">
        <v>161</v>
      </c>
      <c r="C41" t="s">
        <v>90</v>
      </c>
      <c r="D41" t="s">
        <v>91</v>
      </c>
      <c r="E41" t="s">
        <v>307</v>
      </c>
      <c r="F41" t="s">
        <v>308</v>
      </c>
      <c r="G41">
        <v>1</v>
      </c>
      <c r="H41" t="s">
        <v>43</v>
      </c>
      <c r="I41">
        <v>501</v>
      </c>
      <c r="J41">
        <v>501</v>
      </c>
    </row>
    <row r="42" spans="1:10" x14ac:dyDescent="0.2">
      <c r="A42" t="s">
        <v>187</v>
      </c>
      <c r="B42" t="s">
        <v>161</v>
      </c>
      <c r="C42" t="s">
        <v>90</v>
      </c>
      <c r="D42" t="s">
        <v>91</v>
      </c>
      <c r="E42" t="s">
        <v>327</v>
      </c>
      <c r="F42" t="s">
        <v>328</v>
      </c>
      <c r="G42">
        <v>1</v>
      </c>
      <c r="H42" t="s">
        <v>43</v>
      </c>
      <c r="I42">
        <v>10</v>
      </c>
      <c r="J42">
        <v>10</v>
      </c>
    </row>
    <row r="43" spans="1:10" x14ac:dyDescent="0.2">
      <c r="A43" t="s">
        <v>206</v>
      </c>
      <c r="B43" t="s">
        <v>90</v>
      </c>
      <c r="C43" t="s">
        <v>90</v>
      </c>
      <c r="D43" t="s">
        <v>91</v>
      </c>
      <c r="E43" t="s">
        <v>317</v>
      </c>
      <c r="F43" t="s">
        <v>318</v>
      </c>
      <c r="G43">
        <v>1</v>
      </c>
      <c r="H43" t="s">
        <v>43</v>
      </c>
      <c r="I43">
        <v>261.25</v>
      </c>
      <c r="J43">
        <v>261.25</v>
      </c>
    </row>
    <row r="44" spans="1:10" x14ac:dyDescent="0.2">
      <c r="A44" t="s">
        <v>200</v>
      </c>
      <c r="B44" t="s">
        <v>90</v>
      </c>
      <c r="C44" t="s">
        <v>90</v>
      </c>
      <c r="D44" t="s">
        <v>91</v>
      </c>
      <c r="E44" t="s">
        <v>286</v>
      </c>
      <c r="F44" t="s">
        <v>287</v>
      </c>
      <c r="G44">
        <v>1</v>
      </c>
      <c r="H44" t="s">
        <v>43</v>
      </c>
      <c r="I44">
        <v>27</v>
      </c>
      <c r="J44">
        <v>27</v>
      </c>
    </row>
    <row r="45" spans="1:10" x14ac:dyDescent="0.2">
      <c r="A45" t="s">
        <v>181</v>
      </c>
      <c r="B45" t="s">
        <v>90</v>
      </c>
      <c r="C45" t="s">
        <v>90</v>
      </c>
      <c r="D45" t="s">
        <v>91</v>
      </c>
      <c r="E45" t="s">
        <v>329</v>
      </c>
      <c r="F45" t="s">
        <v>324</v>
      </c>
      <c r="G45">
        <v>1</v>
      </c>
      <c r="H45" t="s">
        <v>43</v>
      </c>
      <c r="I45">
        <v>458.19</v>
      </c>
      <c r="J45">
        <v>458.19</v>
      </c>
    </row>
    <row r="46" spans="1:10" x14ac:dyDescent="0.2">
      <c r="A46" t="s">
        <v>195</v>
      </c>
      <c r="B46" t="s">
        <v>90</v>
      </c>
      <c r="C46" t="s">
        <v>90</v>
      </c>
      <c r="D46" t="s">
        <v>91</v>
      </c>
      <c r="E46" t="s">
        <v>290</v>
      </c>
      <c r="F46" t="s">
        <v>291</v>
      </c>
      <c r="G46">
        <v>1</v>
      </c>
      <c r="H46" t="s">
        <v>43</v>
      </c>
      <c r="I46">
        <v>358</v>
      </c>
      <c r="J46">
        <v>358</v>
      </c>
    </row>
    <row r="47" spans="1:10" x14ac:dyDescent="0.2">
      <c r="A47" t="s">
        <v>198</v>
      </c>
      <c r="B47" t="s">
        <v>197</v>
      </c>
      <c r="C47" t="s">
        <v>90</v>
      </c>
      <c r="D47" t="s">
        <v>91</v>
      </c>
      <c r="E47" t="s">
        <v>305</v>
      </c>
      <c r="F47" t="s">
        <v>306</v>
      </c>
      <c r="G47">
        <v>1</v>
      </c>
      <c r="H47" t="s">
        <v>43</v>
      </c>
      <c r="I47">
        <v>570</v>
      </c>
      <c r="J47">
        <v>570</v>
      </c>
    </row>
    <row r="48" spans="1:10" x14ac:dyDescent="0.2">
      <c r="A48" t="s">
        <v>193</v>
      </c>
      <c r="B48" t="s">
        <v>131</v>
      </c>
      <c r="C48" t="s">
        <v>90</v>
      </c>
      <c r="D48" t="s">
        <v>91</v>
      </c>
      <c r="E48" t="s">
        <v>330</v>
      </c>
      <c r="F48" t="s">
        <v>318</v>
      </c>
      <c r="G48">
        <v>1</v>
      </c>
      <c r="H48" t="s">
        <v>43</v>
      </c>
      <c r="I48">
        <v>261.25</v>
      </c>
      <c r="J48">
        <v>261.25</v>
      </c>
    </row>
    <row r="49" spans="1:10" x14ac:dyDescent="0.2">
      <c r="A49" t="s">
        <v>204</v>
      </c>
      <c r="B49" t="s">
        <v>90</v>
      </c>
      <c r="C49" t="s">
        <v>90</v>
      </c>
      <c r="D49" t="s">
        <v>91</v>
      </c>
      <c r="E49" t="s">
        <v>315</v>
      </c>
      <c r="F49" t="s">
        <v>316</v>
      </c>
      <c r="G49">
        <v>1</v>
      </c>
      <c r="H49" t="s">
        <v>43</v>
      </c>
      <c r="I49">
        <v>317</v>
      </c>
      <c r="J49">
        <v>317</v>
      </c>
    </row>
    <row r="50" spans="1:10" x14ac:dyDescent="0.2">
      <c r="A50" t="s">
        <v>183</v>
      </c>
      <c r="B50" t="s">
        <v>90</v>
      </c>
      <c r="C50" t="s">
        <v>90</v>
      </c>
      <c r="D50" t="s">
        <v>91</v>
      </c>
      <c r="E50" t="s">
        <v>315</v>
      </c>
      <c r="F50" t="s">
        <v>316</v>
      </c>
      <c r="G50">
        <v>1</v>
      </c>
      <c r="H50" t="s">
        <v>43</v>
      </c>
      <c r="I50">
        <v>317</v>
      </c>
      <c r="J50">
        <v>317</v>
      </c>
    </row>
    <row r="51" spans="1:10" x14ac:dyDescent="0.2">
      <c r="A51" t="s">
        <v>191</v>
      </c>
      <c r="B51" t="s">
        <v>90</v>
      </c>
      <c r="C51" t="s">
        <v>90</v>
      </c>
      <c r="D51" t="s">
        <v>91</v>
      </c>
      <c r="E51" t="s">
        <v>290</v>
      </c>
      <c r="F51" t="s">
        <v>291</v>
      </c>
      <c r="G51">
        <v>1</v>
      </c>
      <c r="H51" t="s">
        <v>43</v>
      </c>
      <c r="I51">
        <v>358</v>
      </c>
      <c r="J51">
        <v>358</v>
      </c>
    </row>
    <row r="52" spans="1:10" x14ac:dyDescent="0.2">
      <c r="A52" t="s">
        <v>212</v>
      </c>
      <c r="B52" t="s">
        <v>90</v>
      </c>
      <c r="C52" t="s">
        <v>90</v>
      </c>
      <c r="D52" t="s">
        <v>91</v>
      </c>
      <c r="E52" t="s">
        <v>299</v>
      </c>
      <c r="F52" t="s">
        <v>300</v>
      </c>
      <c r="G52">
        <v>1</v>
      </c>
      <c r="H52" t="s">
        <v>43</v>
      </c>
      <c r="I52">
        <v>358</v>
      </c>
      <c r="J52">
        <v>358</v>
      </c>
    </row>
    <row r="53" spans="1:10" x14ac:dyDescent="0.2">
      <c r="A53" t="s">
        <v>210</v>
      </c>
      <c r="B53" t="s">
        <v>90</v>
      </c>
      <c r="C53" t="s">
        <v>90</v>
      </c>
      <c r="D53" t="s">
        <v>91</v>
      </c>
      <c r="E53" t="s">
        <v>290</v>
      </c>
      <c r="F53" t="s">
        <v>291</v>
      </c>
      <c r="G53">
        <v>1</v>
      </c>
      <c r="H53" t="s">
        <v>43</v>
      </c>
      <c r="I53">
        <v>358</v>
      </c>
      <c r="J53">
        <v>358</v>
      </c>
    </row>
    <row r="54" spans="1:10" x14ac:dyDescent="0.2">
      <c r="A54" t="s">
        <v>208</v>
      </c>
      <c r="B54" t="s">
        <v>90</v>
      </c>
      <c r="C54" t="s">
        <v>90</v>
      </c>
      <c r="D54" t="s">
        <v>91</v>
      </c>
      <c r="E54" t="s">
        <v>290</v>
      </c>
      <c r="F54" t="s">
        <v>291</v>
      </c>
      <c r="G54">
        <v>1</v>
      </c>
      <c r="H54" t="s">
        <v>43</v>
      </c>
      <c r="I54">
        <v>358</v>
      </c>
      <c r="J54">
        <v>358</v>
      </c>
    </row>
    <row r="55" spans="1:10" x14ac:dyDescent="0.2">
      <c r="A55" t="s">
        <v>202</v>
      </c>
      <c r="B55" t="s">
        <v>131</v>
      </c>
      <c r="C55" t="s">
        <v>90</v>
      </c>
      <c r="D55" t="s">
        <v>91</v>
      </c>
      <c r="E55" t="s">
        <v>331</v>
      </c>
      <c r="F55" t="s">
        <v>332</v>
      </c>
      <c r="G55">
        <v>1</v>
      </c>
      <c r="H55" t="s">
        <v>43</v>
      </c>
      <c r="I55">
        <v>72.8</v>
      </c>
      <c r="J55">
        <v>72.8</v>
      </c>
    </row>
    <row r="56" spans="1:10" x14ac:dyDescent="0.2">
      <c r="A56" t="s">
        <v>179</v>
      </c>
      <c r="B56" t="s">
        <v>174</v>
      </c>
      <c r="C56" t="s">
        <v>90</v>
      </c>
      <c r="D56" t="s">
        <v>91</v>
      </c>
      <c r="E56" t="s">
        <v>333</v>
      </c>
      <c r="F56" t="s">
        <v>334</v>
      </c>
      <c r="G56">
        <v>1</v>
      </c>
      <c r="H56" t="s">
        <v>43</v>
      </c>
      <c r="I56">
        <v>19</v>
      </c>
      <c r="J56">
        <v>19</v>
      </c>
    </row>
    <row r="57" spans="1:10" x14ac:dyDescent="0.2">
      <c r="A57" t="s">
        <v>179</v>
      </c>
      <c r="B57" t="s">
        <v>174</v>
      </c>
      <c r="C57" t="s">
        <v>90</v>
      </c>
      <c r="D57" t="s">
        <v>91</v>
      </c>
      <c r="E57" t="s">
        <v>335</v>
      </c>
      <c r="F57" t="s">
        <v>336</v>
      </c>
      <c r="G57">
        <v>1</v>
      </c>
      <c r="H57" t="s">
        <v>43</v>
      </c>
      <c r="I57">
        <v>1</v>
      </c>
      <c r="J57">
        <v>1</v>
      </c>
    </row>
    <row r="58" spans="1:10" x14ac:dyDescent="0.2">
      <c r="A58" t="s">
        <v>179</v>
      </c>
      <c r="B58" t="s">
        <v>174</v>
      </c>
      <c r="C58" t="s">
        <v>90</v>
      </c>
      <c r="D58" t="s">
        <v>91</v>
      </c>
      <c r="E58" t="s">
        <v>294</v>
      </c>
      <c r="F58" t="s">
        <v>295</v>
      </c>
      <c r="G58">
        <v>2</v>
      </c>
      <c r="H58" t="s">
        <v>43</v>
      </c>
      <c r="I58">
        <v>80</v>
      </c>
      <c r="J58">
        <v>160</v>
      </c>
    </row>
    <row r="59" spans="1:10" x14ac:dyDescent="0.2">
      <c r="A59" t="s">
        <v>179</v>
      </c>
      <c r="B59" t="s">
        <v>174</v>
      </c>
      <c r="C59" t="s">
        <v>90</v>
      </c>
      <c r="D59" t="s">
        <v>91</v>
      </c>
      <c r="E59" t="s">
        <v>305</v>
      </c>
      <c r="F59" t="s">
        <v>306</v>
      </c>
      <c r="G59">
        <v>1</v>
      </c>
      <c r="H59" t="s">
        <v>43</v>
      </c>
      <c r="I59">
        <v>570</v>
      </c>
      <c r="J59">
        <v>570</v>
      </c>
    </row>
    <row r="60" spans="1:10" x14ac:dyDescent="0.2">
      <c r="A60" t="s">
        <v>179</v>
      </c>
      <c r="B60" t="s">
        <v>174</v>
      </c>
      <c r="C60" t="s">
        <v>90</v>
      </c>
      <c r="D60" t="s">
        <v>91</v>
      </c>
      <c r="E60" t="s">
        <v>337</v>
      </c>
      <c r="F60" t="s">
        <v>338</v>
      </c>
      <c r="G60">
        <v>1</v>
      </c>
      <c r="H60" t="s">
        <v>43</v>
      </c>
      <c r="I60">
        <v>9</v>
      </c>
      <c r="J60">
        <v>9</v>
      </c>
    </row>
    <row r="61" spans="1:10" x14ac:dyDescent="0.2">
      <c r="A61" t="s">
        <v>179</v>
      </c>
      <c r="B61" t="s">
        <v>174</v>
      </c>
      <c r="C61" t="s">
        <v>90</v>
      </c>
      <c r="D61" t="s">
        <v>91</v>
      </c>
      <c r="E61" t="s">
        <v>339</v>
      </c>
      <c r="F61" t="s">
        <v>340</v>
      </c>
      <c r="G61">
        <v>1</v>
      </c>
      <c r="H61" t="s">
        <v>43</v>
      </c>
      <c r="I61">
        <v>11</v>
      </c>
      <c r="J61">
        <v>11</v>
      </c>
    </row>
    <row r="62" spans="1:10" x14ac:dyDescent="0.2">
      <c r="A62" t="s">
        <v>179</v>
      </c>
      <c r="B62" t="s">
        <v>174</v>
      </c>
      <c r="C62" t="s">
        <v>90</v>
      </c>
      <c r="D62" t="s">
        <v>91</v>
      </c>
      <c r="E62" t="s">
        <v>341</v>
      </c>
      <c r="F62" t="s">
        <v>342</v>
      </c>
      <c r="G62">
        <v>4</v>
      </c>
      <c r="H62" t="s">
        <v>43</v>
      </c>
      <c r="I62">
        <v>11</v>
      </c>
      <c r="J62">
        <v>44</v>
      </c>
    </row>
    <row r="63" spans="1:10" x14ac:dyDescent="0.2">
      <c r="A63" t="s">
        <v>179</v>
      </c>
      <c r="B63" t="s">
        <v>174</v>
      </c>
      <c r="C63" t="s">
        <v>90</v>
      </c>
      <c r="D63" t="s">
        <v>91</v>
      </c>
      <c r="E63" t="s">
        <v>343</v>
      </c>
      <c r="F63" t="s">
        <v>344</v>
      </c>
      <c r="G63">
        <v>1</v>
      </c>
      <c r="H63" t="s">
        <v>43</v>
      </c>
      <c r="I63">
        <v>13</v>
      </c>
      <c r="J63">
        <v>13</v>
      </c>
    </row>
    <row r="64" spans="1:10" x14ac:dyDescent="0.2">
      <c r="A64" t="s">
        <v>179</v>
      </c>
      <c r="B64" t="s">
        <v>174</v>
      </c>
      <c r="C64" t="s">
        <v>90</v>
      </c>
      <c r="D64" t="s">
        <v>91</v>
      </c>
      <c r="E64" t="s">
        <v>345</v>
      </c>
      <c r="F64" t="s">
        <v>346</v>
      </c>
      <c r="G64">
        <v>2</v>
      </c>
      <c r="H64" t="s">
        <v>43</v>
      </c>
      <c r="I64">
        <v>4</v>
      </c>
      <c r="J64">
        <v>8</v>
      </c>
    </row>
    <row r="65" spans="1:10" x14ac:dyDescent="0.2">
      <c r="A65" t="s">
        <v>179</v>
      </c>
      <c r="B65" t="s">
        <v>174</v>
      </c>
      <c r="C65" t="s">
        <v>90</v>
      </c>
      <c r="D65" t="s">
        <v>91</v>
      </c>
      <c r="E65" t="s">
        <v>347</v>
      </c>
      <c r="F65" t="s">
        <v>348</v>
      </c>
      <c r="G65">
        <v>1</v>
      </c>
      <c r="H65" t="s">
        <v>43</v>
      </c>
      <c r="I65">
        <v>10</v>
      </c>
      <c r="J65">
        <v>10</v>
      </c>
    </row>
    <row r="66" spans="1:10" x14ac:dyDescent="0.2">
      <c r="A66" t="s">
        <v>179</v>
      </c>
      <c r="B66" t="s">
        <v>174</v>
      </c>
      <c r="C66" t="s">
        <v>90</v>
      </c>
      <c r="D66" t="s">
        <v>91</v>
      </c>
      <c r="E66" t="s">
        <v>349</v>
      </c>
      <c r="F66" t="s">
        <v>350</v>
      </c>
      <c r="G66">
        <v>4</v>
      </c>
      <c r="H66" t="s">
        <v>43</v>
      </c>
      <c r="I66">
        <v>11</v>
      </c>
      <c r="J66">
        <v>44</v>
      </c>
    </row>
    <row r="67" spans="1:10" x14ac:dyDescent="0.2">
      <c r="A67" t="s">
        <v>189</v>
      </c>
      <c r="B67" t="s">
        <v>121</v>
      </c>
      <c r="C67" t="s">
        <v>90</v>
      </c>
      <c r="D67" t="s">
        <v>91</v>
      </c>
      <c r="E67" t="s">
        <v>351</v>
      </c>
      <c r="F67" t="s">
        <v>352</v>
      </c>
      <c r="G67">
        <v>1</v>
      </c>
      <c r="H67" t="s">
        <v>43</v>
      </c>
      <c r="I67">
        <v>94.54</v>
      </c>
      <c r="J67">
        <v>94.54</v>
      </c>
    </row>
    <row r="68" spans="1:10" x14ac:dyDescent="0.2">
      <c r="A68" t="s">
        <v>214</v>
      </c>
      <c r="B68" t="s">
        <v>90</v>
      </c>
      <c r="C68" t="s">
        <v>90</v>
      </c>
      <c r="D68" t="s">
        <v>91</v>
      </c>
      <c r="E68" t="s">
        <v>315</v>
      </c>
      <c r="F68" t="s">
        <v>316</v>
      </c>
      <c r="G68">
        <v>1</v>
      </c>
      <c r="H68" t="s">
        <v>43</v>
      </c>
      <c r="I68">
        <v>317</v>
      </c>
      <c r="J68">
        <v>317</v>
      </c>
    </row>
    <row r="69" spans="1:10" x14ac:dyDescent="0.2">
      <c r="A69" t="s">
        <v>214</v>
      </c>
      <c r="B69" t="s">
        <v>90</v>
      </c>
      <c r="C69" t="s">
        <v>90</v>
      </c>
      <c r="D69" t="s">
        <v>91</v>
      </c>
      <c r="E69" t="s">
        <v>301</v>
      </c>
      <c r="F69" t="s">
        <v>302</v>
      </c>
      <c r="G69">
        <v>1</v>
      </c>
      <c r="H69" t="s">
        <v>43</v>
      </c>
      <c r="I69">
        <v>552</v>
      </c>
      <c r="J69">
        <v>552</v>
      </c>
    </row>
    <row r="70" spans="1:10" x14ac:dyDescent="0.2">
      <c r="A70" t="s">
        <v>216</v>
      </c>
      <c r="B70" t="s">
        <v>121</v>
      </c>
      <c r="C70" t="s">
        <v>90</v>
      </c>
      <c r="D70" t="s">
        <v>91</v>
      </c>
      <c r="E70" t="s">
        <v>292</v>
      </c>
      <c r="F70" t="s">
        <v>293</v>
      </c>
      <c r="G70">
        <v>1</v>
      </c>
      <c r="H70" t="s">
        <v>43</v>
      </c>
      <c r="I70">
        <v>432</v>
      </c>
      <c r="J70">
        <v>432</v>
      </c>
    </row>
    <row r="71" spans="1:10" x14ac:dyDescent="0.2">
      <c r="A71" t="s">
        <v>157</v>
      </c>
      <c r="B71" t="s">
        <v>90</v>
      </c>
      <c r="C71" t="s">
        <v>90</v>
      </c>
      <c r="D71" t="s">
        <v>91</v>
      </c>
      <c r="E71" t="s">
        <v>315</v>
      </c>
      <c r="F71" t="s">
        <v>316</v>
      </c>
      <c r="G71">
        <v>1</v>
      </c>
      <c r="H71" t="s">
        <v>43</v>
      </c>
      <c r="I71">
        <v>317</v>
      </c>
      <c r="J71">
        <v>317</v>
      </c>
    </row>
    <row r="72" spans="1:10" x14ac:dyDescent="0.2">
      <c r="A72" t="s">
        <v>170</v>
      </c>
      <c r="B72" t="s">
        <v>161</v>
      </c>
      <c r="C72" t="s">
        <v>90</v>
      </c>
      <c r="D72" t="s">
        <v>91</v>
      </c>
      <c r="E72" t="s">
        <v>353</v>
      </c>
      <c r="F72" t="s">
        <v>354</v>
      </c>
      <c r="G72">
        <v>1</v>
      </c>
      <c r="H72" t="s">
        <v>43</v>
      </c>
      <c r="I72">
        <v>24</v>
      </c>
      <c r="J72">
        <v>24</v>
      </c>
    </row>
    <row r="73" spans="1:10" x14ac:dyDescent="0.2">
      <c r="A73" t="s">
        <v>177</v>
      </c>
      <c r="B73" t="s">
        <v>90</v>
      </c>
      <c r="C73" t="s">
        <v>90</v>
      </c>
      <c r="D73" t="s">
        <v>91</v>
      </c>
      <c r="E73" t="s">
        <v>355</v>
      </c>
      <c r="F73" t="s">
        <v>356</v>
      </c>
      <c r="G73">
        <v>1</v>
      </c>
      <c r="H73" t="s">
        <v>43</v>
      </c>
      <c r="I73">
        <v>3</v>
      </c>
      <c r="J73">
        <v>3</v>
      </c>
    </row>
    <row r="74" spans="1:10" x14ac:dyDescent="0.2">
      <c r="A74" t="s">
        <v>177</v>
      </c>
      <c r="B74" t="s">
        <v>90</v>
      </c>
      <c r="C74" t="s">
        <v>90</v>
      </c>
      <c r="D74" t="s">
        <v>91</v>
      </c>
      <c r="E74" t="s">
        <v>349</v>
      </c>
      <c r="F74" t="s">
        <v>350</v>
      </c>
      <c r="G74">
        <v>2</v>
      </c>
      <c r="H74" t="s">
        <v>43</v>
      </c>
      <c r="I74">
        <v>11</v>
      </c>
      <c r="J74">
        <v>22</v>
      </c>
    </row>
    <row r="75" spans="1:10" x14ac:dyDescent="0.2">
      <c r="A75" t="s">
        <v>177</v>
      </c>
      <c r="B75" t="s">
        <v>90</v>
      </c>
      <c r="C75" t="s">
        <v>90</v>
      </c>
      <c r="D75" t="s">
        <v>91</v>
      </c>
      <c r="E75" t="s">
        <v>341</v>
      </c>
      <c r="F75" t="s">
        <v>342</v>
      </c>
      <c r="G75">
        <v>2</v>
      </c>
      <c r="H75" t="s">
        <v>43</v>
      </c>
      <c r="I75">
        <v>11</v>
      </c>
      <c r="J75">
        <v>22</v>
      </c>
    </row>
    <row r="76" spans="1:10" x14ac:dyDescent="0.2">
      <c r="A76" t="s">
        <v>177</v>
      </c>
      <c r="B76" t="s">
        <v>90</v>
      </c>
      <c r="C76" t="s">
        <v>90</v>
      </c>
      <c r="D76" t="s">
        <v>91</v>
      </c>
      <c r="E76" t="s">
        <v>357</v>
      </c>
      <c r="F76" t="s">
        <v>358</v>
      </c>
      <c r="G76">
        <v>2</v>
      </c>
      <c r="H76" t="s">
        <v>43</v>
      </c>
      <c r="I76">
        <v>1</v>
      </c>
      <c r="J76">
        <v>2</v>
      </c>
    </row>
    <row r="77" spans="1:10" x14ac:dyDescent="0.2">
      <c r="A77" t="s">
        <v>177</v>
      </c>
      <c r="B77" t="s">
        <v>90</v>
      </c>
      <c r="C77" t="s">
        <v>90</v>
      </c>
      <c r="D77" t="s">
        <v>91</v>
      </c>
      <c r="E77" t="s">
        <v>359</v>
      </c>
      <c r="F77" t="s">
        <v>360</v>
      </c>
      <c r="G77">
        <v>1</v>
      </c>
      <c r="H77" t="s">
        <v>43</v>
      </c>
      <c r="I77">
        <v>15</v>
      </c>
      <c r="J77">
        <v>15</v>
      </c>
    </row>
    <row r="78" spans="1:10" x14ac:dyDescent="0.2">
      <c r="A78" t="s">
        <v>177</v>
      </c>
      <c r="B78" t="s">
        <v>90</v>
      </c>
      <c r="C78" t="s">
        <v>90</v>
      </c>
      <c r="D78" t="s">
        <v>91</v>
      </c>
      <c r="E78" t="s">
        <v>361</v>
      </c>
      <c r="F78" t="s">
        <v>362</v>
      </c>
      <c r="G78">
        <v>2</v>
      </c>
      <c r="H78" t="s">
        <v>43</v>
      </c>
      <c r="I78">
        <v>1</v>
      </c>
      <c r="J78">
        <v>2</v>
      </c>
    </row>
    <row r="79" spans="1:10" x14ac:dyDescent="0.2">
      <c r="A79" t="s">
        <v>177</v>
      </c>
      <c r="B79" t="s">
        <v>90</v>
      </c>
      <c r="C79" t="s">
        <v>90</v>
      </c>
      <c r="D79" t="s">
        <v>91</v>
      </c>
      <c r="E79" t="s">
        <v>363</v>
      </c>
      <c r="F79" t="s">
        <v>364</v>
      </c>
      <c r="G79">
        <v>1</v>
      </c>
      <c r="H79" t="s">
        <v>43</v>
      </c>
      <c r="I79">
        <v>0.43</v>
      </c>
      <c r="J79">
        <v>0.43</v>
      </c>
    </row>
    <row r="80" spans="1:10" x14ac:dyDescent="0.2">
      <c r="A80" t="s">
        <v>177</v>
      </c>
      <c r="B80" t="s">
        <v>90</v>
      </c>
      <c r="C80" t="s">
        <v>90</v>
      </c>
      <c r="D80" t="s">
        <v>91</v>
      </c>
      <c r="E80" t="s">
        <v>365</v>
      </c>
      <c r="F80" t="s">
        <v>366</v>
      </c>
      <c r="G80">
        <v>1</v>
      </c>
      <c r="H80" t="s">
        <v>43</v>
      </c>
      <c r="I80">
        <v>0.87</v>
      </c>
      <c r="J80">
        <v>0.87</v>
      </c>
    </row>
    <row r="81" spans="1:10" x14ac:dyDescent="0.2">
      <c r="A81" t="s">
        <v>177</v>
      </c>
      <c r="B81" t="s">
        <v>90</v>
      </c>
      <c r="C81" t="s">
        <v>90</v>
      </c>
      <c r="D81" t="s">
        <v>91</v>
      </c>
      <c r="E81" t="s">
        <v>367</v>
      </c>
      <c r="F81" t="s">
        <v>368</v>
      </c>
      <c r="G81">
        <v>1</v>
      </c>
      <c r="H81" t="s">
        <v>43</v>
      </c>
      <c r="I81">
        <v>2.41</v>
      </c>
      <c r="J81">
        <v>2.41</v>
      </c>
    </row>
    <row r="82" spans="1:10" x14ac:dyDescent="0.2">
      <c r="A82" t="s">
        <v>177</v>
      </c>
      <c r="B82" t="s">
        <v>90</v>
      </c>
      <c r="C82" t="s">
        <v>90</v>
      </c>
      <c r="D82" t="s">
        <v>91</v>
      </c>
      <c r="E82" t="s">
        <v>369</v>
      </c>
      <c r="F82" t="s">
        <v>370</v>
      </c>
      <c r="G82">
        <v>1</v>
      </c>
      <c r="H82" t="s">
        <v>43</v>
      </c>
      <c r="I82">
        <v>19</v>
      </c>
      <c r="J82">
        <v>19</v>
      </c>
    </row>
    <row r="83" spans="1:10" x14ac:dyDescent="0.2">
      <c r="A83" t="s">
        <v>177</v>
      </c>
      <c r="B83" t="s">
        <v>90</v>
      </c>
      <c r="C83" t="s">
        <v>90</v>
      </c>
      <c r="D83" t="s">
        <v>91</v>
      </c>
      <c r="E83" t="s">
        <v>371</v>
      </c>
      <c r="F83" t="s">
        <v>372</v>
      </c>
      <c r="G83">
        <v>1</v>
      </c>
      <c r="H83" t="s">
        <v>43</v>
      </c>
      <c r="I83">
        <v>17</v>
      </c>
      <c r="J83">
        <v>17</v>
      </c>
    </row>
    <row r="84" spans="1:10" x14ac:dyDescent="0.2">
      <c r="A84" t="s">
        <v>177</v>
      </c>
      <c r="B84" t="s">
        <v>90</v>
      </c>
      <c r="C84" t="s">
        <v>90</v>
      </c>
      <c r="D84" t="s">
        <v>91</v>
      </c>
      <c r="E84" t="s">
        <v>373</v>
      </c>
      <c r="F84" t="s">
        <v>374</v>
      </c>
      <c r="G84">
        <v>2</v>
      </c>
      <c r="H84" t="s">
        <v>43</v>
      </c>
      <c r="I84">
        <v>4</v>
      </c>
      <c r="J84">
        <v>8</v>
      </c>
    </row>
    <row r="85" spans="1:10" x14ac:dyDescent="0.2">
      <c r="A85" t="s">
        <v>177</v>
      </c>
      <c r="B85" t="s">
        <v>90</v>
      </c>
      <c r="C85" t="s">
        <v>90</v>
      </c>
      <c r="D85" t="s">
        <v>91</v>
      </c>
      <c r="E85" t="s">
        <v>375</v>
      </c>
      <c r="F85" t="s">
        <v>376</v>
      </c>
      <c r="G85">
        <v>1</v>
      </c>
      <c r="H85" t="s">
        <v>43</v>
      </c>
      <c r="I85">
        <v>19</v>
      </c>
      <c r="J85">
        <v>19</v>
      </c>
    </row>
    <row r="86" spans="1:10" x14ac:dyDescent="0.2">
      <c r="A86" t="s">
        <v>218</v>
      </c>
      <c r="B86" t="s">
        <v>101</v>
      </c>
      <c r="C86" t="s">
        <v>90</v>
      </c>
      <c r="D86" t="s">
        <v>91</v>
      </c>
      <c r="E86" t="s">
        <v>377</v>
      </c>
      <c r="F86" t="s">
        <v>378</v>
      </c>
      <c r="G86">
        <v>1</v>
      </c>
      <c r="H86" t="s">
        <v>43</v>
      </c>
      <c r="I86">
        <v>0.6</v>
      </c>
      <c r="J86">
        <v>0.6</v>
      </c>
    </row>
    <row r="87" spans="1:10" x14ac:dyDescent="0.2">
      <c r="A87" t="s">
        <v>218</v>
      </c>
      <c r="B87" t="s">
        <v>101</v>
      </c>
      <c r="C87" t="s">
        <v>90</v>
      </c>
      <c r="D87" t="s">
        <v>91</v>
      </c>
      <c r="E87" t="s">
        <v>379</v>
      </c>
      <c r="F87" t="s">
        <v>380</v>
      </c>
      <c r="G87">
        <v>1</v>
      </c>
      <c r="H87" t="s">
        <v>43</v>
      </c>
      <c r="I87">
        <v>0.52</v>
      </c>
      <c r="J87">
        <v>0.52</v>
      </c>
    </row>
    <row r="88" spans="1:10" x14ac:dyDescent="0.2">
      <c r="A88" t="s">
        <v>218</v>
      </c>
      <c r="B88" t="s">
        <v>101</v>
      </c>
      <c r="C88" t="s">
        <v>90</v>
      </c>
      <c r="D88" t="s">
        <v>91</v>
      </c>
      <c r="E88" t="s">
        <v>381</v>
      </c>
      <c r="F88" t="s">
        <v>382</v>
      </c>
      <c r="G88">
        <v>1</v>
      </c>
      <c r="H88" t="s">
        <v>43</v>
      </c>
      <c r="I88">
        <v>1</v>
      </c>
      <c r="J88">
        <v>1</v>
      </c>
    </row>
    <row r="89" spans="1:10" x14ac:dyDescent="0.2">
      <c r="A89" t="s">
        <v>218</v>
      </c>
      <c r="B89" t="s">
        <v>101</v>
      </c>
      <c r="C89" t="s">
        <v>90</v>
      </c>
      <c r="D89" t="s">
        <v>91</v>
      </c>
      <c r="E89" t="s">
        <v>337</v>
      </c>
      <c r="F89" t="s">
        <v>338</v>
      </c>
      <c r="G89">
        <v>1</v>
      </c>
      <c r="H89" t="s">
        <v>43</v>
      </c>
      <c r="I89">
        <v>9</v>
      </c>
      <c r="J89">
        <v>9</v>
      </c>
    </row>
    <row r="90" spans="1:10" x14ac:dyDescent="0.2">
      <c r="A90" t="s">
        <v>218</v>
      </c>
      <c r="B90" t="s">
        <v>101</v>
      </c>
      <c r="C90" t="s">
        <v>90</v>
      </c>
      <c r="D90" t="s">
        <v>91</v>
      </c>
      <c r="E90" t="s">
        <v>383</v>
      </c>
      <c r="F90" t="s">
        <v>384</v>
      </c>
      <c r="G90">
        <v>1</v>
      </c>
      <c r="H90" t="s">
        <v>43</v>
      </c>
      <c r="I90">
        <v>20</v>
      </c>
      <c r="J90">
        <v>20</v>
      </c>
    </row>
    <row r="91" spans="1:10" x14ac:dyDescent="0.2">
      <c r="A91" t="s">
        <v>218</v>
      </c>
      <c r="B91" t="s">
        <v>101</v>
      </c>
      <c r="C91" t="s">
        <v>90</v>
      </c>
      <c r="D91" t="s">
        <v>91</v>
      </c>
      <c r="E91" t="s">
        <v>341</v>
      </c>
      <c r="F91" t="s">
        <v>342</v>
      </c>
      <c r="G91">
        <v>2</v>
      </c>
      <c r="H91" t="s">
        <v>43</v>
      </c>
      <c r="I91">
        <v>11</v>
      </c>
      <c r="J91">
        <v>22</v>
      </c>
    </row>
    <row r="92" spans="1:10" x14ac:dyDescent="0.2">
      <c r="A92" t="s">
        <v>218</v>
      </c>
      <c r="B92" t="s">
        <v>101</v>
      </c>
      <c r="C92" t="s">
        <v>90</v>
      </c>
      <c r="D92" t="s">
        <v>91</v>
      </c>
      <c r="E92" t="s">
        <v>385</v>
      </c>
      <c r="F92" t="s">
        <v>386</v>
      </c>
      <c r="G92">
        <v>1</v>
      </c>
      <c r="H92" t="s">
        <v>43</v>
      </c>
      <c r="I92">
        <v>59</v>
      </c>
      <c r="J92">
        <v>59</v>
      </c>
    </row>
    <row r="93" spans="1:10" x14ac:dyDescent="0.2">
      <c r="A93" t="s">
        <v>218</v>
      </c>
      <c r="B93" t="s">
        <v>101</v>
      </c>
      <c r="C93" t="s">
        <v>90</v>
      </c>
      <c r="D93" t="s">
        <v>91</v>
      </c>
      <c r="E93" t="s">
        <v>387</v>
      </c>
      <c r="F93" t="s">
        <v>388</v>
      </c>
      <c r="G93">
        <v>1</v>
      </c>
      <c r="H93" t="s">
        <v>43</v>
      </c>
      <c r="I93">
        <v>6</v>
      </c>
      <c r="J93">
        <v>6</v>
      </c>
    </row>
    <row r="94" spans="1:10" x14ac:dyDescent="0.2">
      <c r="A94" t="s">
        <v>218</v>
      </c>
      <c r="B94" t="s">
        <v>101</v>
      </c>
      <c r="C94" t="s">
        <v>90</v>
      </c>
      <c r="D94" t="s">
        <v>91</v>
      </c>
      <c r="E94" t="s">
        <v>389</v>
      </c>
      <c r="F94" t="s">
        <v>390</v>
      </c>
      <c r="G94">
        <v>1</v>
      </c>
      <c r="H94" t="s">
        <v>43</v>
      </c>
      <c r="I94">
        <v>1</v>
      </c>
      <c r="J94">
        <v>1</v>
      </c>
    </row>
    <row r="95" spans="1:10" x14ac:dyDescent="0.2">
      <c r="A95" t="s">
        <v>218</v>
      </c>
      <c r="B95" t="s">
        <v>101</v>
      </c>
      <c r="C95" t="s">
        <v>90</v>
      </c>
      <c r="D95" t="s">
        <v>91</v>
      </c>
      <c r="E95" t="s">
        <v>361</v>
      </c>
      <c r="F95" t="s">
        <v>362</v>
      </c>
      <c r="G95">
        <v>1</v>
      </c>
      <c r="H95" t="s">
        <v>43</v>
      </c>
      <c r="I95">
        <v>1</v>
      </c>
      <c r="J95">
        <v>1</v>
      </c>
    </row>
    <row r="96" spans="1:10" x14ac:dyDescent="0.2">
      <c r="A96" t="s">
        <v>218</v>
      </c>
      <c r="B96" t="s">
        <v>101</v>
      </c>
      <c r="C96" t="s">
        <v>90</v>
      </c>
      <c r="D96" t="s">
        <v>91</v>
      </c>
      <c r="E96" t="s">
        <v>391</v>
      </c>
      <c r="F96" t="s">
        <v>392</v>
      </c>
      <c r="G96">
        <v>1</v>
      </c>
      <c r="H96" t="s">
        <v>43</v>
      </c>
      <c r="I96">
        <v>0.69</v>
      </c>
      <c r="J96">
        <v>0.69</v>
      </c>
    </row>
    <row r="97" spans="1:10" x14ac:dyDescent="0.2">
      <c r="A97" t="s">
        <v>218</v>
      </c>
      <c r="B97" t="s">
        <v>101</v>
      </c>
      <c r="C97" t="s">
        <v>90</v>
      </c>
      <c r="D97" t="s">
        <v>91</v>
      </c>
      <c r="E97" t="s">
        <v>393</v>
      </c>
      <c r="F97" t="s">
        <v>394</v>
      </c>
      <c r="G97">
        <v>1</v>
      </c>
      <c r="H97" t="s">
        <v>43</v>
      </c>
      <c r="I97">
        <v>0.52</v>
      </c>
      <c r="J97">
        <v>0.52</v>
      </c>
    </row>
    <row r="98" spans="1:10" x14ac:dyDescent="0.2">
      <c r="A98" t="s">
        <v>218</v>
      </c>
      <c r="B98" t="s">
        <v>101</v>
      </c>
      <c r="C98" t="s">
        <v>90</v>
      </c>
      <c r="D98" t="s">
        <v>91</v>
      </c>
      <c r="E98" t="s">
        <v>347</v>
      </c>
      <c r="F98" t="s">
        <v>348</v>
      </c>
      <c r="G98">
        <v>1</v>
      </c>
      <c r="H98" t="s">
        <v>43</v>
      </c>
      <c r="I98">
        <v>10</v>
      </c>
      <c r="J98">
        <v>10</v>
      </c>
    </row>
    <row r="99" spans="1:10" x14ac:dyDescent="0.2">
      <c r="A99" t="s">
        <v>218</v>
      </c>
      <c r="B99" t="s">
        <v>101</v>
      </c>
      <c r="C99" t="s">
        <v>90</v>
      </c>
      <c r="D99" t="s">
        <v>91</v>
      </c>
      <c r="E99" t="s">
        <v>353</v>
      </c>
      <c r="F99" t="s">
        <v>354</v>
      </c>
      <c r="G99">
        <v>1</v>
      </c>
      <c r="H99" t="s">
        <v>43</v>
      </c>
      <c r="I99">
        <v>24</v>
      </c>
      <c r="J99">
        <v>24</v>
      </c>
    </row>
    <row r="100" spans="1:10" x14ac:dyDescent="0.2">
      <c r="A100" t="s">
        <v>218</v>
      </c>
      <c r="B100" t="s">
        <v>101</v>
      </c>
      <c r="C100" t="s">
        <v>90</v>
      </c>
      <c r="D100" t="s">
        <v>91</v>
      </c>
      <c r="E100" t="s">
        <v>395</v>
      </c>
      <c r="F100" t="s">
        <v>396</v>
      </c>
      <c r="G100">
        <v>1</v>
      </c>
      <c r="H100" t="s">
        <v>43</v>
      </c>
      <c r="I100">
        <v>6</v>
      </c>
      <c r="J100">
        <v>6</v>
      </c>
    </row>
    <row r="101" spans="1:10" x14ac:dyDescent="0.2">
      <c r="A101" t="s">
        <v>218</v>
      </c>
      <c r="B101" t="s">
        <v>101</v>
      </c>
      <c r="C101" t="s">
        <v>90</v>
      </c>
      <c r="D101" t="s">
        <v>91</v>
      </c>
      <c r="E101" t="s">
        <v>288</v>
      </c>
      <c r="F101" t="s">
        <v>289</v>
      </c>
      <c r="G101">
        <v>1</v>
      </c>
      <c r="H101" t="s">
        <v>43</v>
      </c>
      <c r="I101">
        <v>149</v>
      </c>
      <c r="J101">
        <v>149</v>
      </c>
    </row>
    <row r="102" spans="1:10" x14ac:dyDescent="0.2">
      <c r="A102" t="s">
        <v>218</v>
      </c>
      <c r="B102" t="s">
        <v>101</v>
      </c>
      <c r="C102" t="s">
        <v>90</v>
      </c>
      <c r="D102" t="s">
        <v>91</v>
      </c>
      <c r="E102" t="s">
        <v>397</v>
      </c>
      <c r="F102" t="s">
        <v>398</v>
      </c>
      <c r="G102">
        <v>1</v>
      </c>
      <c r="H102" t="s">
        <v>43</v>
      </c>
      <c r="I102">
        <v>10</v>
      </c>
      <c r="J102">
        <v>10</v>
      </c>
    </row>
    <row r="103" spans="1:10" x14ac:dyDescent="0.2">
      <c r="A103" t="s">
        <v>218</v>
      </c>
      <c r="B103" t="s">
        <v>101</v>
      </c>
      <c r="C103" t="s">
        <v>90</v>
      </c>
      <c r="D103" t="s">
        <v>91</v>
      </c>
      <c r="E103" t="s">
        <v>399</v>
      </c>
      <c r="F103" t="s">
        <v>400</v>
      </c>
      <c r="G103">
        <v>2</v>
      </c>
      <c r="H103" t="s">
        <v>43</v>
      </c>
      <c r="I103">
        <v>19</v>
      </c>
      <c r="J103">
        <v>38</v>
      </c>
    </row>
    <row r="104" spans="1:10" x14ac:dyDescent="0.2">
      <c r="A104" t="s">
        <v>218</v>
      </c>
      <c r="B104" t="s">
        <v>101</v>
      </c>
      <c r="C104" t="s">
        <v>90</v>
      </c>
      <c r="D104" t="s">
        <v>91</v>
      </c>
      <c r="E104" t="s">
        <v>401</v>
      </c>
      <c r="F104" t="s">
        <v>402</v>
      </c>
      <c r="G104">
        <v>2</v>
      </c>
      <c r="H104" t="s">
        <v>43</v>
      </c>
      <c r="I104">
        <v>5</v>
      </c>
      <c r="J104">
        <v>10</v>
      </c>
    </row>
    <row r="105" spans="1:10" x14ac:dyDescent="0.2">
      <c r="A105" t="s">
        <v>218</v>
      </c>
      <c r="B105" t="s">
        <v>101</v>
      </c>
      <c r="C105" t="s">
        <v>90</v>
      </c>
      <c r="D105" t="s">
        <v>91</v>
      </c>
      <c r="E105" t="s">
        <v>403</v>
      </c>
      <c r="F105" t="s">
        <v>404</v>
      </c>
      <c r="G105">
        <v>1</v>
      </c>
      <c r="H105" t="s">
        <v>43</v>
      </c>
      <c r="I105">
        <v>19</v>
      </c>
      <c r="J105">
        <v>19</v>
      </c>
    </row>
    <row r="106" spans="1:10" x14ac:dyDescent="0.2">
      <c r="A106" t="s">
        <v>218</v>
      </c>
      <c r="B106" t="s">
        <v>101</v>
      </c>
      <c r="C106" t="s">
        <v>90</v>
      </c>
      <c r="D106" t="s">
        <v>91</v>
      </c>
      <c r="E106" t="s">
        <v>405</v>
      </c>
      <c r="F106" t="s">
        <v>406</v>
      </c>
      <c r="G106">
        <v>1</v>
      </c>
      <c r="H106" t="s">
        <v>43</v>
      </c>
      <c r="I106">
        <v>9</v>
      </c>
      <c r="J106">
        <v>9</v>
      </c>
    </row>
    <row r="107" spans="1:10" x14ac:dyDescent="0.2">
      <c r="A107" t="s">
        <v>218</v>
      </c>
      <c r="B107" t="s">
        <v>101</v>
      </c>
      <c r="C107" t="s">
        <v>90</v>
      </c>
      <c r="D107" t="s">
        <v>91</v>
      </c>
      <c r="E107" t="s">
        <v>407</v>
      </c>
      <c r="F107" t="s">
        <v>408</v>
      </c>
      <c r="G107">
        <v>2</v>
      </c>
      <c r="H107" t="s">
        <v>43</v>
      </c>
      <c r="I107">
        <v>5</v>
      </c>
      <c r="J107">
        <v>10</v>
      </c>
    </row>
    <row r="108" spans="1:10" x14ac:dyDescent="0.2">
      <c r="A108" t="s">
        <v>218</v>
      </c>
      <c r="B108" t="s">
        <v>101</v>
      </c>
      <c r="C108" t="s">
        <v>90</v>
      </c>
      <c r="D108" t="s">
        <v>91</v>
      </c>
      <c r="E108" t="s">
        <v>409</v>
      </c>
      <c r="F108" t="s">
        <v>410</v>
      </c>
      <c r="G108">
        <v>1</v>
      </c>
      <c r="H108" t="s">
        <v>43</v>
      </c>
      <c r="I108">
        <v>0.17</v>
      </c>
      <c r="J108">
        <v>0.17</v>
      </c>
    </row>
    <row r="109" spans="1:10" x14ac:dyDescent="0.2">
      <c r="A109" t="s">
        <v>218</v>
      </c>
      <c r="B109" t="s">
        <v>101</v>
      </c>
      <c r="C109" t="s">
        <v>90</v>
      </c>
      <c r="D109" t="s">
        <v>91</v>
      </c>
      <c r="E109" t="s">
        <v>411</v>
      </c>
      <c r="F109" t="s">
        <v>412</v>
      </c>
      <c r="G109">
        <v>1</v>
      </c>
      <c r="H109" t="s">
        <v>43</v>
      </c>
      <c r="I109">
        <v>20</v>
      </c>
      <c r="J109">
        <v>20</v>
      </c>
    </row>
    <row r="110" spans="1:10" x14ac:dyDescent="0.2">
      <c r="A110" t="s">
        <v>218</v>
      </c>
      <c r="B110" t="s">
        <v>101</v>
      </c>
      <c r="C110" t="s">
        <v>90</v>
      </c>
      <c r="D110" t="s">
        <v>91</v>
      </c>
      <c r="E110" t="s">
        <v>413</v>
      </c>
      <c r="F110" t="s">
        <v>414</v>
      </c>
      <c r="G110">
        <v>1</v>
      </c>
      <c r="H110" t="s">
        <v>43</v>
      </c>
      <c r="I110">
        <v>97</v>
      </c>
      <c r="J110">
        <v>97</v>
      </c>
    </row>
    <row r="111" spans="1:10" x14ac:dyDescent="0.2">
      <c r="A111" t="s">
        <v>218</v>
      </c>
      <c r="B111" t="s">
        <v>101</v>
      </c>
      <c r="C111" t="s">
        <v>90</v>
      </c>
      <c r="D111" t="s">
        <v>91</v>
      </c>
      <c r="E111" t="s">
        <v>415</v>
      </c>
      <c r="F111" t="s">
        <v>416</v>
      </c>
      <c r="G111">
        <v>1</v>
      </c>
      <c r="H111" t="s">
        <v>43</v>
      </c>
      <c r="I111">
        <v>90</v>
      </c>
      <c r="J111">
        <v>90</v>
      </c>
    </row>
    <row r="112" spans="1:10" x14ac:dyDescent="0.2">
      <c r="A112" t="s">
        <v>218</v>
      </c>
      <c r="B112" t="s">
        <v>101</v>
      </c>
      <c r="C112" t="s">
        <v>90</v>
      </c>
      <c r="D112" t="s">
        <v>91</v>
      </c>
      <c r="E112" t="s">
        <v>339</v>
      </c>
      <c r="F112" t="s">
        <v>340</v>
      </c>
      <c r="G112">
        <v>1</v>
      </c>
      <c r="H112" t="s">
        <v>43</v>
      </c>
      <c r="I112">
        <v>11</v>
      </c>
      <c r="J112">
        <v>11</v>
      </c>
    </row>
    <row r="113" spans="1:10" x14ac:dyDescent="0.2">
      <c r="A113" t="s">
        <v>218</v>
      </c>
      <c r="B113" t="s">
        <v>101</v>
      </c>
      <c r="C113" t="s">
        <v>90</v>
      </c>
      <c r="D113" t="s">
        <v>91</v>
      </c>
      <c r="E113" t="s">
        <v>417</v>
      </c>
      <c r="F113" t="s">
        <v>418</v>
      </c>
      <c r="G113">
        <v>1</v>
      </c>
      <c r="H113" t="s">
        <v>43</v>
      </c>
      <c r="I113">
        <v>19</v>
      </c>
      <c r="J113">
        <v>19</v>
      </c>
    </row>
    <row r="114" spans="1:10" x14ac:dyDescent="0.2">
      <c r="A114" t="s">
        <v>218</v>
      </c>
      <c r="B114" t="s">
        <v>101</v>
      </c>
      <c r="C114" t="s">
        <v>90</v>
      </c>
      <c r="D114" t="s">
        <v>91</v>
      </c>
      <c r="E114" t="s">
        <v>349</v>
      </c>
      <c r="F114" t="s">
        <v>350</v>
      </c>
      <c r="G114">
        <v>2</v>
      </c>
      <c r="H114" t="s">
        <v>43</v>
      </c>
      <c r="I114">
        <v>11</v>
      </c>
      <c r="J114">
        <v>22</v>
      </c>
    </row>
    <row r="115" spans="1:10" x14ac:dyDescent="0.2">
      <c r="A115" t="s">
        <v>218</v>
      </c>
      <c r="B115" t="s">
        <v>101</v>
      </c>
      <c r="C115" t="s">
        <v>90</v>
      </c>
      <c r="D115" t="s">
        <v>91</v>
      </c>
      <c r="E115" t="s">
        <v>419</v>
      </c>
      <c r="F115" t="s">
        <v>420</v>
      </c>
      <c r="G115">
        <v>1</v>
      </c>
      <c r="H115" t="s">
        <v>43</v>
      </c>
      <c r="I115">
        <v>2</v>
      </c>
      <c r="J115">
        <v>2</v>
      </c>
    </row>
    <row r="116" spans="1:10" x14ac:dyDescent="0.2">
      <c r="A116" t="s">
        <v>218</v>
      </c>
      <c r="B116" t="s">
        <v>101</v>
      </c>
      <c r="C116" t="s">
        <v>90</v>
      </c>
      <c r="D116" t="s">
        <v>91</v>
      </c>
      <c r="E116" t="s">
        <v>421</v>
      </c>
      <c r="F116" t="s">
        <v>358</v>
      </c>
      <c r="G116">
        <v>1</v>
      </c>
      <c r="H116" t="s">
        <v>43</v>
      </c>
      <c r="I116">
        <v>1</v>
      </c>
      <c r="J116">
        <v>1</v>
      </c>
    </row>
    <row r="117" spans="1:10" x14ac:dyDescent="0.2">
      <c r="A117" t="s">
        <v>218</v>
      </c>
      <c r="B117" t="s">
        <v>101</v>
      </c>
      <c r="C117" t="s">
        <v>90</v>
      </c>
      <c r="D117" t="s">
        <v>91</v>
      </c>
      <c r="E117" t="s">
        <v>422</v>
      </c>
      <c r="F117" t="s">
        <v>423</v>
      </c>
      <c r="G117">
        <v>1</v>
      </c>
      <c r="H117" t="s">
        <v>43</v>
      </c>
      <c r="I117">
        <v>5</v>
      </c>
      <c r="J117">
        <v>5</v>
      </c>
    </row>
    <row r="118" spans="1:10" x14ac:dyDescent="0.2">
      <c r="A118" t="s">
        <v>218</v>
      </c>
      <c r="B118" t="s">
        <v>101</v>
      </c>
      <c r="C118" t="s">
        <v>90</v>
      </c>
      <c r="D118" t="s">
        <v>91</v>
      </c>
      <c r="E118" t="s">
        <v>424</v>
      </c>
      <c r="F118" t="s">
        <v>425</v>
      </c>
      <c r="G118">
        <v>1</v>
      </c>
      <c r="H118" t="s">
        <v>43</v>
      </c>
      <c r="I118">
        <v>6</v>
      </c>
      <c r="J118">
        <v>6</v>
      </c>
    </row>
    <row r="119" spans="1:10" x14ac:dyDescent="0.2">
      <c r="A119" t="s">
        <v>218</v>
      </c>
      <c r="B119" t="s">
        <v>101</v>
      </c>
      <c r="C119" t="s">
        <v>90</v>
      </c>
      <c r="D119" t="s">
        <v>91</v>
      </c>
      <c r="E119" t="s">
        <v>426</v>
      </c>
      <c r="F119" t="s">
        <v>427</v>
      </c>
      <c r="G119">
        <v>1</v>
      </c>
      <c r="H119" t="s">
        <v>43</v>
      </c>
      <c r="I119">
        <v>214.8</v>
      </c>
      <c r="J119">
        <v>214.8</v>
      </c>
    </row>
    <row r="120" spans="1:10" x14ac:dyDescent="0.2">
      <c r="A120" t="s">
        <v>218</v>
      </c>
      <c r="B120" t="s">
        <v>101</v>
      </c>
      <c r="C120" t="s">
        <v>90</v>
      </c>
      <c r="D120" t="s">
        <v>91</v>
      </c>
      <c r="E120" t="s">
        <v>294</v>
      </c>
      <c r="F120" t="s">
        <v>295</v>
      </c>
      <c r="G120">
        <v>4</v>
      </c>
      <c r="H120" t="s">
        <v>43</v>
      </c>
      <c r="I120">
        <v>80</v>
      </c>
      <c r="J120">
        <v>320</v>
      </c>
    </row>
    <row r="121" spans="1:10" x14ac:dyDescent="0.2">
      <c r="A121" t="s">
        <v>218</v>
      </c>
      <c r="B121" t="s">
        <v>101</v>
      </c>
      <c r="C121" t="s">
        <v>90</v>
      </c>
      <c r="D121" t="s">
        <v>91</v>
      </c>
      <c r="E121" t="s">
        <v>428</v>
      </c>
      <c r="F121" t="s">
        <v>429</v>
      </c>
      <c r="G121">
        <v>1</v>
      </c>
      <c r="H121" t="s">
        <v>43</v>
      </c>
      <c r="I121">
        <v>0.9</v>
      </c>
      <c r="J121">
        <v>0.9</v>
      </c>
    </row>
    <row r="122" spans="1:10" x14ac:dyDescent="0.2">
      <c r="A122" t="s">
        <v>218</v>
      </c>
      <c r="B122" t="s">
        <v>101</v>
      </c>
      <c r="C122" t="s">
        <v>90</v>
      </c>
      <c r="D122" t="s">
        <v>91</v>
      </c>
      <c r="E122" t="s">
        <v>430</v>
      </c>
      <c r="F122" t="s">
        <v>431</v>
      </c>
      <c r="G122">
        <v>2</v>
      </c>
      <c r="H122" t="s">
        <v>43</v>
      </c>
      <c r="I122">
        <v>8</v>
      </c>
      <c r="J122">
        <v>16</v>
      </c>
    </row>
    <row r="123" spans="1:10" x14ac:dyDescent="0.2">
      <c r="A123" t="s">
        <v>218</v>
      </c>
      <c r="B123" t="s">
        <v>101</v>
      </c>
      <c r="C123" t="s">
        <v>90</v>
      </c>
      <c r="D123" t="s">
        <v>91</v>
      </c>
      <c r="E123" t="s">
        <v>432</v>
      </c>
      <c r="F123" t="s">
        <v>433</v>
      </c>
      <c r="G123">
        <v>1</v>
      </c>
      <c r="H123" t="s">
        <v>43</v>
      </c>
      <c r="I123">
        <v>11</v>
      </c>
      <c r="J123">
        <v>11</v>
      </c>
    </row>
    <row r="124" spans="1:10" x14ac:dyDescent="0.2">
      <c r="A124" t="s">
        <v>218</v>
      </c>
      <c r="B124" t="s">
        <v>101</v>
      </c>
      <c r="C124" t="s">
        <v>90</v>
      </c>
      <c r="D124" t="s">
        <v>91</v>
      </c>
      <c r="E124" t="s">
        <v>434</v>
      </c>
      <c r="F124" t="s">
        <v>435</v>
      </c>
      <c r="G124">
        <v>1</v>
      </c>
      <c r="H124" t="s">
        <v>43</v>
      </c>
      <c r="I124">
        <v>2</v>
      </c>
      <c r="J124">
        <v>2</v>
      </c>
    </row>
    <row r="125" spans="1:10" x14ac:dyDescent="0.2">
      <c r="A125" t="s">
        <v>218</v>
      </c>
      <c r="B125" t="s">
        <v>101</v>
      </c>
      <c r="C125" t="s">
        <v>90</v>
      </c>
      <c r="D125" t="s">
        <v>91</v>
      </c>
      <c r="E125" t="s">
        <v>436</v>
      </c>
      <c r="F125" t="s">
        <v>437</v>
      </c>
      <c r="G125">
        <v>1</v>
      </c>
      <c r="H125" t="s">
        <v>43</v>
      </c>
      <c r="I125">
        <v>80.400000000000006</v>
      </c>
      <c r="J125">
        <v>80.400000000000006</v>
      </c>
    </row>
    <row r="126" spans="1:10" x14ac:dyDescent="0.2">
      <c r="A126" t="s">
        <v>218</v>
      </c>
      <c r="B126" t="s">
        <v>101</v>
      </c>
      <c r="C126" t="s">
        <v>90</v>
      </c>
      <c r="D126" t="s">
        <v>91</v>
      </c>
      <c r="E126" t="s">
        <v>438</v>
      </c>
      <c r="F126" t="s">
        <v>322</v>
      </c>
      <c r="G126">
        <v>1</v>
      </c>
      <c r="H126" t="s">
        <v>43</v>
      </c>
      <c r="I126">
        <v>7</v>
      </c>
      <c r="J126">
        <v>7</v>
      </c>
    </row>
    <row r="127" spans="1:10" x14ac:dyDescent="0.2">
      <c r="A127" t="s">
        <v>218</v>
      </c>
      <c r="B127" t="s">
        <v>101</v>
      </c>
      <c r="C127" t="s">
        <v>90</v>
      </c>
      <c r="D127" t="s">
        <v>91</v>
      </c>
      <c r="E127" t="s">
        <v>297</v>
      </c>
      <c r="F127" t="s">
        <v>298</v>
      </c>
      <c r="G127">
        <v>4</v>
      </c>
      <c r="H127" t="s">
        <v>43</v>
      </c>
      <c r="I127">
        <v>147</v>
      </c>
      <c r="J127">
        <v>588</v>
      </c>
    </row>
    <row r="128" spans="1:10" x14ac:dyDescent="0.2">
      <c r="A128" t="s">
        <v>218</v>
      </c>
      <c r="B128" t="s">
        <v>101</v>
      </c>
      <c r="C128" t="s">
        <v>90</v>
      </c>
      <c r="D128" t="s">
        <v>91</v>
      </c>
      <c r="E128" t="s">
        <v>439</v>
      </c>
      <c r="F128" t="s">
        <v>440</v>
      </c>
      <c r="G128">
        <v>2</v>
      </c>
      <c r="H128" t="s">
        <v>43</v>
      </c>
      <c r="I128">
        <v>13</v>
      </c>
      <c r="J128">
        <v>26</v>
      </c>
    </row>
    <row r="129" spans="1:10" x14ac:dyDescent="0.2">
      <c r="A129" t="s">
        <v>218</v>
      </c>
      <c r="B129" t="s">
        <v>101</v>
      </c>
      <c r="C129" t="s">
        <v>90</v>
      </c>
      <c r="D129" t="s">
        <v>91</v>
      </c>
      <c r="E129" t="s">
        <v>375</v>
      </c>
      <c r="F129" t="s">
        <v>376</v>
      </c>
      <c r="G129">
        <v>1</v>
      </c>
      <c r="H129" t="s">
        <v>43</v>
      </c>
      <c r="I129">
        <v>19</v>
      </c>
      <c r="J129">
        <v>19</v>
      </c>
    </row>
    <row r="130" spans="1:10" x14ac:dyDescent="0.2">
      <c r="A130" t="s">
        <v>218</v>
      </c>
      <c r="B130" t="s">
        <v>101</v>
      </c>
      <c r="C130" t="s">
        <v>90</v>
      </c>
      <c r="D130" t="s">
        <v>91</v>
      </c>
      <c r="E130" t="s">
        <v>441</v>
      </c>
      <c r="F130" t="s">
        <v>442</v>
      </c>
      <c r="G130">
        <v>1</v>
      </c>
      <c r="H130" t="s">
        <v>43</v>
      </c>
      <c r="I130">
        <v>5</v>
      </c>
      <c r="J130">
        <v>5</v>
      </c>
    </row>
    <row r="131" spans="1:10" x14ac:dyDescent="0.2">
      <c r="A131" t="s">
        <v>218</v>
      </c>
      <c r="B131" t="s">
        <v>101</v>
      </c>
      <c r="C131" t="s">
        <v>90</v>
      </c>
      <c r="D131" t="s">
        <v>91</v>
      </c>
      <c r="E131" t="s">
        <v>443</v>
      </c>
      <c r="F131" t="s">
        <v>444</v>
      </c>
      <c r="G131">
        <v>1</v>
      </c>
      <c r="H131" t="s">
        <v>43</v>
      </c>
      <c r="I131">
        <v>126.5</v>
      </c>
      <c r="J131">
        <v>126.5</v>
      </c>
    </row>
    <row r="132" spans="1:10" x14ac:dyDescent="0.2">
      <c r="A132" t="s">
        <v>134</v>
      </c>
      <c r="B132" t="s">
        <v>108</v>
      </c>
      <c r="C132" t="s">
        <v>90</v>
      </c>
      <c r="D132" t="s">
        <v>91</v>
      </c>
      <c r="E132" t="s">
        <v>305</v>
      </c>
      <c r="F132" t="s">
        <v>306</v>
      </c>
      <c r="G132">
        <v>1</v>
      </c>
      <c r="H132" t="s">
        <v>43</v>
      </c>
      <c r="I132">
        <v>570</v>
      </c>
      <c r="J132">
        <v>570</v>
      </c>
    </row>
    <row r="133" spans="1:10" x14ac:dyDescent="0.2">
      <c r="A133" t="s">
        <v>172</v>
      </c>
      <c r="B133" t="s">
        <v>161</v>
      </c>
      <c r="C133" t="s">
        <v>90</v>
      </c>
      <c r="D133" t="s">
        <v>91</v>
      </c>
      <c r="E133" t="s">
        <v>445</v>
      </c>
      <c r="F133" t="s">
        <v>446</v>
      </c>
      <c r="G133">
        <v>1</v>
      </c>
      <c r="H133" t="s">
        <v>43</v>
      </c>
      <c r="I133">
        <v>141.56</v>
      </c>
      <c r="J133">
        <v>141.56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1F98-1146-4EC4-92E3-4DE81DB737D1}">
  <sheetPr codeName="Sheet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4.5" style="28" customWidth="1"/>
    <col min="2" max="2" width="9" style="28"/>
    <col min="3" max="3" width="13.625" style="28" customWidth="1"/>
    <col min="4" max="16384" width="9" style="28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31" t="s">
        <v>39</v>
      </c>
    </row>
    <row r="3" spans="1:17" x14ac:dyDescent="0.2">
      <c r="A3" s="28" t="s">
        <v>93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091C-39E7-4F6F-A439-3EF76D956882}">
  <sheetPr codeName="Sheet1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2" max="13" width="9.125" customWidth="1"/>
    <col min="14" max="14" width="10.5" customWidth="1"/>
    <col min="17" max="17" width="9.125" customWidth="1"/>
  </cols>
  <sheetData>
    <row r="1" spans="1:17" s="28" customFormat="1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31" t="s">
        <v>39</v>
      </c>
    </row>
    <row r="3" spans="1:17" x14ac:dyDescent="0.2">
      <c r="A3" t="s">
        <v>93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6342-99F8-4B76-A27A-6D22516A4521}">
  <sheetPr codeName="Sheet7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9" style="32"/>
    <col min="2" max="2" width="15.375" style="32" customWidth="1"/>
    <col min="3" max="3" width="17.75" style="32" customWidth="1"/>
    <col min="4" max="11" width="9" style="32"/>
    <col min="12" max="12" width="10.625" style="32" customWidth="1"/>
    <col min="13" max="13" width="11.375" style="32" customWidth="1"/>
    <col min="14" max="14" width="10.5" style="32" customWidth="1"/>
    <col min="15" max="15" width="9" style="32"/>
    <col min="16" max="16" width="16.625" style="32" customWidth="1"/>
    <col min="17" max="17" width="9.375" style="32" customWidth="1"/>
    <col min="18" max="16384" width="9" style="32"/>
  </cols>
  <sheetData>
    <row r="1" spans="1:17" x14ac:dyDescent="0.3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31" t="s">
        <v>39</v>
      </c>
    </row>
    <row r="3" spans="1:17" x14ac:dyDescent="0.35">
      <c r="A3" s="32" t="s">
        <v>93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B990-E764-48AF-929C-CC3582856814}">
  <sheetPr codeName="Sheet8"/>
  <dimension ref="A1:P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875" customWidth="1"/>
    <col min="2" max="2" width="11" style="40" customWidth="1"/>
    <col min="3" max="3" width="5.625" customWidth="1"/>
    <col min="4" max="4" width="12.875" customWidth="1"/>
    <col min="5" max="5" width="11.625" customWidth="1"/>
    <col min="6" max="7" width="21.375" customWidth="1"/>
    <col min="8" max="8" width="30.375" customWidth="1"/>
    <col min="9" max="9" width="18.5" customWidth="1"/>
    <col min="10" max="10" width="19.5" customWidth="1"/>
    <col min="11" max="11" width="20.25" customWidth="1"/>
    <col min="12" max="12" width="19.125" customWidth="1"/>
    <col min="13" max="13" width="5.25" customWidth="1"/>
    <col min="14" max="14" width="7.875" customWidth="1"/>
    <col min="15" max="15" width="15.375" style="41" customWidth="1"/>
    <col min="16" max="16" width="18.125" customWidth="1"/>
  </cols>
  <sheetData>
    <row r="1" spans="1:16" s="39" customFormat="1" ht="43.5" customHeight="1" x14ac:dyDescent="0.2">
      <c r="A1" s="33" t="s">
        <v>62</v>
      </c>
      <c r="B1" s="34" t="s">
        <v>63</v>
      </c>
      <c r="C1" s="33" t="s">
        <v>64</v>
      </c>
      <c r="D1" s="33" t="s">
        <v>65</v>
      </c>
      <c r="E1" s="33" t="s">
        <v>66</v>
      </c>
      <c r="F1" s="35" t="s">
        <v>67</v>
      </c>
      <c r="G1" s="35" t="s">
        <v>68</v>
      </c>
      <c r="H1" s="35" t="s">
        <v>69</v>
      </c>
      <c r="I1" s="36" t="s">
        <v>70</v>
      </c>
      <c r="J1" s="36" t="s">
        <v>71</v>
      </c>
      <c r="K1" s="35" t="s">
        <v>72</v>
      </c>
      <c r="L1" s="35" t="s">
        <v>73</v>
      </c>
      <c r="M1" s="35" t="s">
        <v>74</v>
      </c>
      <c r="N1" s="37" t="s">
        <v>75</v>
      </c>
      <c r="O1" s="38" t="s">
        <v>76</v>
      </c>
      <c r="P1" s="35" t="s">
        <v>77</v>
      </c>
    </row>
    <row r="3" spans="1:16" x14ac:dyDescent="0.2">
      <c r="A3" t="s">
        <v>93</v>
      </c>
    </row>
  </sheetData>
  <phoneticPr fontId="3" type="noConversion"/>
  <conditionalFormatting sqref="F1">
    <cfRule type="duplicateValues" dxfId="3" priority="1"/>
    <cfRule type="duplicateValues" dxfId="2" priority="2"/>
  </conditionalFormatting>
  <conditionalFormatting sqref="G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7820-0FB5-416B-8E6D-E0DF092F158F}">
  <sheetPr codeName="Sheet9"/>
  <dimension ref="A1:L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0.5" customWidth="1"/>
    <col min="2" max="2" width="23.625" customWidth="1"/>
    <col min="3" max="3" width="24.5" customWidth="1"/>
    <col min="4" max="4" width="19.25" customWidth="1"/>
    <col min="5" max="6" width="18.125" customWidth="1"/>
    <col min="7" max="9" width="11.625" customWidth="1"/>
    <col min="10" max="10" width="13.375" customWidth="1"/>
    <col min="11" max="12" width="11.625" customWidth="1"/>
  </cols>
  <sheetData>
    <row r="1" spans="1:12" ht="63.75" customHeight="1" x14ac:dyDescent="0.2">
      <c r="A1" s="29" t="s">
        <v>78</v>
      </c>
      <c r="B1" s="29" t="s">
        <v>79</v>
      </c>
      <c r="C1" s="36" t="s">
        <v>80</v>
      </c>
      <c r="D1" s="36" t="s">
        <v>81</v>
      </c>
      <c r="E1" s="29" t="s">
        <v>82</v>
      </c>
      <c r="F1" s="29" t="s">
        <v>83</v>
      </c>
      <c r="G1" s="29" t="s">
        <v>84</v>
      </c>
      <c r="H1" s="29" t="s">
        <v>85</v>
      </c>
      <c r="I1" s="29" t="s">
        <v>86</v>
      </c>
      <c r="J1" s="29" t="s">
        <v>87</v>
      </c>
      <c r="K1" s="29" t="s">
        <v>88</v>
      </c>
      <c r="L1" s="29" t="s">
        <v>89</v>
      </c>
    </row>
    <row r="3" spans="1:12" x14ac:dyDescent="0.2">
      <c r="A3" t="s">
        <v>93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monthly bill</vt:lpstr>
      <vt:lpstr>Accessories discount</vt:lpstr>
      <vt:lpstr>spare parts fee</vt:lpstr>
      <vt:lpstr>service fee</vt:lpstr>
      <vt:lpstr>tariff compensation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o-mandi.yang</dc:creator>
  <cp:lastModifiedBy>o-mandi.yang</cp:lastModifiedBy>
  <dcterms:created xsi:type="dcterms:W3CDTF">2025-12-22T06:55:04Z</dcterms:created>
  <dcterms:modified xsi:type="dcterms:W3CDTF">2025-12-22T06:55:57Z</dcterms:modified>
</cp:coreProperties>
</file>