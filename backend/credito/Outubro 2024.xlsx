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5"/>
  </bookViews>
  <sheets>
    <sheet name="monthly bill" sheetId="3" r:id="rId1"/>
    <sheet name="Accessories discount" sheetId="4" r:id="rId2"/>
    <sheet name="spare parts fee + service fee" sheetId="5" r:id="rId3"/>
    <sheet name="Maintenance list" sheetId="6" r:id="rId4"/>
    <sheet name="Service prohibition" sheetId="7" r:id="rId5"/>
    <sheet name="other compensation" sheetId="8" r:id="rId6"/>
    <sheet name="DOA to CM" sheetId="9" r:id="rId7"/>
    <sheet name="pre-payment balance" sheetId="10" r:id="rId8"/>
  </sheets>
  <definedNames>
    <definedName name="_xlnm._FilterDatabase" localSheetId="1" hidden="1">'Accessories discount'!$A$1:$Q$1</definedName>
    <definedName name="_xlnm._FilterDatabase" localSheetId="6" hidden="1">'DOA to CM'!$A$1:$P$1</definedName>
    <definedName name="_xlnm._FilterDatabase" localSheetId="3" hidden="1">'Maintenance list'!$A$1:$G$1</definedName>
    <definedName name="_xlnm._FilterDatabase" localSheetId="5" hidden="1">'other compensation'!$A$1:$Q$1</definedName>
    <definedName name="_xlnm._FilterDatabase" localSheetId="4" hidden="1">'Service prohibition'!$A$1:$Q$1</definedName>
    <definedName name="_xlnm._FilterDatabase" localSheetId="2" hidden="1">'spare parts fee + service fee'!$A$1:$I$1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<sst xmlns="http://schemas.openxmlformats.org/spreadsheetml/2006/main" count="610" uniqueCount="236">
  <si>
    <r>
      <rPr>
        <b/>
        <sz val="14"/>
        <color theme="1"/>
        <rFont val="微软雅黑"/>
        <charset val="134"/>
      </rPr>
      <t xml:space="preserve">DJI Agriculture After-Sales Monthly Statement For </t>
    </r>
    <r>
      <rPr>
        <b/>
        <sz val="14"/>
        <color rgb="FFFFFF00"/>
        <rFont val="微软雅黑"/>
        <charset val="134"/>
      </rPr>
      <t>Oct</t>
    </r>
  </si>
  <si>
    <t>Dealer</t>
  </si>
  <si>
    <t>Huada Agricola Comercial LTDA</t>
  </si>
  <si>
    <t>Dealer Account：</t>
  </si>
  <si>
    <t>HUADA-agras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</si>
  <si>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</si>
  <si>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</si>
  <si>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</si>
  <si>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</si>
  <si>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</si>
  <si>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</si>
  <si>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</si>
  <si>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</si>
  <si>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Labor fee of warranty cases</t>
  </si>
  <si>
    <t>incentive labor fee</t>
  </si>
  <si>
    <t>SERVICE PROHIBITION</t>
  </si>
  <si>
    <t>Other compensation</t>
  </si>
  <si>
    <t>Battery/DOA cases</t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</si>
  <si>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</si>
  <si>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</si>
  <si>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</si>
  <si>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</si>
  <si>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</si>
  <si>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</si>
  <si>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</si>
  <si>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</si>
  <si>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</si>
  <si>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Account</t>
  </si>
  <si>
    <t>Sub Dealer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</si>
  <si>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</si>
  <si>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</si>
  <si>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</si>
  <si>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</si>
  <si>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</si>
  <si>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</si>
  <si>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</si>
  <si>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</si>
  <si>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</si>
  <si>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</si>
  <si>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</si>
  <si>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QFO241011000003</t>
  </si>
  <si>
    <t>Quota adjustment</t>
  </si>
  <si>
    <t>QAO241010000009</t>
  </si>
  <si>
    <t>Order material fee</t>
  </si>
  <si>
    <t>deduction</t>
  </si>
  <si>
    <t>Manual adjustment</t>
  </si>
  <si>
    <t>USD</t>
  </si>
  <si>
    <t>CAS-18378169-T1H4N1</t>
  </si>
  <si>
    <r>
      <rPr>
        <b/>
        <sz val="10"/>
        <color theme="0"/>
        <rFont val="微软雅黑"/>
        <charset val="134"/>
      </rPr>
      <t>上级代理商名称</t>
    </r>
    <r>
      <rPr>
        <b/>
        <sz val="10"/>
        <color theme="0"/>
        <rFont val="Arial"/>
        <charset val="134"/>
      </rPr>
      <t>Distributor Name</t>
    </r>
  </si>
  <si>
    <r>
      <rPr>
        <b/>
        <sz val="10"/>
        <color theme="0"/>
        <rFont val="微软雅黑"/>
        <charset val="134"/>
      </rPr>
      <t>代理商名称</t>
    </r>
    <r>
      <rPr>
        <b/>
        <sz val="10"/>
        <color theme="0"/>
        <rFont val="Arial"/>
        <charset val="134"/>
      </rPr>
      <t>(Dealer Name)</t>
    </r>
  </si>
  <si>
    <r>
      <rPr>
        <b/>
        <sz val="10"/>
        <color theme="0"/>
        <rFont val="微软雅黑"/>
        <charset val="134"/>
      </rPr>
      <t>代理商账号</t>
    </r>
    <r>
      <rPr>
        <b/>
        <sz val="10"/>
        <color theme="0"/>
        <rFont val="Arial"/>
        <charset val="134"/>
      </rPr>
      <t>(Dealer Account)</t>
    </r>
  </si>
  <si>
    <r>
      <rPr>
        <b/>
        <sz val="10"/>
        <color theme="0"/>
        <rFont val="微软雅黑"/>
        <charset val="134"/>
      </rPr>
      <t>国家</t>
    </r>
    <r>
      <rPr>
        <b/>
        <sz val="10"/>
        <color theme="0"/>
        <rFont val="Arial"/>
        <charset val="134"/>
      </rPr>
      <t>/</t>
    </r>
    <r>
      <rPr>
        <b/>
        <sz val="10"/>
        <color theme="0"/>
        <rFont val="微软雅黑"/>
        <charset val="134"/>
      </rPr>
      <t xml:space="preserve">地区
</t>
    </r>
    <r>
      <rPr>
        <b/>
        <sz val="10"/>
        <color theme="0"/>
        <rFont val="Arial"/>
        <charset val="134"/>
      </rPr>
      <t>Country</t>
    </r>
  </si>
  <si>
    <r>
      <rPr>
        <b/>
        <sz val="10"/>
        <color theme="0"/>
        <rFont val="微软雅黑"/>
        <charset val="134"/>
      </rPr>
      <t>案例编号</t>
    </r>
    <r>
      <rPr>
        <b/>
        <sz val="10"/>
        <color theme="0"/>
        <rFont val="Arial"/>
        <charset val="134"/>
      </rPr>
      <t>Case Number</t>
    </r>
  </si>
  <si>
    <r>
      <rPr>
        <b/>
        <sz val="10"/>
        <color theme="0"/>
        <rFont val="微软雅黑"/>
        <charset val="134"/>
      </rPr>
      <t>维修物料费</t>
    </r>
    <r>
      <rPr>
        <b/>
        <sz val="10"/>
        <color theme="0"/>
        <rFont val="Arial"/>
        <charset val="134"/>
      </rPr>
      <t>Spare parts Amount</t>
    </r>
  </si>
  <si>
    <r>
      <rPr>
        <b/>
        <sz val="10"/>
        <color theme="0"/>
        <rFont val="微软雅黑"/>
        <charset val="134"/>
      </rPr>
      <t>维修劳务费</t>
    </r>
    <r>
      <rPr>
        <b/>
        <sz val="10"/>
        <color theme="0"/>
        <rFont val="Arial"/>
        <charset val="134"/>
      </rPr>
      <t>Labor fee Amount</t>
    </r>
  </si>
  <si>
    <r>
      <rPr>
        <b/>
        <sz val="10"/>
        <color theme="0"/>
        <rFont val="微软雅黑"/>
        <charset val="134"/>
      </rPr>
      <t>合计劳务费</t>
    </r>
    <r>
      <rPr>
        <b/>
        <sz val="10"/>
        <color theme="0"/>
        <rFont val="Arial"/>
        <charset val="134"/>
      </rPr>
      <t>Total Settlement Amount</t>
    </r>
  </si>
  <si>
    <r>
      <rPr>
        <b/>
        <sz val="10"/>
        <color theme="0"/>
        <rFont val="微软雅黑"/>
        <charset val="134"/>
      </rPr>
      <t>合计劳务费激励</t>
    </r>
    <r>
      <rPr>
        <b/>
        <sz val="10"/>
        <color theme="0"/>
        <rFont val="Arial"/>
        <charset val="134"/>
      </rPr>
      <t>incentive labor fee</t>
    </r>
  </si>
  <si>
    <t>BRAZIL</t>
  </si>
  <si>
    <t>WRC241001000009</t>
  </si>
  <si>
    <t>WRC241015000367</t>
  </si>
  <si>
    <t>Mercadão dos Drones</t>
  </si>
  <si>
    <t>WRC240930000401</t>
  </si>
  <si>
    <t>WRC241001000003</t>
  </si>
  <si>
    <t>WRC241008000453</t>
  </si>
  <si>
    <t>WRC241014000392</t>
  </si>
  <si>
    <t>WRC241022000018</t>
  </si>
  <si>
    <t>SMC - SOLUCOES EM ENGENHARIA EIRELI</t>
  </si>
  <si>
    <t>WRC241008000005</t>
  </si>
  <si>
    <t>WRC241016000004</t>
  </si>
  <si>
    <t>WRC241016000462</t>
  </si>
  <si>
    <t>WRC241024000278</t>
  </si>
  <si>
    <r>
      <rPr>
        <b/>
        <sz val="10"/>
        <color theme="0"/>
        <rFont val="微软雅黑"/>
        <charset val="134"/>
      </rPr>
      <t>物料编码</t>
    </r>
    <r>
      <rPr>
        <b/>
        <sz val="10"/>
        <color theme="0"/>
        <rFont val="Arial"/>
        <charset val="134"/>
      </rPr>
      <t>Material code</t>
    </r>
  </si>
  <si>
    <r>
      <rPr>
        <b/>
        <sz val="10"/>
        <color theme="0"/>
        <rFont val="微软雅黑"/>
        <charset val="134"/>
      </rPr>
      <t>物料名称</t>
    </r>
    <r>
      <rPr>
        <b/>
        <sz val="10"/>
        <color theme="0"/>
        <rFont val="Arial"/>
        <charset val="134"/>
      </rPr>
      <t>Material name</t>
    </r>
  </si>
  <si>
    <r>
      <rPr>
        <b/>
        <sz val="10"/>
        <color theme="0"/>
        <rFont val="微软雅黑"/>
        <charset val="134"/>
      </rPr>
      <t>数量</t>
    </r>
    <r>
      <rPr>
        <b/>
        <sz val="10"/>
        <color theme="0"/>
        <rFont val="Arial"/>
        <charset val="134"/>
      </rPr>
      <t>Quantity</t>
    </r>
  </si>
  <si>
    <t>YC.JG.ZS003492.05</t>
  </si>
  <si>
    <t>【T50/T25】雷达右支撑</t>
  </si>
  <si>
    <t>YC.JG.FP000027.03</t>
  </si>
  <si>
    <t>【T25】电机保护罩</t>
  </si>
  <si>
    <t>YC.JG.ZS003464.07</t>
  </si>
  <si>
    <t>【T50/T25】脚架固定件（右前）</t>
  </si>
  <si>
    <t>YC.JG.XW000110.02</t>
  </si>
  <si>
    <t>【T50/T25】脚架横杆（后）</t>
  </si>
  <si>
    <t>YC.JG.JS000037.07</t>
  </si>
  <si>
    <t>【T25】喷杆波纹管</t>
  </si>
  <si>
    <t>BC.AG.SS000700.01</t>
  </si>
  <si>
    <t>【T50/T25】电调模块</t>
  </si>
  <si>
    <t>YC.JG.ZS003468.06</t>
  </si>
  <si>
    <t>【T50/T25】脚架三通</t>
  </si>
  <si>
    <t>YC.JG.BJ001760.06</t>
  </si>
  <si>
    <t>【T25】脚架铝管</t>
  </si>
  <si>
    <t>CP.AG.00000608.01</t>
  </si>
  <si>
    <t>【T40充电器】T40充电器交流模块（不含输入线）</t>
  </si>
  <si>
    <t>BC.AG.SS000681.02</t>
  </si>
  <si>
    <t>【T50/T25】FPV模块</t>
  </si>
  <si>
    <t>BC.AG.SS000554.01</t>
  </si>
  <si>
    <t>【T40/T20P】喷洒模块</t>
  </si>
  <si>
    <t>BC.AG.SS000549.01</t>
  </si>
  <si>
    <t>【T40/T20P】FPV模块</t>
  </si>
  <si>
    <t>BC.AG.SS000645.01</t>
  </si>
  <si>
    <t>【T40/T20P】机臂在位检测信号线</t>
  </si>
  <si>
    <t>BC.AG.SS000558.01</t>
  </si>
  <si>
    <t>【T40】分电板模块</t>
  </si>
  <si>
    <t>YC.JG.MY000720.02</t>
  </si>
  <si>
    <t>【T40】锁紧扣手柄胶套</t>
  </si>
  <si>
    <t>YC.SJ.WS002423.02</t>
  </si>
  <si>
    <t>【T40/T20P】水箱盖箍环</t>
  </si>
  <si>
    <t>YC.JG.ZS001966.05</t>
  </si>
  <si>
    <t>【T40】下反桨（L-CW）</t>
  </si>
  <si>
    <t>BC.AG.SS000575.01</t>
  </si>
  <si>
    <t>【T40】锁紧扣手柄</t>
  </si>
  <si>
    <t>YC.XC.XX000844.02</t>
  </si>
  <si>
    <t>【T40/T20P】全向雷达信号线</t>
  </si>
  <si>
    <t>YC.JG.ZS001963.05</t>
  </si>
  <si>
    <t>【T40/T20P】上正桨（U-CCW）</t>
  </si>
  <si>
    <t>YC.JG.ZS002282.05</t>
  </si>
  <si>
    <t>【T40/T20P】前壳上盖</t>
  </si>
  <si>
    <t>YC.JG.ZS002299.02</t>
  </si>
  <si>
    <t>【T40/T20P】后壳下盖</t>
  </si>
  <si>
    <t>YC.JG.ZS002251.03</t>
  </si>
  <si>
    <t>【T40/T20P】水箱盖</t>
  </si>
  <si>
    <t>YC.JG.ZS003829.01</t>
  </si>
  <si>
    <t>【T40】桨叶垫片</t>
  </si>
  <si>
    <t>BC.AG.SS000567.02</t>
  </si>
  <si>
    <t>M1机臂（右前）（光杆）</t>
  </si>
  <si>
    <t>YC.JG.ZS001965.05</t>
  </si>
  <si>
    <t>【T40】下正桨（L-CCW）</t>
  </si>
  <si>
    <t>YC.DZ.AA000275.02</t>
  </si>
  <si>
    <t>【T40/T20P】SDR天线</t>
  </si>
  <si>
    <t>YC.JG.ZS002250.02</t>
  </si>
  <si>
    <t>【T40/T20P】水箱盖防水透气盖</t>
  </si>
  <si>
    <t>YC.JG.CS000012.06</t>
  </si>
  <si>
    <t>【T40】水箱（40L）</t>
  </si>
  <si>
    <t>YC.JG.ZS002307.05</t>
  </si>
  <si>
    <t>【T40】水箱外壳</t>
  </si>
  <si>
    <t>BC.AG.SS000556.01</t>
  </si>
  <si>
    <t>【T40】分线板模块</t>
  </si>
  <si>
    <t>YC.JG.ZS002379.03</t>
  </si>
  <si>
    <t>【T40/T20P】电机上盖</t>
  </si>
  <si>
    <t>YC.JG.YZ000498.04</t>
  </si>
  <si>
    <t>【T40/T20P】全向雷达固定座</t>
  </si>
  <si>
    <t>YC.JG.FP000018.05</t>
  </si>
  <si>
    <t>【T40】电机保护罩</t>
  </si>
  <si>
    <t>YC.JG.ZS002253.05</t>
  </si>
  <si>
    <t>【T40/T20P】喷杆转接轴</t>
  </si>
  <si>
    <t>YC.JG.ZS002283.05</t>
  </si>
  <si>
    <t>【T40/T20P】前壳下盖</t>
  </si>
  <si>
    <t>YC.XC.XS000011.07</t>
  </si>
  <si>
    <t>【T40】M1&amp;M2机臂电调复合线</t>
  </si>
  <si>
    <t>YC.JG.ZS002298.02</t>
  </si>
  <si>
    <t>【T40/T20P】后壳上盖</t>
  </si>
  <si>
    <t>YC.JG.ZS001964.05</t>
  </si>
  <si>
    <t>【T40/T20P】上反桨（U-CW）</t>
  </si>
  <si>
    <t>YC.JG.ZS001085.02</t>
  </si>
  <si>
    <t>【T40/T20P】水箱入水口滤网</t>
  </si>
  <si>
    <t>YC.DZ.BC000081.01</t>
  </si>
  <si>
    <t>USB充电器（65W）（欧规）（含充电线）</t>
  </si>
  <si>
    <t>BC.AG.SS000677.01</t>
  </si>
  <si>
    <t>【T50/T25】补光灯组件</t>
  </si>
  <si>
    <t>BC.AG.SS000940.02.F</t>
  </si>
  <si>
    <t>【T50/T25】后雷达模块</t>
  </si>
  <si>
    <t>BC.AG.SS000566.01</t>
  </si>
  <si>
    <t>10033动力电机-M4</t>
  </si>
  <si>
    <t>QFO241008000170</t>
  </si>
  <si>
    <t>QAO240926000001</t>
  </si>
  <si>
    <t>other</t>
  </si>
  <si>
    <t>Huada Agricola Comercial LTDA，WRC240226000217Penalty for failure to deal with bad parts，S-24-09-26-01</t>
  </si>
  <si>
    <t>QFO241008000169</t>
  </si>
  <si>
    <t>Huada Agricola Comercial LTDA，WRC240229000211Penalty for failure to deal with bad parts，S-24-09-26-01</t>
  </si>
  <si>
    <t>QFO241008000168</t>
  </si>
  <si>
    <t>Huada Agricola Comercial LTDA，WRC240227000222Penalty for failure to deal with bad parts，S-24-09-26-01</t>
  </si>
  <si>
    <t>QFO241008000167</t>
  </si>
  <si>
    <t>Huada Agricola Comercial LTDA，WRC240302000008Penalty for failure to deal with bad parts，S-24-09-26-01</t>
  </si>
  <si>
    <t>QFO241008000165</t>
  </si>
  <si>
    <t>Huada Agricola Comercial LTDA，WRC240305000008Penalty for failure to deal with bad parts，S-24-09-26-01</t>
  </si>
  <si>
    <t>QFO241008000162</t>
  </si>
  <si>
    <t>Huada Agricola Comercial LTDA，WRC240112000006Penalty for failure to deal with bad parts，S-24-09-26-01</t>
  </si>
  <si>
    <t>QFO241008000159</t>
  </si>
  <si>
    <t>Huada Agricola Comercial LTDA，WRC240301000237Penalty for failure to deal with bad parts，S-24-09-26-01</t>
  </si>
  <si>
    <t>QFO241008000157</t>
  </si>
  <si>
    <t>Huada Agricola Comercial LTDA，WRC240104000188Penalty for failure to deal with bad parts，S-24-09-26-01</t>
  </si>
  <si>
    <t>QFO241008000155</t>
  </si>
  <si>
    <t>Huada Agricola Comercial LTDA，WRC240116000006Penalty for failure to deal with bad parts，S-24-09-26-01</t>
  </si>
  <si>
    <t>QFO241008000153</t>
  </si>
  <si>
    <t>Huada Agricola Comercial LTDA，WRC240229000004Penalty for failure to deal with bad parts，S-24-09-26-01</t>
  </si>
  <si>
    <t>QFO241008000151</t>
  </si>
  <si>
    <t>Huada Agricola Comercial LTDA，WRC240229000208Penalty for failure to deal with bad parts，S-24-09-26-01</t>
  </si>
  <si>
    <t>本次不涉及此项</t>
  </si>
  <si>
    <r>
      <rPr>
        <b/>
        <sz val="10"/>
        <color rgb="FFFFFFFF"/>
        <rFont val="微软雅黑"/>
        <charset val="134"/>
      </rPr>
      <t>转售前</t>
    </r>
    <r>
      <rPr>
        <b/>
        <sz val="10"/>
        <color rgb="FFFFFFFF"/>
        <rFont val="Arial"/>
        <charset val="134"/>
      </rPr>
      <t>Credit/</t>
    </r>
    <r>
      <rPr>
        <b/>
        <sz val="10"/>
        <color rgb="FFFFFFFF"/>
        <rFont val="微软雅黑"/>
        <charset val="134"/>
      </rPr>
      <t>售后</t>
    </r>
    <r>
      <rPr>
        <b/>
        <sz val="10"/>
        <color rgb="FFFFFFFF"/>
        <rFont val="Arial"/>
        <charset val="134"/>
      </rPr>
      <t>Cedit
Pre-sale credit/After-sale credit</t>
    </r>
  </si>
  <si>
    <r>
      <rPr>
        <b/>
        <sz val="10"/>
        <color rgb="FFFFFFFF"/>
        <rFont val="微软雅黑"/>
        <charset val="134"/>
      </rPr>
      <t>金额</t>
    </r>
    <r>
      <rPr>
        <b/>
        <sz val="10"/>
        <color rgb="FFFFFFFF"/>
        <rFont val="Arial"/>
        <charset val="134"/>
      </rPr>
      <t>/Amount</t>
    </r>
  </si>
  <si>
    <r>
      <rPr>
        <b/>
        <sz val="10"/>
        <color rgb="FFFFFFFF"/>
        <rFont val="微软雅黑"/>
        <charset val="134"/>
      </rPr>
      <t>币种</t>
    </r>
  </si>
  <si>
    <r>
      <rPr>
        <b/>
        <sz val="10"/>
        <color rgb="FFFFFFFF"/>
        <rFont val="Arial"/>
        <charset val="134"/>
      </rPr>
      <t>CM</t>
    </r>
    <r>
      <rPr>
        <b/>
        <sz val="10"/>
        <color rgb="FFFFFFFF"/>
        <rFont val="微软雅黑"/>
        <charset val="134"/>
      </rPr>
      <t xml:space="preserve">单号
</t>
    </r>
    <r>
      <rPr>
        <b/>
        <sz val="10"/>
        <color rgb="FFFFFFFF"/>
        <rFont val="Arial"/>
        <charset val="134"/>
      </rPr>
      <t>Credit number</t>
    </r>
  </si>
  <si>
    <r>
      <rPr>
        <b/>
        <sz val="10"/>
        <color rgb="FFFFFFFF"/>
        <rFont val="微软雅黑"/>
        <charset val="134"/>
      </rPr>
      <t xml:space="preserve">其他说明
</t>
    </r>
    <r>
      <rPr>
        <b/>
        <sz val="10"/>
        <color rgb="FFFFFFFF"/>
        <rFont val="Arial"/>
        <charset val="134"/>
      </rPr>
      <t>Supplement</t>
    </r>
  </si>
  <si>
    <r>
      <rPr>
        <b/>
        <sz val="10"/>
        <color rgb="FFFFFFFF"/>
        <rFont val="微软雅黑"/>
        <charset val="134"/>
      </rPr>
      <t>原始咨询案例（</t>
    </r>
    <r>
      <rPr>
        <b/>
        <sz val="10"/>
        <color rgb="FFFFFFFF"/>
        <rFont val="Arial"/>
        <charset val="134"/>
      </rPr>
      <t>Original Technical Support Case</t>
    </r>
    <r>
      <rPr>
        <b/>
        <sz val="10"/>
        <color rgb="FFFFFFFF"/>
        <rFont val="微软雅黑"/>
        <charset val="134"/>
      </rPr>
      <t>）</t>
    </r>
  </si>
  <si>
    <r>
      <rPr>
        <b/>
        <sz val="10"/>
        <color rgb="FFFFFFFF"/>
        <rFont val="Arial"/>
        <charset val="134"/>
      </rPr>
      <t>DJI</t>
    </r>
    <r>
      <rPr>
        <b/>
        <sz val="10"/>
        <color rgb="FFFFFFFF"/>
        <rFont val="微软雅黑"/>
        <charset val="134"/>
      </rPr>
      <t>换货案例（</t>
    </r>
    <r>
      <rPr>
        <b/>
        <sz val="10"/>
        <color rgb="FFFFFFFF"/>
        <rFont val="Arial"/>
        <charset val="134"/>
      </rPr>
      <t>DJI DOA Case</t>
    </r>
    <r>
      <rPr>
        <b/>
        <sz val="10"/>
        <color rgb="FFFFFFFF"/>
        <rFont val="微软雅黑"/>
        <charset val="134"/>
      </rPr>
      <t>）</t>
    </r>
  </si>
  <si>
    <r>
      <rPr>
        <b/>
        <sz val="10"/>
        <color rgb="FFFFFFFF"/>
        <rFont val="微软雅黑"/>
        <charset val="134"/>
      </rPr>
      <t>客户</t>
    </r>
    <r>
      <rPr>
        <b/>
        <sz val="10"/>
        <color rgb="FFFFFFFF"/>
        <rFont val="Arial"/>
        <charset val="134"/>
      </rPr>
      <t xml:space="preserve"> (</t>
    </r>
    <r>
      <rPr>
        <b/>
        <sz val="10"/>
        <color rgb="FFFFFFFF"/>
        <rFont val="微软雅黑"/>
        <charset val="134"/>
      </rPr>
      <t>案例</t>
    </r>
    <r>
      <rPr>
        <b/>
        <sz val="10"/>
        <color rgb="FFFFFFFF"/>
        <rFont val="Arial"/>
        <charset val="134"/>
      </rPr>
      <t>)
Distributor/Dealer Name</t>
    </r>
  </si>
  <si>
    <r>
      <rPr>
        <b/>
        <sz val="10"/>
        <color rgb="FFFF0000"/>
        <rFont val="微软雅黑"/>
        <charset val="134"/>
      </rPr>
      <t>上级代理商</t>
    </r>
    <r>
      <rPr>
        <b/>
        <sz val="10"/>
        <color rgb="FFFF0000"/>
        <rFont val="Arial"/>
        <charset val="134"/>
      </rPr>
      <t>(Distributor Name)</t>
    </r>
  </si>
  <si>
    <r>
      <rPr>
        <b/>
        <sz val="10"/>
        <color rgb="FFFF0000"/>
        <rFont val="微软雅黑"/>
        <charset val="134"/>
      </rPr>
      <t>代理商账号</t>
    </r>
    <r>
      <rPr>
        <b/>
        <sz val="10"/>
        <color rgb="FFFF0000"/>
        <rFont val="Arial"/>
        <charset val="134"/>
      </rPr>
      <t>(Dealer Account)</t>
    </r>
  </si>
  <si>
    <r>
      <rPr>
        <b/>
        <sz val="10"/>
        <color rgb="FFFFFFFF"/>
        <rFont val="微软雅黑"/>
        <charset val="134"/>
      </rPr>
      <t>产品</t>
    </r>
    <r>
      <rPr>
        <b/>
        <sz val="10"/>
        <color rgb="FFFFFFFF"/>
        <rFont val="Arial"/>
        <charset val="134"/>
      </rPr>
      <t xml:space="preserve"> ID (</t>
    </r>
    <r>
      <rPr>
        <b/>
        <sz val="10"/>
        <color rgb="FFFFFFFF"/>
        <rFont val="微软雅黑"/>
        <charset val="134"/>
      </rPr>
      <t>产品</t>
    </r>
    <r>
      <rPr>
        <b/>
        <sz val="10"/>
        <color rgb="FFFFFFFF"/>
        <rFont val="Arial"/>
        <charset val="134"/>
      </rPr>
      <t>)
Product ID</t>
    </r>
  </si>
  <si>
    <r>
      <rPr>
        <b/>
        <sz val="10"/>
        <color rgb="FFFFFFFF"/>
        <rFont val="微软雅黑"/>
        <charset val="134"/>
      </rPr>
      <t xml:space="preserve">产品
</t>
    </r>
    <r>
      <rPr>
        <b/>
        <sz val="10"/>
        <color rgb="FFFFFFFF"/>
        <rFont val="Arial"/>
        <charset val="134"/>
      </rPr>
      <t xml:space="preserve">Product </t>
    </r>
  </si>
  <si>
    <r>
      <rPr>
        <b/>
        <sz val="10"/>
        <color rgb="FFFFFFFF"/>
        <rFont val="微软雅黑"/>
        <charset val="134"/>
      </rPr>
      <t xml:space="preserve">数量
</t>
    </r>
    <r>
      <rPr>
        <b/>
        <sz val="10"/>
        <color rgb="FFFFFFFF"/>
        <rFont val="Arial"/>
        <charset val="134"/>
      </rPr>
      <t>Quantity</t>
    </r>
  </si>
  <si>
    <r>
      <rPr>
        <b/>
        <sz val="10"/>
        <color rgb="FFFFFFFF"/>
        <rFont val="微软雅黑"/>
        <charset val="134"/>
      </rPr>
      <t xml:space="preserve">月份
</t>
    </r>
    <r>
      <rPr>
        <b/>
        <sz val="10"/>
        <color rgb="FFFFFFFF"/>
        <rFont val="Arial"/>
        <charset val="134"/>
      </rPr>
      <t>Month</t>
    </r>
  </si>
  <si>
    <r>
      <rPr>
        <b/>
        <sz val="10"/>
        <color rgb="FFFFFFFF"/>
        <rFont val="微软雅黑"/>
        <charset val="134"/>
      </rPr>
      <t>完成时间</t>
    </r>
    <r>
      <rPr>
        <b/>
        <sz val="10"/>
        <color rgb="FFFFFFFF"/>
        <rFont val="Arial"/>
        <charset val="134"/>
      </rPr>
      <t xml:space="preserve"> (</t>
    </r>
    <r>
      <rPr>
        <b/>
        <sz val="10"/>
        <color rgb="FFFFFFFF"/>
        <rFont val="微软雅黑"/>
        <charset val="134"/>
      </rPr>
      <t>发货单</t>
    </r>
    <r>
      <rPr>
        <b/>
        <sz val="10"/>
        <color rgb="FFFFFFFF"/>
        <rFont val="Arial"/>
        <charset val="134"/>
      </rPr>
      <t>)
Date</t>
    </r>
  </si>
  <si>
    <r>
      <rPr>
        <b/>
        <sz val="10"/>
        <color rgb="FFFFFFFF"/>
        <rFont val="微软雅黑"/>
        <charset val="134"/>
      </rPr>
      <t>产品</t>
    </r>
    <r>
      <rPr>
        <b/>
        <sz val="10"/>
        <color rgb="FFFFFFFF"/>
        <rFont val="Arial"/>
        <charset val="134"/>
      </rPr>
      <t>SN</t>
    </r>
    <r>
      <rPr>
        <b/>
        <sz val="10"/>
        <color rgb="FFFFFFFF"/>
        <rFont val="微软雅黑"/>
        <charset val="134"/>
      </rPr>
      <t>码</t>
    </r>
    <r>
      <rPr>
        <b/>
        <sz val="10"/>
        <color rgb="FFFFFFFF"/>
        <rFont val="Arial"/>
        <charset val="134"/>
      </rPr>
      <t xml:space="preserve"> (</t>
    </r>
    <r>
      <rPr>
        <b/>
        <sz val="10"/>
        <color rgb="FFFFFFFF"/>
        <rFont val="微软雅黑"/>
        <charset val="134"/>
      </rPr>
      <t>案例</t>
    </r>
    <r>
      <rPr>
        <b/>
        <sz val="10"/>
        <color rgb="FFFFFFFF"/>
        <rFont val="Arial"/>
        <charset val="134"/>
      </rPr>
      <t>)
Product SN</t>
    </r>
  </si>
  <si>
    <t>售后credit（After-sale credit）</t>
  </si>
  <si>
    <t>CAS-18450122-G0Y4N4</t>
  </si>
  <si>
    <t>CAS-18562533-Z8L1Y8</t>
  </si>
  <si>
    <t>CP.AG.00000782.01</t>
  </si>
  <si>
    <t>DB1560 智能飞行电池</t>
  </si>
  <si>
    <t>65VPL5NDA10M91</t>
  </si>
  <si>
    <t>CAS-18361568-L4R4K0</t>
  </si>
  <si>
    <t>CAS-18512932-X8F6D6</t>
  </si>
  <si>
    <t>CP.AG.00000571.01</t>
  </si>
  <si>
    <t>T20P智能飞行电池</t>
  </si>
  <si>
    <t>57QPLA4DA104TU</t>
  </si>
  <si>
    <t>CAS-18394477-W0L9H6</t>
  </si>
  <si>
    <t>CAS-18514030-C9K6H2</t>
  </si>
  <si>
    <t>CP.AG.00000570.01</t>
  </si>
  <si>
    <t>T40智能飞行电池</t>
  </si>
  <si>
    <t>57PPK6JDA00008</t>
  </si>
  <si>
    <t>CAS-18450130-H5T6M5</t>
  </si>
  <si>
    <t>CAS-18541724-D7K2L1</t>
  </si>
  <si>
    <t>57PPL8RDA3001J</t>
  </si>
  <si>
    <r>
      <rPr>
        <b/>
        <sz val="10"/>
        <color theme="0"/>
        <rFont val="宋体"/>
        <charset val="134"/>
      </rPr>
      <t>订单日期（</t>
    </r>
    <r>
      <rPr>
        <b/>
        <sz val="10"/>
        <color theme="0"/>
        <rFont val="Arial"/>
        <charset val="134"/>
      </rPr>
      <t>order date</t>
    </r>
    <r>
      <rPr>
        <b/>
        <sz val="10"/>
        <color theme="0"/>
        <rFont val="宋体"/>
        <charset val="134"/>
      </rPr>
      <t>）</t>
    </r>
  </si>
  <si>
    <t>案例号（Case Number）</t>
  </si>
  <si>
    <t>代理商（(Dealer Name)）</t>
  </si>
  <si>
    <t>代理商账号（(Dealer Account)）</t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</si>
  <si>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</si>
  <si>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</si>
  <si>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</si>
  <si>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</si>
  <si>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</si>
  <si>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</si>
  <si>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</si>
  <si>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t>CAS-17267916-B7M9J8</t>
  </si>
  <si>
    <t>YC.JG.MY001057.01</t>
  </si>
  <si>
    <t>AG701_负载_转接头胶套_01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</si>
</sst>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\(0\)"/>
    <numFmt numFmtId="178" formatCode="yyyy\-mm"/>
  </numFmts>
  <fonts count="42">
    <font>
      <sz val="11"/>
      <color theme="1"/>
      <name val="等线"/>
      <charset val="134"/>
      <scheme val="minor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b/>
      <sz val="10"/>
      <color rgb="FFFF0000"/>
      <name val="Arial"/>
      <charset val="134"/>
    </font>
    <font>
      <sz val="9"/>
      <color rgb="FF000000"/>
      <name val="微软雅黑"/>
      <charset val="134"/>
    </font>
    <font>
      <sz val="10"/>
      <color theme="1"/>
      <name val="等线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微软雅黑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indexed="8"/>
      <name val="等线"/>
      <charset val="134"/>
      <scheme val="minor"/>
    </font>
    <font>
      <sz val="10"/>
      <color rgb="FF000000"/>
      <name val="Arial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theme="0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4"/>
      <color rgb="FFFFFF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16" applyNumberFormat="0" applyAlignment="0" applyProtection="0">
      <alignment vertical="center"/>
    </xf>
    <xf numFmtId="0" fontId="28" fillId="11" borderId="17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30" fillId="12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5">
    <xf numFmtId="0" fontId="0" fillId="0" borderId="0" xfId="0"/>
    <xf numFmtId="0" fontId="0" fillId="0" borderId="0" xfId="0" applyFont="1" applyFill="1" applyAlignment="1"/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22" fontId="0" fillId="0" borderId="0" xfId="0" applyNumberFormat="1"/>
    <xf numFmtId="0" fontId="7" fillId="0" borderId="0" xfId="0" applyFont="1"/>
    <xf numFmtId="0" fontId="8" fillId="0" borderId="0" xfId="0" applyFont="1"/>
    <xf numFmtId="0" fontId="8" fillId="5" borderId="0" xfId="0" applyFont="1" applyFill="1"/>
    <xf numFmtId="178" fontId="8" fillId="0" borderId="0" xfId="0" applyNumberFormat="1" applyFont="1"/>
    <xf numFmtId="0" fontId="9" fillId="0" borderId="0" xfId="0" applyFont="1"/>
    <xf numFmtId="22" fontId="9" fillId="0" borderId="0" xfId="0" applyNumberFormat="1" applyFont="1"/>
    <xf numFmtId="0" fontId="2" fillId="5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NumberFormat="1" applyFont="1" applyFill="1" applyBorder="1" applyAlignment="1" applyProtection="1">
      <alignment vertical="center"/>
    </xf>
    <xf numFmtId="0" fontId="0" fillId="0" borderId="0" xfId="0" applyNumberFormat="1"/>
    <xf numFmtId="0" fontId="8" fillId="0" borderId="0" xfId="0" applyNumberFormat="1" applyFont="1"/>
    <xf numFmtId="0" fontId="0" fillId="0" borderId="0" xfId="49" applyFont="1" applyFill="1" applyAlignment="1">
      <alignment vertical="center"/>
    </xf>
    <xf numFmtId="0" fontId="0" fillId="0" borderId="0" xfId="49" applyAlignment="1">
      <alignment vertical="center"/>
    </xf>
    <xf numFmtId="0" fontId="12" fillId="6" borderId="5" xfId="49" applyFont="1" applyFill="1" applyBorder="1" applyAlignment="1">
      <alignment horizontal="center" vertical="center" wrapText="1"/>
    </xf>
    <xf numFmtId="0" fontId="12" fillId="6" borderId="6" xfId="49" applyFont="1" applyFill="1" applyBorder="1" applyAlignment="1">
      <alignment horizontal="center" vertical="center"/>
    </xf>
    <xf numFmtId="0" fontId="12" fillId="6" borderId="7" xfId="49" applyFont="1" applyFill="1" applyBorder="1" applyAlignment="1">
      <alignment horizontal="center" vertical="center"/>
    </xf>
    <xf numFmtId="0" fontId="13" fillId="7" borderId="1" xfId="49" applyFont="1" applyFill="1" applyBorder="1" applyAlignment="1">
      <alignment horizontal="right" vertical="center"/>
    </xf>
    <xf numFmtId="0" fontId="14" fillId="0" borderId="8" xfId="49" applyFont="1" applyBorder="1" applyAlignment="1">
      <alignment horizontal="left" vertical="center"/>
    </xf>
    <xf numFmtId="0" fontId="14" fillId="0" borderId="9" xfId="49" applyFont="1" applyBorder="1" applyAlignment="1">
      <alignment horizontal="left" vertical="center"/>
    </xf>
    <xf numFmtId="0" fontId="15" fillId="0" borderId="1" xfId="0" applyNumberFormat="1" applyFont="1" applyBorder="1" applyAlignment="1">
      <alignment vertical="center"/>
    </xf>
    <xf numFmtId="0" fontId="15" fillId="7" borderId="8" xfId="49" applyFont="1" applyFill="1" applyBorder="1" applyAlignment="1">
      <alignment horizontal="center" vertical="center"/>
    </xf>
    <xf numFmtId="0" fontId="15" fillId="7" borderId="10" xfId="49" applyFont="1" applyFill="1" applyBorder="1" applyAlignment="1">
      <alignment horizontal="center" vertical="center"/>
    </xf>
    <xf numFmtId="0" fontId="15" fillId="7" borderId="9" xfId="49" applyFont="1" applyFill="1" applyBorder="1" applyAlignment="1">
      <alignment horizontal="center" vertical="center"/>
    </xf>
    <xf numFmtId="0" fontId="16" fillId="7" borderId="11" xfId="49" applyFont="1" applyFill="1" applyBorder="1" applyAlignment="1">
      <alignment horizontal="center" vertical="center"/>
    </xf>
    <xf numFmtId="0" fontId="15" fillId="7" borderId="11" xfId="49" applyFont="1" applyFill="1" applyBorder="1" applyAlignment="1">
      <alignment horizontal="center" vertical="center"/>
    </xf>
    <xf numFmtId="0" fontId="13" fillId="7" borderId="11" xfId="49" applyFont="1" applyFill="1" applyBorder="1" applyAlignment="1">
      <alignment horizontal="center" vertical="center"/>
    </xf>
    <xf numFmtId="0" fontId="15" fillId="0" borderId="12" xfId="49" applyFont="1" applyFill="1" applyBorder="1" applyAlignment="1">
      <alignment horizontal="center" vertical="center"/>
    </xf>
    <xf numFmtId="0" fontId="7" fillId="8" borderId="1" xfId="49" applyFont="1" applyFill="1" applyBorder="1" applyAlignment="1">
      <alignment vertical="center"/>
    </xf>
    <xf numFmtId="4" fontId="17" fillId="0" borderId="1" xfId="49" applyNumberFormat="1" applyFont="1" applyFill="1" applyBorder="1">
      <alignment vertical="center"/>
    </xf>
    <xf numFmtId="0" fontId="15" fillId="0" borderId="11" xfId="49" applyFont="1" applyFill="1" applyBorder="1" applyAlignment="1">
      <alignment horizontal="center" vertical="center"/>
    </xf>
    <xf numFmtId="0" fontId="13" fillId="7" borderId="8" xfId="49" applyFont="1" applyFill="1" applyBorder="1" applyAlignment="1">
      <alignment horizontal="center" vertical="center" wrapText="1"/>
    </xf>
    <xf numFmtId="0" fontId="13" fillId="7" borderId="10" xfId="49" applyFont="1" applyFill="1" applyBorder="1" applyAlignment="1">
      <alignment horizontal="center" vertical="center" wrapText="1"/>
    </xf>
    <xf numFmtId="0" fontId="13" fillId="7" borderId="9" xfId="49" applyFont="1" applyFill="1" applyBorder="1" applyAlignment="1">
      <alignment horizontal="center" vertical="center" wrapText="1"/>
    </xf>
    <xf numFmtId="0" fontId="18" fillId="0" borderId="1" xfId="49" applyFont="1" applyBorder="1" applyAlignment="1">
      <alignment horizontal="center" vertical="center"/>
    </xf>
    <xf numFmtId="0" fontId="13" fillId="7" borderId="1" xfId="49" applyFont="1" applyFill="1" applyBorder="1" applyAlignment="1">
      <alignment horizontal="center" vertical="center" wrapText="1"/>
    </xf>
    <xf numFmtId="0" fontId="13" fillId="0" borderId="9" xfId="49" applyFont="1" applyBorder="1" applyAlignment="1">
      <alignment horizontal="center" vertical="center"/>
    </xf>
    <xf numFmtId="4" fontId="18" fillId="0" borderId="1" xfId="49" applyNumberFormat="1" applyFont="1" applyFill="1" applyBorder="1">
      <alignment vertical="center"/>
    </xf>
    <xf numFmtId="0" fontId="13" fillId="7" borderId="8" xfId="49" applyFont="1" applyFill="1" applyBorder="1" applyAlignment="1">
      <alignment horizontal="center" vertical="center"/>
    </xf>
    <xf numFmtId="0" fontId="13" fillId="7" borderId="10" xfId="49" applyFont="1" applyFill="1" applyBorder="1" applyAlignment="1">
      <alignment horizontal="center" vertical="center"/>
    </xf>
    <xf numFmtId="0" fontId="13" fillId="7" borderId="9" xfId="49" applyFont="1" applyFill="1" applyBorder="1" applyAlignment="1">
      <alignment horizontal="center" vertical="center"/>
    </xf>
    <xf numFmtId="4" fontId="13" fillId="0" borderId="9" xfId="49" applyNumberFormat="1" applyFont="1" applyFill="1" applyBorder="1">
      <alignment vertical="center"/>
    </xf>
    <xf numFmtId="0" fontId="13" fillId="7" borderId="1" xfId="49" applyFont="1" applyFill="1" applyBorder="1" applyAlignment="1">
      <alignment horizontal="center" vertical="center"/>
    </xf>
    <xf numFmtId="0" fontId="13" fillId="0" borderId="1" xfId="49" applyFont="1" applyFill="1" applyBorder="1" applyAlignment="1">
      <alignment horizontal="center" vertical="center"/>
    </xf>
    <xf numFmtId="4" fontId="18" fillId="0" borderId="1" xfId="49" applyNumberFormat="1" applyFont="1" applyFill="1" applyBorder="1" applyAlignment="1">
      <alignment vertical="center"/>
    </xf>
    <xf numFmtId="0" fontId="0" fillId="0" borderId="1" xfId="49" applyFont="1" applyFill="1" applyBorder="1" applyAlignment="1">
      <alignment vertical="center"/>
    </xf>
    <xf numFmtId="4" fontId="13" fillId="0" borderId="1" xfId="49" applyNumberFormat="1" applyFont="1" applyFill="1" applyBorder="1" applyAlignment="1">
      <alignment vertical="center"/>
    </xf>
    <xf numFmtId="0" fontId="18" fillId="0" borderId="1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 2 2" xfId="49"/>
    <cellStyle name="常规 4 2 2" xfId="50"/>
  </cellStyles>
  <dxfs count="2"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F16"/>
  <sheetViews>
    <sheetView showGridLines="0" tabSelected="1" zoomScale="85" zoomScaleNormal="85" workbookViewId="0">
      <selection activeCell="A1" sqref="A1"/>
    </sheetView>
  </sheetViews>
  <sheetFormatPr defaultColWidth="9" defaultRowHeight="14.25" outlineLevelCol="5"/>
  <cols>
    <col min="1" max="1" width="3.375" style="30" customWidth="1"/>
    <col min="2" max="2" width="24.625" style="30" customWidth="1"/>
    <col min="3" max="3" width="8.875" style="30" customWidth="1"/>
    <col min="4" max="4" width="32.875" style="30" customWidth="1"/>
    <col min="5" max="5" width="40" style="30" customWidth="1"/>
    <col min="6" max="6" width="58.75" style="30" customWidth="1"/>
    <col min="7" max="7" width="17.75" style="30" customWidth="1"/>
    <col min="8" max="16384" width="9" style="30"/>
  </cols>
  <sheetData>
    <row r="1" ht="13.5" customHeight="1"/>
    <row r="2" ht="46.5" customHeight="1" spans="2:6">
      <c r="B2" s="31" t="s">
        <v>0</v>
      </c>
      <c r="C2" s="32"/>
      <c r="D2" s="32"/>
      <c r="E2" s="32"/>
      <c r="F2" s="33"/>
    </row>
    <row r="3" ht="18.75" customHeight="1" spans="2:6">
      <c r="B3" s="34" t="s">
        <v>1</v>
      </c>
      <c r="C3" s="35" t="s">
        <v>2</v>
      </c>
      <c r="D3" s="36"/>
      <c r="E3" s="34" t="s">
        <v>3</v>
      </c>
      <c r="F3" s="37" t="s">
        <v>4</v>
      </c>
    </row>
    <row r="4" ht="18" spans="2:6">
      <c r="B4" s="38" t="s">
        <v>5</v>
      </c>
      <c r="C4" s="39"/>
      <c r="D4" s="40"/>
      <c r="E4" s="41" t="s">
        <v>6</v>
      </c>
      <c r="F4" s="42" t="s">
        <v>7</v>
      </c>
    </row>
    <row r="5" ht="16.9" customHeight="1" spans="2:6">
      <c r="B5" s="43" t="s">
        <v>8</v>
      </c>
      <c r="C5" s="44">
        <v>1</v>
      </c>
      <c r="D5" s="45" t="s">
        <v>9</v>
      </c>
      <c r="E5" s="46">
        <f>SUMIF('Accessories discount'!C:C,F3,'Accessories discount'!M:M)</f>
        <v>-20988.15</v>
      </c>
      <c r="F5" s="47"/>
    </row>
    <row r="6" ht="16.9" customHeight="1" spans="2:6">
      <c r="B6" s="48" t="s">
        <v>10</v>
      </c>
      <c r="C6" s="49"/>
      <c r="D6" s="50"/>
      <c r="E6" s="46">
        <f>E5</f>
        <v>-20988.15</v>
      </c>
      <c r="F6" s="51"/>
    </row>
    <row r="7" ht="16.9" customHeight="1" spans="2:6">
      <c r="B7" s="52" t="s">
        <v>11</v>
      </c>
      <c r="C7" s="53">
        <v>1</v>
      </c>
      <c r="D7" s="45" t="s">
        <v>12</v>
      </c>
      <c r="E7" s="46">
        <f>SUMIF('spare parts fee + service fee'!C:C,'monthly bill'!F3,'spare parts fee + service fee'!F:F)</f>
        <v>2646.75</v>
      </c>
      <c r="F7" s="51"/>
    </row>
    <row r="8" ht="16.9" customHeight="1" spans="2:6">
      <c r="B8" s="52"/>
      <c r="C8" s="53">
        <v>2</v>
      </c>
      <c r="D8" s="45" t="s">
        <v>13</v>
      </c>
      <c r="E8" s="54">
        <f>SUMIF('spare parts fee + service fee'!C:C,'monthly bill'!F3,'spare parts fee + service fee'!G:G)</f>
        <v>90</v>
      </c>
      <c r="F8" s="51"/>
    </row>
    <row r="9" ht="16.9" customHeight="1" spans="2:6">
      <c r="B9" s="52"/>
      <c r="C9" s="53">
        <v>3</v>
      </c>
      <c r="D9" s="45" t="s">
        <v>14</v>
      </c>
      <c r="E9" s="54">
        <f>SUMIF('spare parts fee + service fee'!C:C,'monthly bill'!F3,'spare parts fee + service fee'!I:I)</f>
        <v>36</v>
      </c>
      <c r="F9" s="51"/>
    </row>
    <row r="10" ht="16.9" customHeight="1" spans="2:6">
      <c r="B10" s="52"/>
      <c r="C10" s="53">
        <v>4</v>
      </c>
      <c r="D10" s="45" t="s">
        <v>15</v>
      </c>
      <c r="E10" s="54">
        <f>SUMIF('Service prohibition'!C:C,'monthly bill'!F3,'Service prohibition'!M:M)</f>
        <v>-4165.59</v>
      </c>
      <c r="F10" s="51"/>
    </row>
    <row r="11" ht="16.9" customHeight="1" spans="2:6">
      <c r="B11" s="52"/>
      <c r="C11" s="53">
        <v>5</v>
      </c>
      <c r="D11" s="45" t="s">
        <v>16</v>
      </c>
      <c r="E11" s="54">
        <f>SUMIF('other compensation'!C:C,'monthly bill'!F3,'other compensation'!M:M)</f>
        <v>0</v>
      </c>
      <c r="F11" s="51"/>
    </row>
    <row r="12" ht="16.9" customHeight="1" spans="2:6">
      <c r="B12" s="52"/>
      <c r="C12" s="53">
        <v>6</v>
      </c>
      <c r="D12" s="45" t="s">
        <v>17</v>
      </c>
      <c r="E12" s="54">
        <f>SUMIF('DOA to CM'!J:J,'monthly bill'!F3,'DOA to CM'!B:B)</f>
        <v>3968</v>
      </c>
      <c r="F12" s="51"/>
    </row>
    <row r="13" ht="16.9" customHeight="1" spans="2:6">
      <c r="B13" s="48" t="s">
        <v>18</v>
      </c>
      <c r="C13" s="49"/>
      <c r="D13" s="50"/>
      <c r="E13" s="54">
        <f>E7+E8+E9+E10+E11+E12</f>
        <v>2575.16</v>
      </c>
      <c r="F13" s="51"/>
    </row>
    <row r="14" ht="16.5" spans="2:6">
      <c r="B14" s="55" t="s">
        <v>19</v>
      </c>
      <c r="C14" s="56"/>
      <c r="D14" s="57"/>
      <c r="E14" s="58">
        <f>E13+E6</f>
        <v>-18412.99</v>
      </c>
      <c r="F14" s="51" t="s">
        <v>20</v>
      </c>
    </row>
    <row r="15" s="29" customFormat="1" ht="16.5" spans="2:6">
      <c r="B15" s="59" t="s">
        <v>21</v>
      </c>
      <c r="C15" s="60">
        <v>1</v>
      </c>
      <c r="D15" s="45" t="s">
        <v>22</v>
      </c>
      <c r="E15" s="61">
        <f>SUMIF('pre-payment balance'!D:D,F3,'pre-payment balance'!K:K)</f>
        <v>80</v>
      </c>
      <c r="F15" s="62"/>
    </row>
    <row r="16" s="29" customFormat="1" ht="16.5" spans="2:6">
      <c r="B16" s="55" t="s">
        <v>23</v>
      </c>
      <c r="C16" s="56"/>
      <c r="D16" s="57"/>
      <c r="E16" s="63">
        <f>E15</f>
        <v>80</v>
      </c>
      <c r="F16" s="64" t="s">
        <v>24</v>
      </c>
    </row>
  </sheetData>
  <mergeCells count="8">
    <mergeCell ref="B2:F2"/>
    <mergeCell ref="C3:D3"/>
    <mergeCell ref="B4:D4"/>
    <mergeCell ref="B6:D6"/>
    <mergeCell ref="B13:D13"/>
    <mergeCell ref="B14:D14"/>
    <mergeCell ref="B16:D16"/>
    <mergeCell ref="B7:B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1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7"/>
  </cols>
  <sheetData>
    <row r="1" spans="1:17">
      <c r="A1" s="19" t="s">
        <v>25</v>
      </c>
      <c r="B1" s="19" t="s">
        <v>26</v>
      </c>
      <c r="C1" s="20" t="s">
        <v>27</v>
      </c>
      <c r="D1" s="20" t="s">
        <v>1</v>
      </c>
      <c r="E1" s="19" t="s">
        <v>28</v>
      </c>
      <c r="F1" s="19" t="s">
        <v>29</v>
      </c>
      <c r="G1" s="19" t="s">
        <v>30</v>
      </c>
      <c r="H1" s="19" t="s">
        <v>31</v>
      </c>
      <c r="I1" s="19" t="s">
        <v>32</v>
      </c>
      <c r="J1" s="19" t="s">
        <v>33</v>
      </c>
      <c r="K1" s="19" t="s">
        <v>34</v>
      </c>
      <c r="L1" s="19" t="s">
        <v>35</v>
      </c>
      <c r="M1" s="19" t="s">
        <v>36</v>
      </c>
      <c r="N1" s="19" t="s">
        <v>37</v>
      </c>
      <c r="O1" s="19" t="s">
        <v>38</v>
      </c>
      <c r="P1" s="19" t="s">
        <v>7</v>
      </c>
      <c r="Q1" s="28" t="s">
        <v>39</v>
      </c>
    </row>
    <row r="2" spans="1:17">
      <c r="A2" t="s">
        <v>40</v>
      </c>
      <c r="B2" s="17">
        <v>45576.4471759259</v>
      </c>
      <c r="C2" t="s">
        <v>4</v>
      </c>
      <c r="D2" t="s">
        <v>2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20988.15</v>
      </c>
      <c r="M2">
        <v>-20988.15</v>
      </c>
      <c r="N2">
        <v>11797.06</v>
      </c>
      <c r="P2" t="s">
        <v>47</v>
      </c>
      <c r="Q2" s="27">
        <v>202410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12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6.75" customWidth="1"/>
    <col min="2" max="2" width="15.75" customWidth="1"/>
    <col min="3" max="3" width="25.3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</cols>
  <sheetData>
    <row r="1" ht="29.25" spans="1:9">
      <c r="A1" s="24" t="s">
        <v>48</v>
      </c>
      <c r="B1" s="3" t="s">
        <v>49</v>
      </c>
      <c r="C1" s="24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</row>
    <row r="2" spans="1:9">
      <c r="A2" t="s">
        <v>2</v>
      </c>
      <c r="B2" t="s">
        <v>2</v>
      </c>
      <c r="C2" t="s">
        <v>4</v>
      </c>
      <c r="D2" t="s">
        <v>57</v>
      </c>
      <c r="E2" t="s">
        <v>58</v>
      </c>
      <c r="F2">
        <v>27</v>
      </c>
      <c r="G2">
        <v>7</v>
      </c>
      <c r="H2">
        <v>34</v>
      </c>
      <c r="I2">
        <v>2.8</v>
      </c>
    </row>
    <row r="3" spans="1:9">
      <c r="A3" t="s">
        <v>2</v>
      </c>
      <c r="B3" t="s">
        <v>2</v>
      </c>
      <c r="C3" t="s">
        <v>4</v>
      </c>
      <c r="D3" t="s">
        <v>57</v>
      </c>
      <c r="E3" t="s">
        <v>59</v>
      </c>
      <c r="F3">
        <v>117</v>
      </c>
      <c r="G3">
        <v>7</v>
      </c>
      <c r="H3">
        <v>124</v>
      </c>
      <c r="I3">
        <v>2.8</v>
      </c>
    </row>
    <row r="4" spans="1:9">
      <c r="A4" t="s">
        <v>2</v>
      </c>
      <c r="B4" t="s">
        <v>60</v>
      </c>
      <c r="C4" t="s">
        <v>4</v>
      </c>
      <c r="D4" t="s">
        <v>57</v>
      </c>
      <c r="E4" t="s">
        <v>61</v>
      </c>
      <c r="F4">
        <v>501</v>
      </c>
      <c r="G4">
        <v>7</v>
      </c>
      <c r="H4">
        <v>508</v>
      </c>
      <c r="I4">
        <v>2.8</v>
      </c>
    </row>
    <row r="5" spans="1:9">
      <c r="A5" t="s">
        <v>2</v>
      </c>
      <c r="B5" t="s">
        <v>60</v>
      </c>
      <c r="C5" t="s">
        <v>4</v>
      </c>
      <c r="D5" t="s">
        <v>57</v>
      </c>
      <c r="E5" t="s">
        <v>62</v>
      </c>
      <c r="F5">
        <v>185.82</v>
      </c>
      <c r="G5">
        <v>7</v>
      </c>
      <c r="H5">
        <v>192.82</v>
      </c>
      <c r="I5">
        <v>2.8</v>
      </c>
    </row>
    <row r="6" spans="1:9">
      <c r="A6" t="s">
        <v>2</v>
      </c>
      <c r="B6" t="s">
        <v>60</v>
      </c>
      <c r="C6" t="s">
        <v>4</v>
      </c>
      <c r="D6" t="s">
        <v>57</v>
      </c>
      <c r="E6" t="s">
        <v>63</v>
      </c>
      <c r="F6">
        <v>185.82</v>
      </c>
      <c r="G6">
        <v>7</v>
      </c>
      <c r="H6">
        <v>192.82</v>
      </c>
      <c r="I6">
        <v>2.8</v>
      </c>
    </row>
    <row r="7" spans="1:9">
      <c r="A7" t="s">
        <v>2</v>
      </c>
      <c r="B7" t="s">
        <v>60</v>
      </c>
      <c r="C7" t="s">
        <v>4</v>
      </c>
      <c r="D7" t="s">
        <v>57</v>
      </c>
      <c r="E7" t="s">
        <v>64</v>
      </c>
      <c r="F7">
        <v>85.59</v>
      </c>
      <c r="G7">
        <v>7</v>
      </c>
      <c r="H7">
        <v>92.59</v>
      </c>
      <c r="I7">
        <v>2.8</v>
      </c>
    </row>
    <row r="8" spans="1:9">
      <c r="A8" t="s">
        <v>2</v>
      </c>
      <c r="B8" t="s">
        <v>60</v>
      </c>
      <c r="C8" t="s">
        <v>4</v>
      </c>
      <c r="D8" t="s">
        <v>57</v>
      </c>
      <c r="E8" t="s">
        <v>65</v>
      </c>
      <c r="F8">
        <v>201.4</v>
      </c>
      <c r="G8">
        <v>7</v>
      </c>
      <c r="H8">
        <v>208.4</v>
      </c>
      <c r="I8">
        <v>2.8</v>
      </c>
    </row>
    <row r="9" spans="1:9">
      <c r="A9" t="s">
        <v>2</v>
      </c>
      <c r="B9" t="s">
        <v>66</v>
      </c>
      <c r="C9" t="s">
        <v>4</v>
      </c>
      <c r="D9" t="s">
        <v>57</v>
      </c>
      <c r="E9" t="s">
        <v>67</v>
      </c>
      <c r="F9">
        <v>688.44</v>
      </c>
      <c r="G9">
        <v>27</v>
      </c>
      <c r="H9">
        <v>715.44</v>
      </c>
      <c r="I9">
        <v>10.8</v>
      </c>
    </row>
    <row r="10" spans="1:9">
      <c r="A10" t="s">
        <v>2</v>
      </c>
      <c r="B10" t="s">
        <v>66</v>
      </c>
      <c r="C10" t="s">
        <v>4</v>
      </c>
      <c r="D10" t="s">
        <v>57</v>
      </c>
      <c r="E10" t="s">
        <v>68</v>
      </c>
      <c r="F10">
        <v>476.12</v>
      </c>
      <c r="G10">
        <v>7</v>
      </c>
      <c r="H10">
        <v>483.12</v>
      </c>
      <c r="I10">
        <v>2.8</v>
      </c>
    </row>
    <row r="11" spans="1:9">
      <c r="A11" t="s">
        <v>2</v>
      </c>
      <c r="B11" t="s">
        <v>66</v>
      </c>
      <c r="C11" t="s">
        <v>4</v>
      </c>
      <c r="D11" t="s">
        <v>57</v>
      </c>
      <c r="E11" t="s">
        <v>69</v>
      </c>
      <c r="F11">
        <v>141.56</v>
      </c>
      <c r="G11">
        <v>7</v>
      </c>
      <c r="H11">
        <v>148.56</v>
      </c>
      <c r="I11">
        <v>2.8</v>
      </c>
    </row>
    <row r="12" spans="1:9">
      <c r="A12" t="s">
        <v>2</v>
      </c>
      <c r="B12" t="s">
        <v>66</v>
      </c>
      <c r="C12" t="s">
        <v>4</v>
      </c>
      <c r="D12" t="s">
        <v>57</v>
      </c>
      <c r="E12" t="s">
        <v>70</v>
      </c>
      <c r="F12">
        <v>37</v>
      </c>
      <c r="G12">
        <v>0</v>
      </c>
      <c r="H12">
        <v>37</v>
      </c>
      <c r="I12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4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6"/>
  <cols>
    <col min="1" max="1" width="20.25" customWidth="1"/>
    <col min="2" max="4" width="15.375" customWidth="1"/>
    <col min="5" max="5" width="20.625" customWidth="1"/>
    <col min="6" max="6" width="46.875" customWidth="1"/>
    <col min="7" max="7" width="11.875" customWidth="1"/>
  </cols>
  <sheetData>
    <row r="1" ht="29.25" spans="1:7">
      <c r="A1" s="3" t="s">
        <v>52</v>
      </c>
      <c r="B1" s="3" t="s">
        <v>49</v>
      </c>
      <c r="C1" s="24" t="s">
        <v>48</v>
      </c>
      <c r="D1" s="24" t="s">
        <v>50</v>
      </c>
      <c r="E1" s="3" t="s">
        <v>71</v>
      </c>
      <c r="F1" s="3" t="s">
        <v>72</v>
      </c>
      <c r="G1" s="3" t="s">
        <v>73</v>
      </c>
    </row>
    <row r="2" spans="1:7">
      <c r="A2" s="25" t="s">
        <v>65</v>
      </c>
      <c r="B2" s="25" t="s">
        <v>60</v>
      </c>
      <c r="C2" s="26" t="s">
        <v>2</v>
      </c>
      <c r="D2" s="26" t="s">
        <v>4</v>
      </c>
      <c r="E2" s="25" t="s">
        <v>74</v>
      </c>
      <c r="F2" s="25" t="s">
        <v>75</v>
      </c>
      <c r="G2" s="25">
        <v>1</v>
      </c>
    </row>
    <row r="3" spans="1:7">
      <c r="A3" s="25" t="s">
        <v>65</v>
      </c>
      <c r="B3" s="25" t="s">
        <v>60</v>
      </c>
      <c r="C3" s="26" t="s">
        <v>2</v>
      </c>
      <c r="D3" s="26" t="s">
        <v>4</v>
      </c>
      <c r="E3" s="25" t="s">
        <v>76</v>
      </c>
      <c r="F3" s="25" t="s">
        <v>77</v>
      </c>
      <c r="G3" s="25">
        <v>2</v>
      </c>
    </row>
    <row r="4" spans="1:7">
      <c r="A4" s="25" t="s">
        <v>65</v>
      </c>
      <c r="B4" s="25" t="s">
        <v>60</v>
      </c>
      <c r="C4" s="26" t="s">
        <v>2</v>
      </c>
      <c r="D4" s="26" t="s">
        <v>4</v>
      </c>
      <c r="E4" s="25" t="s">
        <v>78</v>
      </c>
      <c r="F4" s="25" t="s">
        <v>79</v>
      </c>
      <c r="G4" s="25">
        <v>1</v>
      </c>
    </row>
    <row r="5" spans="1:7">
      <c r="A5" s="25" t="s">
        <v>65</v>
      </c>
      <c r="B5" s="25" t="s">
        <v>60</v>
      </c>
      <c r="C5" s="26" t="s">
        <v>2</v>
      </c>
      <c r="D5" s="26" t="s">
        <v>4</v>
      </c>
      <c r="E5" s="25" t="s">
        <v>80</v>
      </c>
      <c r="F5" s="25" t="s">
        <v>81</v>
      </c>
      <c r="G5" s="25">
        <v>1</v>
      </c>
    </row>
    <row r="6" spans="1:7">
      <c r="A6" s="25" t="s">
        <v>65</v>
      </c>
      <c r="B6" s="25" t="s">
        <v>60</v>
      </c>
      <c r="C6" s="26" t="s">
        <v>2</v>
      </c>
      <c r="D6" s="26" t="s">
        <v>4</v>
      </c>
      <c r="E6" s="25" t="s">
        <v>82</v>
      </c>
      <c r="F6" s="25" t="s">
        <v>83</v>
      </c>
      <c r="G6" s="25">
        <v>1</v>
      </c>
    </row>
    <row r="7" spans="1:7">
      <c r="A7" s="25" t="s">
        <v>65</v>
      </c>
      <c r="B7" s="25" t="s">
        <v>60</v>
      </c>
      <c r="C7" s="26" t="s">
        <v>2</v>
      </c>
      <c r="D7" s="26" t="s">
        <v>4</v>
      </c>
      <c r="E7" s="25" t="s">
        <v>84</v>
      </c>
      <c r="F7" s="25" t="s">
        <v>85</v>
      </c>
      <c r="G7" s="25">
        <v>1</v>
      </c>
    </row>
    <row r="8" spans="1:7">
      <c r="A8" s="25" t="s">
        <v>65</v>
      </c>
      <c r="B8" s="25" t="s">
        <v>60</v>
      </c>
      <c r="C8" s="26" t="s">
        <v>2</v>
      </c>
      <c r="D8" s="26" t="s">
        <v>4</v>
      </c>
      <c r="E8" s="25" t="s">
        <v>86</v>
      </c>
      <c r="F8" s="25" t="s">
        <v>87</v>
      </c>
      <c r="G8" s="25">
        <v>1</v>
      </c>
    </row>
    <row r="9" spans="1:7">
      <c r="A9" s="25" t="s">
        <v>65</v>
      </c>
      <c r="B9" s="25" t="s">
        <v>60</v>
      </c>
      <c r="C9" s="26" t="s">
        <v>2</v>
      </c>
      <c r="D9" s="26" t="s">
        <v>4</v>
      </c>
      <c r="E9" s="25" t="s">
        <v>88</v>
      </c>
      <c r="F9" s="25" t="s">
        <v>89</v>
      </c>
      <c r="G9" s="25">
        <v>2</v>
      </c>
    </row>
    <row r="10" spans="1:7">
      <c r="A10" s="25" t="s">
        <v>68</v>
      </c>
      <c r="B10" s="25" t="s">
        <v>66</v>
      </c>
      <c r="C10" s="26" t="s">
        <v>2</v>
      </c>
      <c r="D10" s="26" t="s">
        <v>4</v>
      </c>
      <c r="E10" s="25" t="s">
        <v>90</v>
      </c>
      <c r="F10" s="25" t="s">
        <v>91</v>
      </c>
      <c r="G10" s="25">
        <v>1</v>
      </c>
    </row>
    <row r="11" spans="1:7">
      <c r="A11" s="25" t="s">
        <v>59</v>
      </c>
      <c r="B11" s="25" t="s">
        <v>2</v>
      </c>
      <c r="C11" s="26" t="s">
        <v>2</v>
      </c>
      <c r="D11" s="26" t="s">
        <v>4</v>
      </c>
      <c r="E11" s="25" t="s">
        <v>92</v>
      </c>
      <c r="F11" s="25" t="s">
        <v>93</v>
      </c>
      <c r="G11" s="25">
        <v>1</v>
      </c>
    </row>
    <row r="12" spans="1:7">
      <c r="A12" s="25" t="s">
        <v>64</v>
      </c>
      <c r="B12" s="25" t="s">
        <v>60</v>
      </c>
      <c r="C12" s="26" t="s">
        <v>2</v>
      </c>
      <c r="D12" s="26" t="s">
        <v>4</v>
      </c>
      <c r="E12" s="25" t="s">
        <v>94</v>
      </c>
      <c r="F12" s="25" t="s">
        <v>95</v>
      </c>
      <c r="G12" s="25">
        <v>1</v>
      </c>
    </row>
    <row r="13" spans="1:7">
      <c r="A13" s="25" t="s">
        <v>63</v>
      </c>
      <c r="B13" s="25" t="s">
        <v>60</v>
      </c>
      <c r="C13" s="26" t="s">
        <v>2</v>
      </c>
      <c r="D13" s="26" t="s">
        <v>4</v>
      </c>
      <c r="E13" s="25" t="s">
        <v>96</v>
      </c>
      <c r="F13" s="25" t="s">
        <v>97</v>
      </c>
      <c r="G13" s="25">
        <v>1</v>
      </c>
    </row>
    <row r="14" spans="1:7">
      <c r="A14" s="25" t="s">
        <v>67</v>
      </c>
      <c r="B14" s="25" t="s">
        <v>66</v>
      </c>
      <c r="C14" s="26" t="s">
        <v>2</v>
      </c>
      <c r="D14" s="26" t="s">
        <v>4</v>
      </c>
      <c r="E14" s="25" t="s">
        <v>98</v>
      </c>
      <c r="F14" s="25" t="s">
        <v>99</v>
      </c>
      <c r="G14" s="25">
        <v>1</v>
      </c>
    </row>
    <row r="15" spans="1:7">
      <c r="A15" s="25" t="s">
        <v>67</v>
      </c>
      <c r="B15" s="25" t="s">
        <v>66</v>
      </c>
      <c r="C15" s="26" t="s">
        <v>2</v>
      </c>
      <c r="D15" s="26" t="s">
        <v>4</v>
      </c>
      <c r="E15" s="25" t="s">
        <v>100</v>
      </c>
      <c r="F15" s="25" t="s">
        <v>101</v>
      </c>
      <c r="G15" s="25">
        <v>1</v>
      </c>
    </row>
    <row r="16" spans="1:7">
      <c r="A16" s="25" t="s">
        <v>67</v>
      </c>
      <c r="B16" s="25" t="s">
        <v>66</v>
      </c>
      <c r="C16" s="26" t="s">
        <v>2</v>
      </c>
      <c r="D16" s="26" t="s">
        <v>4</v>
      </c>
      <c r="E16" s="25" t="s">
        <v>102</v>
      </c>
      <c r="F16" s="25" t="s">
        <v>103</v>
      </c>
      <c r="G16" s="25">
        <v>2</v>
      </c>
    </row>
    <row r="17" spans="1:7">
      <c r="A17" s="25" t="s">
        <v>67</v>
      </c>
      <c r="B17" s="25" t="s">
        <v>66</v>
      </c>
      <c r="C17" s="26" t="s">
        <v>2</v>
      </c>
      <c r="D17" s="26" t="s">
        <v>4</v>
      </c>
      <c r="E17" s="25" t="s">
        <v>104</v>
      </c>
      <c r="F17" s="25" t="s">
        <v>105</v>
      </c>
      <c r="G17" s="25">
        <v>1</v>
      </c>
    </row>
    <row r="18" spans="1:7">
      <c r="A18" s="25" t="s">
        <v>67</v>
      </c>
      <c r="B18" s="25" t="s">
        <v>66</v>
      </c>
      <c r="C18" s="26" t="s">
        <v>2</v>
      </c>
      <c r="D18" s="26" t="s">
        <v>4</v>
      </c>
      <c r="E18" s="25" t="s">
        <v>106</v>
      </c>
      <c r="F18" s="25" t="s">
        <v>107</v>
      </c>
      <c r="G18" s="25">
        <v>2</v>
      </c>
    </row>
    <row r="19" spans="1:7">
      <c r="A19" s="25" t="s">
        <v>67</v>
      </c>
      <c r="B19" s="25" t="s">
        <v>66</v>
      </c>
      <c r="C19" s="26" t="s">
        <v>2</v>
      </c>
      <c r="D19" s="26" t="s">
        <v>4</v>
      </c>
      <c r="E19" s="25" t="s">
        <v>108</v>
      </c>
      <c r="F19" s="25" t="s">
        <v>109</v>
      </c>
      <c r="G19" s="25">
        <v>2</v>
      </c>
    </row>
    <row r="20" spans="1:7">
      <c r="A20" s="25" t="s">
        <v>67</v>
      </c>
      <c r="B20" s="25" t="s">
        <v>66</v>
      </c>
      <c r="C20" s="26" t="s">
        <v>2</v>
      </c>
      <c r="D20" s="26" t="s">
        <v>4</v>
      </c>
      <c r="E20" s="25" t="s">
        <v>110</v>
      </c>
      <c r="F20" s="25" t="s">
        <v>111</v>
      </c>
      <c r="G20" s="25">
        <v>1</v>
      </c>
    </row>
    <row r="21" spans="1:7">
      <c r="A21" s="25" t="s">
        <v>67</v>
      </c>
      <c r="B21" s="25" t="s">
        <v>66</v>
      </c>
      <c r="C21" s="26" t="s">
        <v>2</v>
      </c>
      <c r="D21" s="26" t="s">
        <v>4</v>
      </c>
      <c r="E21" s="25" t="s">
        <v>112</v>
      </c>
      <c r="F21" s="25" t="s">
        <v>113</v>
      </c>
      <c r="G21" s="25">
        <v>2</v>
      </c>
    </row>
    <row r="22" spans="1:7">
      <c r="A22" s="25" t="s">
        <v>67</v>
      </c>
      <c r="B22" s="25" t="s">
        <v>66</v>
      </c>
      <c r="C22" s="26" t="s">
        <v>2</v>
      </c>
      <c r="D22" s="26" t="s">
        <v>4</v>
      </c>
      <c r="E22" s="25" t="s">
        <v>114</v>
      </c>
      <c r="F22" s="25" t="s">
        <v>115</v>
      </c>
      <c r="G22" s="25">
        <v>1</v>
      </c>
    </row>
    <row r="23" spans="1:7">
      <c r="A23" s="25" t="s">
        <v>67</v>
      </c>
      <c r="B23" s="25" t="s">
        <v>66</v>
      </c>
      <c r="C23" s="26" t="s">
        <v>2</v>
      </c>
      <c r="D23" s="26" t="s">
        <v>4</v>
      </c>
      <c r="E23" s="25" t="s">
        <v>116</v>
      </c>
      <c r="F23" s="25" t="s">
        <v>117</v>
      </c>
      <c r="G23" s="25">
        <v>1</v>
      </c>
    </row>
    <row r="24" spans="1:7">
      <c r="A24" s="25" t="s">
        <v>67</v>
      </c>
      <c r="B24" s="25" t="s">
        <v>66</v>
      </c>
      <c r="C24" s="26" t="s">
        <v>2</v>
      </c>
      <c r="D24" s="26" t="s">
        <v>4</v>
      </c>
      <c r="E24" s="25" t="s">
        <v>118</v>
      </c>
      <c r="F24" s="25" t="s">
        <v>119</v>
      </c>
      <c r="G24" s="25">
        <v>1</v>
      </c>
    </row>
    <row r="25" spans="1:7">
      <c r="A25" s="25" t="s">
        <v>67</v>
      </c>
      <c r="B25" s="25" t="s">
        <v>66</v>
      </c>
      <c r="C25" s="26" t="s">
        <v>2</v>
      </c>
      <c r="D25" s="26" t="s">
        <v>4</v>
      </c>
      <c r="E25" s="25" t="s">
        <v>120</v>
      </c>
      <c r="F25" s="25" t="s">
        <v>121</v>
      </c>
      <c r="G25" s="25">
        <v>32</v>
      </c>
    </row>
    <row r="26" spans="1:7">
      <c r="A26" s="25" t="s">
        <v>67</v>
      </c>
      <c r="B26" s="25" t="s">
        <v>66</v>
      </c>
      <c r="C26" s="26" t="s">
        <v>2</v>
      </c>
      <c r="D26" s="26" t="s">
        <v>4</v>
      </c>
      <c r="E26" s="25" t="s">
        <v>122</v>
      </c>
      <c r="F26" s="25" t="s">
        <v>123</v>
      </c>
      <c r="G26" s="25">
        <v>1</v>
      </c>
    </row>
    <row r="27" spans="1:7">
      <c r="A27" s="25" t="s">
        <v>67</v>
      </c>
      <c r="B27" s="25" t="s">
        <v>66</v>
      </c>
      <c r="C27" s="26" t="s">
        <v>2</v>
      </c>
      <c r="D27" s="26" t="s">
        <v>4</v>
      </c>
      <c r="E27" s="25" t="s">
        <v>124</v>
      </c>
      <c r="F27" s="25" t="s">
        <v>125</v>
      </c>
      <c r="G27" s="25">
        <v>2</v>
      </c>
    </row>
    <row r="28" spans="1:7">
      <c r="A28" s="25" t="s">
        <v>67</v>
      </c>
      <c r="B28" s="25" t="s">
        <v>66</v>
      </c>
      <c r="C28" s="26" t="s">
        <v>2</v>
      </c>
      <c r="D28" s="26" t="s">
        <v>4</v>
      </c>
      <c r="E28" s="25" t="s">
        <v>126</v>
      </c>
      <c r="F28" s="25" t="s">
        <v>127</v>
      </c>
      <c r="G28" s="25">
        <v>1</v>
      </c>
    </row>
    <row r="29" spans="1:7">
      <c r="A29" s="25" t="s">
        <v>67</v>
      </c>
      <c r="B29" s="25" t="s">
        <v>66</v>
      </c>
      <c r="C29" s="26" t="s">
        <v>2</v>
      </c>
      <c r="D29" s="26" t="s">
        <v>4</v>
      </c>
      <c r="E29" s="25" t="s">
        <v>128</v>
      </c>
      <c r="F29" s="25" t="s">
        <v>129</v>
      </c>
      <c r="G29" s="25">
        <v>1</v>
      </c>
    </row>
    <row r="30" spans="1:7">
      <c r="A30" s="25" t="s">
        <v>67</v>
      </c>
      <c r="B30" s="25" t="s">
        <v>66</v>
      </c>
      <c r="C30" s="26" t="s">
        <v>2</v>
      </c>
      <c r="D30" s="26" t="s">
        <v>4</v>
      </c>
      <c r="E30" s="25" t="s">
        <v>130</v>
      </c>
      <c r="F30" s="25" t="s">
        <v>131</v>
      </c>
      <c r="G30" s="25">
        <v>1</v>
      </c>
    </row>
    <row r="31" spans="1:7">
      <c r="A31" s="25" t="s">
        <v>67</v>
      </c>
      <c r="B31" s="25" t="s">
        <v>66</v>
      </c>
      <c r="C31" s="26" t="s">
        <v>2</v>
      </c>
      <c r="D31" s="26" t="s">
        <v>4</v>
      </c>
      <c r="E31" s="25" t="s">
        <v>132</v>
      </c>
      <c r="F31" s="25" t="s">
        <v>133</v>
      </c>
      <c r="G31" s="25">
        <v>1</v>
      </c>
    </row>
    <row r="32" spans="1:7">
      <c r="A32" s="25" t="s">
        <v>67</v>
      </c>
      <c r="B32" s="25" t="s">
        <v>66</v>
      </c>
      <c r="C32" s="26" t="s">
        <v>2</v>
      </c>
      <c r="D32" s="26" t="s">
        <v>4</v>
      </c>
      <c r="E32" s="25" t="s">
        <v>134</v>
      </c>
      <c r="F32" s="25" t="s">
        <v>135</v>
      </c>
      <c r="G32" s="25">
        <v>1</v>
      </c>
    </row>
    <row r="33" spans="1:7">
      <c r="A33" s="25" t="s">
        <v>67</v>
      </c>
      <c r="B33" s="25" t="s">
        <v>66</v>
      </c>
      <c r="C33" s="26" t="s">
        <v>2</v>
      </c>
      <c r="D33" s="26" t="s">
        <v>4</v>
      </c>
      <c r="E33" s="25" t="s">
        <v>136</v>
      </c>
      <c r="F33" s="25" t="s">
        <v>137</v>
      </c>
      <c r="G33" s="25">
        <v>3</v>
      </c>
    </row>
    <row r="34" spans="1:7">
      <c r="A34" s="25" t="s">
        <v>67</v>
      </c>
      <c r="B34" s="25" t="s">
        <v>66</v>
      </c>
      <c r="C34" s="26" t="s">
        <v>2</v>
      </c>
      <c r="D34" s="26" t="s">
        <v>4</v>
      </c>
      <c r="E34" s="25" t="s">
        <v>138</v>
      </c>
      <c r="F34" s="25" t="s">
        <v>139</v>
      </c>
      <c r="G34" s="25">
        <v>1</v>
      </c>
    </row>
    <row r="35" spans="1:7">
      <c r="A35" s="25" t="s">
        <v>67</v>
      </c>
      <c r="B35" s="25" t="s">
        <v>66</v>
      </c>
      <c r="C35" s="26" t="s">
        <v>2</v>
      </c>
      <c r="D35" s="26" t="s">
        <v>4</v>
      </c>
      <c r="E35" s="25" t="s">
        <v>140</v>
      </c>
      <c r="F35" s="25" t="s">
        <v>141</v>
      </c>
      <c r="G35" s="25">
        <v>1</v>
      </c>
    </row>
    <row r="36" spans="1:7">
      <c r="A36" s="25" t="s">
        <v>67</v>
      </c>
      <c r="B36" s="25" t="s">
        <v>66</v>
      </c>
      <c r="C36" s="26" t="s">
        <v>2</v>
      </c>
      <c r="D36" s="26" t="s">
        <v>4</v>
      </c>
      <c r="E36" s="25" t="s">
        <v>142</v>
      </c>
      <c r="F36" s="25" t="s">
        <v>143</v>
      </c>
      <c r="G36" s="25">
        <v>1</v>
      </c>
    </row>
    <row r="37" spans="1:7">
      <c r="A37" s="25" t="s">
        <v>67</v>
      </c>
      <c r="B37" s="25" t="s">
        <v>66</v>
      </c>
      <c r="C37" s="26" t="s">
        <v>2</v>
      </c>
      <c r="D37" s="26" t="s">
        <v>4</v>
      </c>
      <c r="E37" s="25" t="s">
        <v>144</v>
      </c>
      <c r="F37" s="25" t="s">
        <v>145</v>
      </c>
      <c r="G37" s="25">
        <v>1</v>
      </c>
    </row>
    <row r="38" spans="1:7">
      <c r="A38" s="25" t="s">
        <v>67</v>
      </c>
      <c r="B38" s="25" t="s">
        <v>66</v>
      </c>
      <c r="C38" s="26" t="s">
        <v>2</v>
      </c>
      <c r="D38" s="26" t="s">
        <v>4</v>
      </c>
      <c r="E38" s="25" t="s">
        <v>146</v>
      </c>
      <c r="F38" s="25" t="s">
        <v>147</v>
      </c>
      <c r="G38" s="25">
        <v>1</v>
      </c>
    </row>
    <row r="39" spans="1:7">
      <c r="A39" s="25" t="s">
        <v>67</v>
      </c>
      <c r="B39" s="25" t="s">
        <v>66</v>
      </c>
      <c r="C39" s="26" t="s">
        <v>2</v>
      </c>
      <c r="D39" s="26" t="s">
        <v>4</v>
      </c>
      <c r="E39" s="25" t="s">
        <v>148</v>
      </c>
      <c r="F39" s="25" t="s">
        <v>149</v>
      </c>
      <c r="G39" s="25">
        <v>1</v>
      </c>
    </row>
    <row r="40" spans="1:7">
      <c r="A40" s="25" t="s">
        <v>67</v>
      </c>
      <c r="B40" s="25" t="s">
        <v>66</v>
      </c>
      <c r="C40" s="26" t="s">
        <v>2</v>
      </c>
      <c r="D40" s="26" t="s">
        <v>4</v>
      </c>
      <c r="E40" s="25" t="s">
        <v>150</v>
      </c>
      <c r="F40" s="25" t="s">
        <v>151</v>
      </c>
      <c r="G40" s="25">
        <v>2</v>
      </c>
    </row>
    <row r="41" spans="1:7">
      <c r="A41" s="25" t="s">
        <v>67</v>
      </c>
      <c r="B41" s="25" t="s">
        <v>66</v>
      </c>
      <c r="C41" s="26" t="s">
        <v>2</v>
      </c>
      <c r="D41" s="26" t="s">
        <v>4</v>
      </c>
      <c r="E41" s="25" t="s">
        <v>152</v>
      </c>
      <c r="F41" s="25" t="s">
        <v>153</v>
      </c>
      <c r="G41" s="25">
        <v>1</v>
      </c>
    </row>
    <row r="42" spans="1:7">
      <c r="A42" s="25" t="s">
        <v>70</v>
      </c>
      <c r="B42" s="25" t="s">
        <v>66</v>
      </c>
      <c r="C42" s="26" t="s">
        <v>2</v>
      </c>
      <c r="D42" s="26" t="s">
        <v>4</v>
      </c>
      <c r="E42" s="25" t="s">
        <v>154</v>
      </c>
      <c r="F42" s="25" t="s">
        <v>155</v>
      </c>
      <c r="G42" s="25">
        <v>1</v>
      </c>
    </row>
    <row r="43" spans="1:7">
      <c r="A43" s="25" t="s">
        <v>58</v>
      </c>
      <c r="B43" s="25" t="s">
        <v>2</v>
      </c>
      <c r="C43" s="26" t="s">
        <v>2</v>
      </c>
      <c r="D43" s="26" t="s">
        <v>4</v>
      </c>
      <c r="E43" s="25" t="s">
        <v>156</v>
      </c>
      <c r="F43" s="25" t="s">
        <v>157</v>
      </c>
      <c r="G43" s="25">
        <v>1</v>
      </c>
    </row>
    <row r="44" spans="1:7">
      <c r="A44" s="25" t="s">
        <v>62</v>
      </c>
      <c r="B44" s="25" t="s">
        <v>60</v>
      </c>
      <c r="C44" s="26" t="s">
        <v>2</v>
      </c>
      <c r="D44" s="26" t="s">
        <v>4</v>
      </c>
      <c r="E44" s="25" t="s">
        <v>96</v>
      </c>
      <c r="F44" s="25" t="s">
        <v>97</v>
      </c>
      <c r="G44" s="25">
        <v>1</v>
      </c>
    </row>
    <row r="45" spans="1:7">
      <c r="A45" s="25" t="s">
        <v>61</v>
      </c>
      <c r="B45" s="25" t="s">
        <v>60</v>
      </c>
      <c r="C45" s="26" t="s">
        <v>2</v>
      </c>
      <c r="D45" s="26" t="s">
        <v>4</v>
      </c>
      <c r="E45" s="25" t="s">
        <v>158</v>
      </c>
      <c r="F45" s="25" t="s">
        <v>159</v>
      </c>
      <c r="G45" s="25">
        <v>1</v>
      </c>
    </row>
    <row r="46" spans="1:7">
      <c r="A46" s="25" t="s">
        <v>69</v>
      </c>
      <c r="B46" s="25" t="s">
        <v>66</v>
      </c>
      <c r="C46" s="26" t="s">
        <v>2</v>
      </c>
      <c r="D46" s="26" t="s">
        <v>4</v>
      </c>
      <c r="E46" s="25" t="s">
        <v>160</v>
      </c>
      <c r="F46" s="25" t="s">
        <v>161</v>
      </c>
      <c r="G46" s="25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2.75"/>
  <cols>
    <col min="1" max="16384" width="9" style="22"/>
  </cols>
  <sheetData>
    <row r="1" spans="1:17">
      <c r="A1" s="19" t="s">
        <v>25</v>
      </c>
      <c r="B1" s="19" t="s">
        <v>26</v>
      </c>
      <c r="C1" s="20" t="s">
        <v>27</v>
      </c>
      <c r="D1" s="20" t="s">
        <v>1</v>
      </c>
      <c r="E1" s="19" t="s">
        <v>28</v>
      </c>
      <c r="F1" s="19" t="s">
        <v>29</v>
      </c>
      <c r="G1" s="19" t="s">
        <v>30</v>
      </c>
      <c r="H1" s="19" t="s">
        <v>31</v>
      </c>
      <c r="I1" s="19" t="s">
        <v>32</v>
      </c>
      <c r="J1" s="19" t="s">
        <v>33</v>
      </c>
      <c r="K1" s="19" t="s">
        <v>34</v>
      </c>
      <c r="L1" s="19" t="s">
        <v>35</v>
      </c>
      <c r="M1" s="19" t="s">
        <v>36</v>
      </c>
      <c r="N1" s="19" t="s">
        <v>37</v>
      </c>
      <c r="O1" s="19" t="s">
        <v>38</v>
      </c>
      <c r="P1" s="19" t="s">
        <v>7</v>
      </c>
      <c r="Q1" s="21" t="s">
        <v>39</v>
      </c>
    </row>
    <row r="2" spans="1:17">
      <c r="A2" s="22" t="s">
        <v>162</v>
      </c>
      <c r="B2" s="23">
        <v>45573.893125</v>
      </c>
      <c r="C2" s="22" t="s">
        <v>4</v>
      </c>
      <c r="D2" s="22" t="s">
        <v>2</v>
      </c>
      <c r="F2" s="22" t="s">
        <v>41</v>
      </c>
      <c r="G2" s="22" t="s">
        <v>163</v>
      </c>
      <c r="H2" s="22" t="s">
        <v>164</v>
      </c>
      <c r="I2" s="22" t="s">
        <v>44</v>
      </c>
      <c r="J2" s="22" t="s">
        <v>45</v>
      </c>
      <c r="K2" s="22" t="s">
        <v>46</v>
      </c>
      <c r="L2" s="22">
        <v>378.69</v>
      </c>
      <c r="M2" s="22">
        <v>-378.69</v>
      </c>
      <c r="N2" s="22">
        <v>31857.57</v>
      </c>
      <c r="P2" s="22" t="s">
        <v>165</v>
      </c>
      <c r="Q2" s="22">
        <v>202410</v>
      </c>
    </row>
    <row r="3" spans="1:17">
      <c r="A3" s="22" t="s">
        <v>166</v>
      </c>
      <c r="B3" s="23">
        <v>45573.893125</v>
      </c>
      <c r="C3" s="22" t="s">
        <v>4</v>
      </c>
      <c r="D3" s="22" t="s">
        <v>2</v>
      </c>
      <c r="F3" s="22" t="s">
        <v>41</v>
      </c>
      <c r="G3" s="22" t="s">
        <v>163</v>
      </c>
      <c r="H3" s="22" t="s">
        <v>164</v>
      </c>
      <c r="I3" s="22" t="s">
        <v>44</v>
      </c>
      <c r="J3" s="22" t="s">
        <v>45</v>
      </c>
      <c r="K3" s="22" t="s">
        <v>46</v>
      </c>
      <c r="L3" s="22">
        <v>378.69</v>
      </c>
      <c r="M3" s="22">
        <v>-378.69</v>
      </c>
      <c r="N3" s="22">
        <v>32236.26</v>
      </c>
      <c r="P3" s="22" t="s">
        <v>167</v>
      </c>
      <c r="Q3" s="22">
        <v>202410</v>
      </c>
    </row>
    <row r="4" spans="1:17">
      <c r="A4" s="22" t="s">
        <v>168</v>
      </c>
      <c r="B4" s="23">
        <v>45573.893125</v>
      </c>
      <c r="C4" s="22" t="s">
        <v>4</v>
      </c>
      <c r="D4" s="22" t="s">
        <v>2</v>
      </c>
      <c r="F4" s="22" t="s">
        <v>41</v>
      </c>
      <c r="G4" s="22" t="s">
        <v>163</v>
      </c>
      <c r="H4" s="22" t="s">
        <v>164</v>
      </c>
      <c r="I4" s="22" t="s">
        <v>44</v>
      </c>
      <c r="J4" s="22" t="s">
        <v>45</v>
      </c>
      <c r="K4" s="22" t="s">
        <v>46</v>
      </c>
      <c r="L4" s="22">
        <v>378.69</v>
      </c>
      <c r="M4" s="22">
        <v>-378.69</v>
      </c>
      <c r="N4" s="22">
        <v>32614.95</v>
      </c>
      <c r="P4" s="22" t="s">
        <v>169</v>
      </c>
      <c r="Q4" s="22">
        <v>202410</v>
      </c>
    </row>
    <row r="5" spans="1:17">
      <c r="A5" s="22" t="s">
        <v>170</v>
      </c>
      <c r="B5" s="23">
        <v>45573.893125</v>
      </c>
      <c r="C5" s="22" t="s">
        <v>4</v>
      </c>
      <c r="D5" s="22" t="s">
        <v>2</v>
      </c>
      <c r="F5" s="22" t="s">
        <v>41</v>
      </c>
      <c r="G5" s="22" t="s">
        <v>163</v>
      </c>
      <c r="H5" s="22" t="s">
        <v>164</v>
      </c>
      <c r="I5" s="22" t="s">
        <v>44</v>
      </c>
      <c r="J5" s="22" t="s">
        <v>45</v>
      </c>
      <c r="K5" s="22" t="s">
        <v>46</v>
      </c>
      <c r="L5" s="22">
        <v>378.69</v>
      </c>
      <c r="M5" s="22">
        <v>-378.69</v>
      </c>
      <c r="N5" s="22">
        <v>32993.64</v>
      </c>
      <c r="P5" s="22" t="s">
        <v>171</v>
      </c>
      <c r="Q5" s="22">
        <v>202410</v>
      </c>
    </row>
    <row r="6" spans="1:17">
      <c r="A6" s="22" t="s">
        <v>172</v>
      </c>
      <c r="B6" s="23">
        <v>45573.893125</v>
      </c>
      <c r="C6" s="22" t="s">
        <v>4</v>
      </c>
      <c r="D6" s="22" t="s">
        <v>2</v>
      </c>
      <c r="F6" s="22" t="s">
        <v>41</v>
      </c>
      <c r="G6" s="22" t="s">
        <v>163</v>
      </c>
      <c r="H6" s="22" t="s">
        <v>164</v>
      </c>
      <c r="I6" s="22" t="s">
        <v>44</v>
      </c>
      <c r="J6" s="22" t="s">
        <v>45</v>
      </c>
      <c r="K6" s="22" t="s">
        <v>46</v>
      </c>
      <c r="L6" s="22">
        <v>378.69</v>
      </c>
      <c r="M6" s="22">
        <v>-378.69</v>
      </c>
      <c r="N6" s="22">
        <v>33372.33</v>
      </c>
      <c r="P6" s="22" t="s">
        <v>173</v>
      </c>
      <c r="Q6" s="22">
        <v>202410</v>
      </c>
    </row>
    <row r="7" spans="1:17">
      <c r="A7" s="22" t="s">
        <v>174</v>
      </c>
      <c r="B7" s="23">
        <v>45573.893125</v>
      </c>
      <c r="C7" s="22" t="s">
        <v>4</v>
      </c>
      <c r="D7" s="22" t="s">
        <v>2</v>
      </c>
      <c r="F7" s="22" t="s">
        <v>41</v>
      </c>
      <c r="G7" s="22" t="s">
        <v>163</v>
      </c>
      <c r="H7" s="22" t="s">
        <v>164</v>
      </c>
      <c r="I7" s="22" t="s">
        <v>44</v>
      </c>
      <c r="J7" s="22" t="s">
        <v>45</v>
      </c>
      <c r="K7" s="22" t="s">
        <v>46</v>
      </c>
      <c r="L7" s="22">
        <v>378.69</v>
      </c>
      <c r="M7" s="22">
        <v>-378.69</v>
      </c>
      <c r="N7" s="22">
        <v>33751.02</v>
      </c>
      <c r="P7" s="22" t="s">
        <v>175</v>
      </c>
      <c r="Q7" s="22">
        <v>202410</v>
      </c>
    </row>
    <row r="8" spans="1:17">
      <c r="A8" s="22" t="s">
        <v>176</v>
      </c>
      <c r="B8" s="23">
        <v>45573.893125</v>
      </c>
      <c r="C8" s="22" t="s">
        <v>4</v>
      </c>
      <c r="D8" s="22" t="s">
        <v>2</v>
      </c>
      <c r="F8" s="22" t="s">
        <v>41</v>
      </c>
      <c r="G8" s="22" t="s">
        <v>163</v>
      </c>
      <c r="H8" s="22" t="s">
        <v>164</v>
      </c>
      <c r="I8" s="22" t="s">
        <v>44</v>
      </c>
      <c r="J8" s="22" t="s">
        <v>45</v>
      </c>
      <c r="K8" s="22" t="s">
        <v>46</v>
      </c>
      <c r="L8" s="22">
        <v>378.69</v>
      </c>
      <c r="M8" s="22">
        <v>-378.69</v>
      </c>
      <c r="N8" s="22">
        <v>34129.71</v>
      </c>
      <c r="P8" s="22" t="s">
        <v>177</v>
      </c>
      <c r="Q8" s="22">
        <v>202410</v>
      </c>
    </row>
    <row r="9" spans="1:17">
      <c r="A9" s="22" t="s">
        <v>178</v>
      </c>
      <c r="B9" s="23">
        <v>45573.893125</v>
      </c>
      <c r="C9" s="22" t="s">
        <v>4</v>
      </c>
      <c r="D9" s="22" t="s">
        <v>2</v>
      </c>
      <c r="F9" s="22" t="s">
        <v>41</v>
      </c>
      <c r="G9" s="22" t="s">
        <v>163</v>
      </c>
      <c r="H9" s="22" t="s">
        <v>164</v>
      </c>
      <c r="I9" s="22" t="s">
        <v>44</v>
      </c>
      <c r="J9" s="22" t="s">
        <v>45</v>
      </c>
      <c r="K9" s="22" t="s">
        <v>46</v>
      </c>
      <c r="L9" s="22">
        <v>378.69</v>
      </c>
      <c r="M9" s="22">
        <v>-378.69</v>
      </c>
      <c r="N9" s="22">
        <v>34508.4</v>
      </c>
      <c r="P9" s="22" t="s">
        <v>179</v>
      </c>
      <c r="Q9" s="22">
        <v>202410</v>
      </c>
    </row>
    <row r="10" spans="1:17">
      <c r="A10" s="22" t="s">
        <v>180</v>
      </c>
      <c r="B10" s="23">
        <v>45573.893125</v>
      </c>
      <c r="C10" s="22" t="s">
        <v>4</v>
      </c>
      <c r="D10" s="22" t="s">
        <v>2</v>
      </c>
      <c r="F10" s="22" t="s">
        <v>41</v>
      </c>
      <c r="G10" s="22" t="s">
        <v>163</v>
      </c>
      <c r="H10" s="22" t="s">
        <v>164</v>
      </c>
      <c r="I10" s="22" t="s">
        <v>44</v>
      </c>
      <c r="J10" s="22" t="s">
        <v>45</v>
      </c>
      <c r="K10" s="22" t="s">
        <v>46</v>
      </c>
      <c r="L10" s="22">
        <v>378.69</v>
      </c>
      <c r="M10" s="22">
        <v>-378.69</v>
      </c>
      <c r="N10" s="22">
        <v>34887.09</v>
      </c>
      <c r="P10" s="22" t="s">
        <v>181</v>
      </c>
      <c r="Q10" s="22">
        <v>202410</v>
      </c>
    </row>
    <row r="11" spans="1:17">
      <c r="A11" s="22" t="s">
        <v>182</v>
      </c>
      <c r="B11" s="23">
        <v>45573.893125</v>
      </c>
      <c r="C11" s="22" t="s">
        <v>4</v>
      </c>
      <c r="D11" s="22" t="s">
        <v>2</v>
      </c>
      <c r="F11" s="22" t="s">
        <v>41</v>
      </c>
      <c r="G11" s="22" t="s">
        <v>163</v>
      </c>
      <c r="H11" s="22" t="s">
        <v>164</v>
      </c>
      <c r="I11" s="22" t="s">
        <v>44</v>
      </c>
      <c r="J11" s="22" t="s">
        <v>45</v>
      </c>
      <c r="K11" s="22" t="s">
        <v>46</v>
      </c>
      <c r="L11" s="22">
        <v>378.69</v>
      </c>
      <c r="M11" s="22">
        <v>-378.69</v>
      </c>
      <c r="N11" s="22">
        <v>35265.78</v>
      </c>
      <c r="P11" s="22" t="s">
        <v>183</v>
      </c>
      <c r="Q11" s="22">
        <v>202410</v>
      </c>
    </row>
    <row r="12" spans="1:17">
      <c r="A12" s="22" t="s">
        <v>184</v>
      </c>
      <c r="B12" s="23">
        <v>45573.893125</v>
      </c>
      <c r="C12" s="22" t="s">
        <v>4</v>
      </c>
      <c r="D12" s="22" t="s">
        <v>2</v>
      </c>
      <c r="F12" s="22" t="s">
        <v>41</v>
      </c>
      <c r="G12" s="22" t="s">
        <v>163</v>
      </c>
      <c r="H12" s="22" t="s">
        <v>164</v>
      </c>
      <c r="I12" s="22" t="s">
        <v>44</v>
      </c>
      <c r="J12" s="22" t="s">
        <v>45</v>
      </c>
      <c r="K12" s="22" t="s">
        <v>46</v>
      </c>
      <c r="L12" s="22">
        <v>378.69</v>
      </c>
      <c r="M12" s="22">
        <v>-378.69</v>
      </c>
      <c r="N12" s="22">
        <v>35644.47</v>
      </c>
      <c r="P12" s="22" t="s">
        <v>185</v>
      </c>
      <c r="Q12" s="22">
        <v>202410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5" outlineLevelRow="2"/>
  <cols>
    <col min="1" max="1" width="9" style="18"/>
    <col min="2" max="2" width="15.375" style="18" customWidth="1"/>
    <col min="3" max="15" width="9" style="18"/>
    <col min="16" max="16" width="16.625" style="18" customWidth="1"/>
    <col min="17" max="16384" width="9" style="18"/>
  </cols>
  <sheetData>
    <row r="1" spans="1:17">
      <c r="A1" s="19" t="s">
        <v>25</v>
      </c>
      <c r="B1" s="19" t="s">
        <v>26</v>
      </c>
      <c r="C1" s="20" t="s">
        <v>27</v>
      </c>
      <c r="D1" s="20" t="s">
        <v>1</v>
      </c>
      <c r="E1" s="19" t="s">
        <v>28</v>
      </c>
      <c r="F1" s="19" t="s">
        <v>29</v>
      </c>
      <c r="G1" s="19" t="s">
        <v>30</v>
      </c>
      <c r="H1" s="19" t="s">
        <v>31</v>
      </c>
      <c r="I1" s="19" t="s">
        <v>32</v>
      </c>
      <c r="J1" s="19" t="s">
        <v>33</v>
      </c>
      <c r="K1" s="19" t="s">
        <v>34</v>
      </c>
      <c r="L1" s="19" t="s">
        <v>35</v>
      </c>
      <c r="M1" s="19" t="s">
        <v>36</v>
      </c>
      <c r="N1" s="19" t="s">
        <v>37</v>
      </c>
      <c r="O1" s="19" t="s">
        <v>38</v>
      </c>
      <c r="P1" s="19" t="s">
        <v>7</v>
      </c>
      <c r="Q1" s="21" t="s">
        <v>39</v>
      </c>
    </row>
    <row r="3" spans="1:1">
      <c r="A3" s="18" t="s">
        <v>186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4"/>
  <cols>
    <col min="1" max="1" width="25.625" customWidth="1"/>
    <col min="2" max="2" width="11" style="9" customWidth="1"/>
    <col min="3" max="3" width="9" customWidth="1"/>
    <col min="4" max="4" width="17.875" customWidth="1"/>
    <col min="5" max="5" width="9" customWidth="1"/>
    <col min="6" max="6" width="34.75" customWidth="1"/>
    <col min="7" max="7" width="25.12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22.5" customWidth="1"/>
    <col min="13" max="13" width="13.875" customWidth="1"/>
    <col min="14" max="14" width="14.125" customWidth="1"/>
    <col min="15" max="15" width="15.375" customWidth="1"/>
    <col min="16" max="16" width="18.125" customWidth="1"/>
  </cols>
  <sheetData>
    <row r="1" ht="43.5" customHeight="1" spans="1:16">
      <c r="A1" s="10" t="s">
        <v>187</v>
      </c>
      <c r="B1" s="11" t="s">
        <v>188</v>
      </c>
      <c r="C1" s="12" t="s">
        <v>189</v>
      </c>
      <c r="D1" s="13" t="s">
        <v>190</v>
      </c>
      <c r="E1" s="12" t="s">
        <v>191</v>
      </c>
      <c r="F1" s="14" t="s">
        <v>192</v>
      </c>
      <c r="G1" s="14" t="s">
        <v>193</v>
      </c>
      <c r="H1" s="15" t="s">
        <v>194</v>
      </c>
      <c r="I1" s="4" t="s">
        <v>195</v>
      </c>
      <c r="J1" s="4" t="s">
        <v>196</v>
      </c>
      <c r="K1" s="15" t="s">
        <v>197</v>
      </c>
      <c r="L1" s="14" t="s">
        <v>198</v>
      </c>
      <c r="M1" s="14" t="s">
        <v>199</v>
      </c>
      <c r="N1" s="16" t="s">
        <v>200</v>
      </c>
      <c r="O1" s="14" t="s">
        <v>201</v>
      </c>
      <c r="P1" s="15" t="s">
        <v>202</v>
      </c>
    </row>
    <row r="2" spans="1:16">
      <c r="A2" t="s">
        <v>203</v>
      </c>
      <c r="B2" s="9">
        <v>1069</v>
      </c>
      <c r="C2" t="s">
        <v>46</v>
      </c>
      <c r="F2" t="s">
        <v>204</v>
      </c>
      <c r="G2" t="s">
        <v>205</v>
      </c>
      <c r="H2" t="s">
        <v>66</v>
      </c>
      <c r="I2" t="s">
        <v>2</v>
      </c>
      <c r="J2" t="s">
        <v>4</v>
      </c>
      <c r="K2" t="s">
        <v>206</v>
      </c>
      <c r="L2" t="s">
        <v>207</v>
      </c>
      <c r="M2">
        <v>1</v>
      </c>
      <c r="N2">
        <v>202410</v>
      </c>
      <c r="O2" s="17">
        <v>45577.5824421296</v>
      </c>
      <c r="P2" t="s">
        <v>208</v>
      </c>
    </row>
    <row r="3" spans="1:16">
      <c r="A3" t="s">
        <v>203</v>
      </c>
      <c r="B3" s="9">
        <v>654</v>
      </c>
      <c r="C3" t="s">
        <v>46</v>
      </c>
      <c r="F3" t="s">
        <v>209</v>
      </c>
      <c r="G3" t="s">
        <v>210</v>
      </c>
      <c r="H3" t="s">
        <v>2</v>
      </c>
      <c r="I3" t="s">
        <v>2</v>
      </c>
      <c r="J3" t="s">
        <v>4</v>
      </c>
      <c r="K3" t="s">
        <v>211</v>
      </c>
      <c r="L3" t="s">
        <v>212</v>
      </c>
      <c r="M3">
        <v>1</v>
      </c>
      <c r="N3">
        <v>202410</v>
      </c>
      <c r="O3" s="17">
        <v>45576.4380555556</v>
      </c>
      <c r="P3" t="s">
        <v>213</v>
      </c>
    </row>
    <row r="4" spans="1:16">
      <c r="A4" t="s">
        <v>203</v>
      </c>
      <c r="B4" s="9">
        <v>1120</v>
      </c>
      <c r="C4" t="s">
        <v>46</v>
      </c>
      <c r="F4" t="s">
        <v>214</v>
      </c>
      <c r="G4" t="s">
        <v>215</v>
      </c>
      <c r="H4" t="s">
        <v>66</v>
      </c>
      <c r="I4" t="s">
        <v>2</v>
      </c>
      <c r="J4" t="s">
        <v>4</v>
      </c>
      <c r="K4" t="s">
        <v>216</v>
      </c>
      <c r="L4" t="s">
        <v>217</v>
      </c>
      <c r="M4">
        <v>1</v>
      </c>
      <c r="N4">
        <v>202410</v>
      </c>
      <c r="O4" s="17">
        <v>45576.433125</v>
      </c>
      <c r="P4" t="s">
        <v>218</v>
      </c>
    </row>
    <row r="5" spans="1:16">
      <c r="A5" t="s">
        <v>203</v>
      </c>
      <c r="B5" s="9">
        <v>1125</v>
      </c>
      <c r="C5" t="s">
        <v>46</v>
      </c>
      <c r="F5" t="s">
        <v>219</v>
      </c>
      <c r="G5" t="s">
        <v>220</v>
      </c>
      <c r="H5" t="s">
        <v>66</v>
      </c>
      <c r="I5" t="s">
        <v>2</v>
      </c>
      <c r="J5" t="s">
        <v>4</v>
      </c>
      <c r="K5" t="s">
        <v>216</v>
      </c>
      <c r="L5" t="s">
        <v>217</v>
      </c>
      <c r="M5">
        <v>1</v>
      </c>
      <c r="N5">
        <v>202410</v>
      </c>
      <c r="O5" s="17">
        <v>45576.8826157407</v>
      </c>
      <c r="P5" t="s">
        <v>221</v>
      </c>
    </row>
  </sheetData>
  <conditionalFormatting sqref="F1">
    <cfRule type="duplicateValues" dxfId="0" priority="1"/>
    <cfRule type="duplicateValues" dxfId="1" priority="2"/>
  </conditionalFormatting>
  <conditionalFormatting sqref="G1">
    <cfRule type="duplicateValues" dxfId="0" priority="3"/>
    <cfRule type="duplicateValues" dxfId="1" priority="4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4.25" outlineLevelRow="1"/>
  <cols>
    <col min="1" max="1" width="8.75" customWidth="1"/>
    <col min="2" max="2" width="19.125" customWidth="1"/>
    <col min="3" max="3" width="26.25" customWidth="1"/>
    <col min="4" max="4" width="11.625" customWidth="1"/>
    <col min="5" max="5" width="16.125" customWidth="1"/>
    <col min="6" max="6" width="21.375" customWidth="1"/>
    <col min="7" max="11" width="17.625" customWidth="1"/>
  </cols>
  <sheetData>
    <row r="1" s="1" customFormat="1" ht="50" customHeight="1" spans="1:11">
      <c r="A1" s="2" t="s">
        <v>222</v>
      </c>
      <c r="B1" s="3" t="s">
        <v>223</v>
      </c>
      <c r="C1" s="4" t="s">
        <v>224</v>
      </c>
      <c r="D1" s="4" t="s">
        <v>225</v>
      </c>
      <c r="E1" s="3" t="s">
        <v>226</v>
      </c>
      <c r="F1" s="3" t="s">
        <v>227</v>
      </c>
      <c r="G1" s="3" t="s">
        <v>228</v>
      </c>
      <c r="H1" s="3" t="s">
        <v>229</v>
      </c>
      <c r="I1" s="2" t="s">
        <v>230</v>
      </c>
      <c r="J1" s="3" t="s">
        <v>231</v>
      </c>
      <c r="K1" s="3" t="s">
        <v>232</v>
      </c>
    </row>
    <row r="2" spans="1:11">
      <c r="A2" s="5">
        <v>45497</v>
      </c>
      <c r="B2" s="6" t="s">
        <v>233</v>
      </c>
      <c r="C2" s="6" t="s">
        <v>2</v>
      </c>
      <c r="D2" s="7" t="s">
        <v>4</v>
      </c>
      <c r="E2" s="6" t="s">
        <v>234</v>
      </c>
      <c r="F2" s="8" t="s">
        <v>235</v>
      </c>
      <c r="G2" s="8">
        <v>40</v>
      </c>
      <c r="H2" s="8">
        <v>2</v>
      </c>
      <c r="I2" s="8">
        <v>2</v>
      </c>
      <c r="J2" s="8">
        <v>80</v>
      </c>
      <c r="K2" s="8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monthly bill</vt:lpstr>
      <vt:lpstr>Accessories discount</vt:lpstr>
      <vt:lpstr>spare parts fee + service fee</vt:lpstr>
      <vt:lpstr>Maintenance list</vt:lpstr>
      <vt:lpstr>Service prohibition</vt:lpstr>
      <vt:lpstr>other compensation</vt:lpstr>
      <vt:lpstr>DOA to CM</vt:lpstr>
      <vt:lpstr>pre-payment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</cp:lastModifiedBy>
  <dcterms:created xsi:type="dcterms:W3CDTF">2024-11-15T03:27:00Z</dcterms:created>
  <dcterms:modified xsi:type="dcterms:W3CDTF">2024-11-18T13:44:06Z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D84A14CD1DE940F4BAEBEEC3B4564FF2_12</vt:lpwstr>
  </property>
  <property fmtid="{D5CDD505-2E9C-101B-9397-08002B2CF9AE}" pid="3" name="KSOProductBuildVer">
    <vt:lpwstr>2052-12.1.0.18276</vt:lpwstr>
  </property>
</Properties>
</file>