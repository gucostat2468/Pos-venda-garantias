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CDF10EB0-9F01-467A-9336-A590F079385D}" xr6:coauthVersionLast="36" xr6:coauthVersionMax="36" xr10:uidLastSave="{00000000-0000-0000-0000-000000000000}"/>
  <bookViews>
    <workbookView xWindow="0" yWindow="0" windowWidth="28800" windowHeight="12285" xr2:uid="{AE85D614-6F6B-452E-916B-AE57F02D9471}"/>
  </bookViews>
  <sheets>
    <sheet name="monthly bill" sheetId="3" r:id="rId1"/>
    <sheet name="Accessories discount" sheetId="4" r:id="rId2"/>
    <sheet name="spare parts fee + service fee" sheetId="5" r:id="rId3"/>
    <sheet name="other compensation" sheetId="6" r:id="rId4"/>
    <sheet name="DOA to CM" sheetId="7" r:id="rId5"/>
  </sheets>
  <definedNames>
    <definedName name="_xlnm._FilterDatabase" localSheetId="1" hidden="1">'Accessories discount'!$A$1:$Q$1</definedName>
    <definedName name="_xlnm._FilterDatabase" localSheetId="4" hidden="1">'DOA to CM'!$A$1:$O$1</definedName>
    <definedName name="_xlnm._FilterDatabase" localSheetId="3" hidden="1">'other compensation'!$A$1:$Q$1</definedName>
    <definedName name="_xlnm._FilterDatabase" localSheetId="2" hidden="1">'spare parts fee + service fee'!$A$1:$H$1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5" i="3"/>
  <c r="E6" i="3" s="1"/>
  <c r="E11" i="3" l="1"/>
  <c r="E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7CB5BCD3-361B-4D09-BA04-B697C0DAAC9A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6B6E211E-3345-4947-AA36-5373A2BEF1D3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<sst xmlns="http://schemas.openxmlformats.org/spreadsheetml/2006/main" count="134" uniqueCount="74">
  <si>
    <t>上级代理商名称Distributor Name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</si>
  <si>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Mar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</si>
  <si>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</si>
  <si>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</si>
  <si>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</si>
  <si>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</si>
  <si>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</si>
  <si>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</si>
  <si>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</si>
  <si>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</si>
  <si>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</si>
  <si>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</si>
  <si>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</si>
  <si>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</si>
  <si>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</si>
  <si>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</si>
  <si>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</si>
  <si>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</si>
  <si>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</si>
  <si>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</si>
  <si>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</si>
  <si>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</si>
  <si>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</si>
  <si>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</si>
  <si>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</si>
  <si>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</si>
  <si>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</si>
  <si>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</si>
  <si>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</si>
  <si>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</si>
  <si>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</si>
  <si>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</si>
  <si>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</si>
  <si>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</si>
  <si>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</si>
  <si>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</si>
  <si>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</si>
  <si>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</si>
  <si>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</si>
  <si>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</si>
  <si>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</si>
  <si>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</si>
  <si>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</si>
  <si>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</si>
  <si>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</si>
  <si>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</si>
  <si>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</si>
  <si>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</si>
  <si>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</si>
  <si>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</si>
  <si>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代理商账号(Dealer Account)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</si>
  <si>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</si>
  <si>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</si>
  <si>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</si>
  <si>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</si>
  <si>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</si>
  <si>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</si>
  <si>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Huada Agricola Comercial LTDA</t>
  </si>
  <si>
    <t>HUADA-agras</t>
  </si>
  <si>
    <t>HUADA-agras</t>
    <phoneticPr fontId="3" type="noConversion"/>
  </si>
  <si>
    <t>本次不涉及此项</t>
  </si>
  <si>
    <t>BRAZIL</t>
  </si>
  <si>
    <t>WRC240305000008</t>
  </si>
  <si>
    <t>WRC240302000008</t>
  </si>
  <si>
    <t>WRC240301000237</t>
  </si>
  <si>
    <t>WRC240229000211</t>
  </si>
  <si>
    <t>WRC240229000208</t>
  </si>
  <si>
    <t>WRC240229000004</t>
  </si>
  <si>
    <t>WRC240321000011</t>
  </si>
  <si>
    <t>WRC240323000012</t>
  </si>
  <si>
    <t>WRC240329000007</t>
  </si>
  <si>
    <t>WRC240328000018</t>
  </si>
  <si>
    <t>MS Drones</t>
  </si>
  <si>
    <t>WRC240323000008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</si>
</sst>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4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8" xfId="1" applyNumberFormat="1" applyFont="1" applyFill="1" applyBorder="1">
      <alignment vertical="center"/>
    </xf>
    <xf numFmtId="0" fontId="0" fillId="2" borderId="0" xfId="0" applyFill="1"/>
    <xf numFmtId="0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2" borderId="0" xfId="0" applyFont="1" applyFill="1"/>
    <xf numFmtId="176" fontId="4" fillId="0" borderId="0" xfId="0" applyNumberFormat="1" applyFont="1"/>
    <xf numFmtId="0" fontId="15" fillId="7" borderId="10" xfId="0" applyFont="1" applyFill="1" applyBorder="1" applyAlignment="1">
      <alignment horizontal="center" vertical="center" wrapText="1"/>
    </xf>
    <xf numFmtId="177" fontId="15" fillId="7" borderId="10" xfId="0" applyNumberFormat="1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left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178" fontId="15" fillId="8" borderId="10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right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3 2 2 2" xfId="1" xr:uid="{44A1B105-3B30-47EB-8164-E6D4FFB1A625}"/>
    <cellStyle name="常规 4 2 2" xfId="2" xr:uid="{B9C53CCA-4516-494A-AB6C-DA4B7779C80E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1AC5-C1E1-4BA8-ABCE-3331527C6723}">
  <sheetPr codeName="Sheet4"/>
  <dimension ref="B1:F12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4" t="s">
        <v>1</v>
      </c>
      <c r="C2" s="35"/>
      <c r="D2" s="35"/>
      <c r="E2" s="35"/>
      <c r="F2" s="36"/>
    </row>
    <row r="3" spans="2:6" ht="18.75" customHeight="1" x14ac:dyDescent="0.2">
      <c r="B3" s="2" t="s">
        <v>2</v>
      </c>
      <c r="C3" s="37" t="s">
        <v>57</v>
      </c>
      <c r="D3" s="38"/>
      <c r="E3" s="2" t="s">
        <v>3</v>
      </c>
      <c r="F3" s="3" t="s">
        <v>59</v>
      </c>
    </row>
    <row r="4" spans="2:6" ht="18" x14ac:dyDescent="0.2">
      <c r="B4" s="39" t="s">
        <v>4</v>
      </c>
      <c r="C4" s="40"/>
      <c r="D4" s="41"/>
      <c r="E4" s="4" t="s">
        <v>5</v>
      </c>
      <c r="F4" s="5" t="s">
        <v>6</v>
      </c>
    </row>
    <row r="5" spans="2:6" ht="16.899999999999999" customHeight="1" x14ac:dyDescent="0.2">
      <c r="B5" s="6" t="s">
        <v>7</v>
      </c>
      <c r="C5" s="7">
        <v>1</v>
      </c>
      <c r="D5" s="8" t="s">
        <v>8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42" t="s">
        <v>9</v>
      </c>
      <c r="C6" s="43"/>
      <c r="D6" s="44"/>
      <c r="E6" s="9">
        <f>E5</f>
        <v>0</v>
      </c>
      <c r="F6" s="11"/>
    </row>
    <row r="7" spans="2:6" ht="16.899999999999999" customHeight="1" x14ac:dyDescent="0.2">
      <c r="B7" s="45" t="s">
        <v>10</v>
      </c>
      <c r="C7" s="12">
        <v>1</v>
      </c>
      <c r="D7" s="8" t="s">
        <v>11</v>
      </c>
      <c r="E7" s="9">
        <f>SUMIF('spare parts fee + service fee'!C:C,'monthly bill'!F3,'spare parts fee + service fee'!F:F)</f>
        <v>4387.0600000000004</v>
      </c>
      <c r="F7" s="11"/>
    </row>
    <row r="8" spans="2:6" ht="16.899999999999999" customHeight="1" x14ac:dyDescent="0.2">
      <c r="B8" s="45"/>
      <c r="C8" s="12">
        <v>2</v>
      </c>
      <c r="D8" s="8" t="s">
        <v>12</v>
      </c>
      <c r="E8" s="13">
        <f>SUMIF('spare parts fee + service fee'!C:C,'monthly bill'!F3,'spare parts fee + service fee'!G:G)</f>
        <v>256</v>
      </c>
      <c r="F8" s="11"/>
    </row>
    <row r="9" spans="2:6" ht="16.899999999999999" customHeight="1" x14ac:dyDescent="0.2">
      <c r="B9" s="45"/>
      <c r="C9" s="12">
        <v>3</v>
      </c>
      <c r="D9" s="8" t="s">
        <v>13</v>
      </c>
      <c r="E9" s="13">
        <f>SUMIF('other compensation'!C:C,'monthly bill'!F3,'other compensation'!M:M)</f>
        <v>0</v>
      </c>
      <c r="F9" s="11"/>
    </row>
    <row r="10" spans="2:6" ht="16.899999999999999" customHeight="1" x14ac:dyDescent="0.2">
      <c r="B10" s="45"/>
      <c r="C10" s="12">
        <v>4</v>
      </c>
      <c r="D10" s="8" t="s">
        <v>14</v>
      </c>
      <c r="E10" s="13">
        <f>SUMIF('DOA to CM'!I:I,'monthly bill'!F3,'DOA to CM'!B:B)</f>
        <v>0</v>
      </c>
      <c r="F10" s="11"/>
    </row>
    <row r="11" spans="2:6" ht="16.899999999999999" customHeight="1" x14ac:dyDescent="0.2">
      <c r="B11" s="42" t="s">
        <v>15</v>
      </c>
      <c r="C11" s="43"/>
      <c r="D11" s="44"/>
      <c r="E11" s="13">
        <f>E7+E8+E9+E10</f>
        <v>4643.0600000000004</v>
      </c>
      <c r="F11" s="11"/>
    </row>
    <row r="12" spans="2:6" ht="16.5" x14ac:dyDescent="0.2">
      <c r="B12" s="31" t="s">
        <v>16</v>
      </c>
      <c r="C12" s="32"/>
      <c r="D12" s="33"/>
      <c r="E12" s="14">
        <f>E11+E6</f>
        <v>4643.0600000000004</v>
      </c>
      <c r="F12" s="11" t="s">
        <v>17</v>
      </c>
    </row>
  </sheetData>
  <mergeCells count="7">
    <mergeCell ref="B12:D12"/>
    <mergeCell ref="B2:F2"/>
    <mergeCell ref="C3:D3"/>
    <mergeCell ref="B4:D4"/>
    <mergeCell ref="B6:D6"/>
    <mergeCell ref="B7:B10"/>
    <mergeCell ref="B11:D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C9C7-34DB-4A35-AAAD-0560200DB167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3" spans="1:17" x14ac:dyDescent="0.2">
      <c r="A3" t="s">
        <v>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904C-110E-4DE7-8B6D-BF3CBE994E8D}">
  <sheetPr codeName="Sheet6"/>
  <dimension ref="A1:H12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</cols>
  <sheetData>
    <row r="1" spans="1:8" ht="33" x14ac:dyDescent="0.2">
      <c r="A1" s="17" t="s">
        <v>0</v>
      </c>
      <c r="B1" s="18" t="s">
        <v>35</v>
      </c>
      <c r="C1" s="17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</row>
    <row r="2" spans="1:8" x14ac:dyDescent="0.2">
      <c r="A2" t="s">
        <v>57</v>
      </c>
      <c r="B2" t="s">
        <v>57</v>
      </c>
      <c r="C2" t="s">
        <v>58</v>
      </c>
      <c r="D2" t="s">
        <v>61</v>
      </c>
      <c r="E2" t="s">
        <v>62</v>
      </c>
      <c r="F2">
        <v>378.69</v>
      </c>
      <c r="G2">
        <v>25</v>
      </c>
      <c r="H2">
        <v>403.69</v>
      </c>
    </row>
    <row r="3" spans="1:8" x14ac:dyDescent="0.2">
      <c r="A3" t="s">
        <v>57</v>
      </c>
      <c r="B3" t="s">
        <v>57</v>
      </c>
      <c r="C3" t="s">
        <v>58</v>
      </c>
      <c r="D3" t="s">
        <v>61</v>
      </c>
      <c r="E3" t="s">
        <v>63</v>
      </c>
      <c r="F3">
        <v>378.69</v>
      </c>
      <c r="G3">
        <v>25</v>
      </c>
      <c r="H3">
        <v>403.69</v>
      </c>
    </row>
    <row r="4" spans="1:8" x14ac:dyDescent="0.2">
      <c r="A4" t="s">
        <v>57</v>
      </c>
      <c r="B4" t="s">
        <v>57</v>
      </c>
      <c r="C4" t="s">
        <v>58</v>
      </c>
      <c r="D4" t="s">
        <v>61</v>
      </c>
      <c r="E4" t="s">
        <v>64</v>
      </c>
      <c r="F4">
        <v>378.69</v>
      </c>
      <c r="G4">
        <v>25</v>
      </c>
      <c r="H4">
        <v>403.69</v>
      </c>
    </row>
    <row r="5" spans="1:8" x14ac:dyDescent="0.2">
      <c r="A5" t="s">
        <v>57</v>
      </c>
      <c r="B5" t="s">
        <v>57</v>
      </c>
      <c r="C5" t="s">
        <v>58</v>
      </c>
      <c r="D5" t="s">
        <v>61</v>
      </c>
      <c r="E5" t="s">
        <v>65</v>
      </c>
      <c r="F5">
        <v>378.69</v>
      </c>
      <c r="G5">
        <v>25</v>
      </c>
      <c r="H5">
        <v>403.69</v>
      </c>
    </row>
    <row r="6" spans="1:8" x14ac:dyDescent="0.2">
      <c r="A6" t="s">
        <v>57</v>
      </c>
      <c r="B6" t="s">
        <v>57</v>
      </c>
      <c r="C6" t="s">
        <v>58</v>
      </c>
      <c r="D6" t="s">
        <v>61</v>
      </c>
      <c r="E6" t="s">
        <v>66</v>
      </c>
      <c r="F6">
        <v>378.69</v>
      </c>
      <c r="G6">
        <v>25</v>
      </c>
      <c r="H6">
        <v>403.69</v>
      </c>
    </row>
    <row r="7" spans="1:8" x14ac:dyDescent="0.2">
      <c r="A7" t="s">
        <v>57</v>
      </c>
      <c r="B7" t="s">
        <v>57</v>
      </c>
      <c r="C7" t="s">
        <v>58</v>
      </c>
      <c r="D7" t="s">
        <v>61</v>
      </c>
      <c r="E7" t="s">
        <v>67</v>
      </c>
      <c r="F7">
        <v>378.69</v>
      </c>
      <c r="G7">
        <v>25</v>
      </c>
      <c r="H7">
        <v>403.69</v>
      </c>
    </row>
    <row r="8" spans="1:8" x14ac:dyDescent="0.2">
      <c r="A8" t="s">
        <v>57</v>
      </c>
      <c r="B8" t="s">
        <v>57</v>
      </c>
      <c r="C8" t="s">
        <v>58</v>
      </c>
      <c r="D8" t="s">
        <v>61</v>
      </c>
      <c r="E8" t="s">
        <v>68</v>
      </c>
      <c r="F8">
        <v>378.69</v>
      </c>
      <c r="G8">
        <v>25</v>
      </c>
      <c r="H8">
        <v>403.69</v>
      </c>
    </row>
    <row r="9" spans="1:8" x14ac:dyDescent="0.2">
      <c r="A9" t="s">
        <v>57</v>
      </c>
      <c r="B9" t="s">
        <v>57</v>
      </c>
      <c r="C9" t="s">
        <v>58</v>
      </c>
      <c r="D9" t="s">
        <v>61</v>
      </c>
      <c r="E9" t="s">
        <v>69</v>
      </c>
      <c r="F9">
        <v>378.69</v>
      </c>
      <c r="G9">
        <v>25</v>
      </c>
      <c r="H9">
        <v>403.69</v>
      </c>
    </row>
    <row r="10" spans="1:8" x14ac:dyDescent="0.2">
      <c r="A10" t="s">
        <v>57</v>
      </c>
      <c r="B10" t="s">
        <v>57</v>
      </c>
      <c r="C10" t="s">
        <v>58</v>
      </c>
      <c r="D10" t="s">
        <v>61</v>
      </c>
      <c r="E10" t="s">
        <v>70</v>
      </c>
      <c r="F10">
        <v>378.69</v>
      </c>
      <c r="G10">
        <v>25</v>
      </c>
      <c r="H10">
        <v>403.69</v>
      </c>
    </row>
    <row r="11" spans="1:8" x14ac:dyDescent="0.2">
      <c r="A11" t="s">
        <v>57</v>
      </c>
      <c r="B11" t="s">
        <v>57</v>
      </c>
      <c r="C11" t="s">
        <v>58</v>
      </c>
      <c r="D11" t="s">
        <v>61</v>
      </c>
      <c r="E11" t="s">
        <v>71</v>
      </c>
      <c r="F11">
        <v>378.69</v>
      </c>
      <c r="G11">
        <v>25</v>
      </c>
      <c r="H11">
        <v>403.69</v>
      </c>
    </row>
    <row r="12" spans="1:8" x14ac:dyDescent="0.2">
      <c r="A12" t="s">
        <v>57</v>
      </c>
      <c r="B12" t="s">
        <v>72</v>
      </c>
      <c r="C12" t="s">
        <v>58</v>
      </c>
      <c r="D12" t="s">
        <v>61</v>
      </c>
      <c r="E12" t="s">
        <v>73</v>
      </c>
      <c r="F12">
        <v>600.16</v>
      </c>
      <c r="G12">
        <v>6</v>
      </c>
      <c r="H12">
        <v>606.16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BC3D-8855-42D1-8FDB-AC1DEC4000B5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RowHeight="16.5" x14ac:dyDescent="0.35"/>
  <cols>
    <col min="1" max="15" width="9" style="19"/>
    <col min="16" max="16" width="16.625" style="19" customWidth="1"/>
    <col min="17" max="16384" width="9" style="19"/>
  </cols>
  <sheetData>
    <row r="1" spans="1:17" x14ac:dyDescent="0.35">
      <c r="A1" s="19" t="s">
        <v>18</v>
      </c>
      <c r="B1" s="19" t="s">
        <v>19</v>
      </c>
      <c r="C1" s="20" t="s">
        <v>20</v>
      </c>
      <c r="D1" s="20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 t="s">
        <v>26</v>
      </c>
      <c r="J1" s="19" t="s">
        <v>27</v>
      </c>
      <c r="K1" s="19" t="s">
        <v>28</v>
      </c>
      <c r="L1" s="19" t="s">
        <v>29</v>
      </c>
      <c r="M1" s="19" t="s">
        <v>30</v>
      </c>
      <c r="N1" s="19" t="s">
        <v>31</v>
      </c>
      <c r="O1" s="19" t="s">
        <v>32</v>
      </c>
      <c r="P1" s="19" t="s">
        <v>33</v>
      </c>
      <c r="Q1" s="21" t="s">
        <v>34</v>
      </c>
    </row>
    <row r="3" spans="1:17" x14ac:dyDescent="0.35">
      <c r="A3" s="19" t="s">
        <v>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D431-9971-48B7-8602-3E86487860E3}">
  <sheetPr codeName="Sheet8"/>
  <dimension ref="A1:O3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30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22" t="s">
        <v>42</v>
      </c>
      <c r="B1" s="23" t="s">
        <v>43</v>
      </c>
      <c r="C1" s="24" t="s">
        <v>44</v>
      </c>
      <c r="D1" s="25" t="s">
        <v>45</v>
      </c>
      <c r="E1" s="24" t="s">
        <v>46</v>
      </c>
      <c r="F1" s="26" t="s">
        <v>47</v>
      </c>
      <c r="G1" s="27" t="s">
        <v>48</v>
      </c>
      <c r="H1" s="28" t="s">
        <v>49</v>
      </c>
      <c r="I1" s="28" t="s">
        <v>50</v>
      </c>
      <c r="J1" s="27" t="s">
        <v>51</v>
      </c>
      <c r="K1" s="26" t="s">
        <v>52</v>
      </c>
      <c r="L1" s="26" t="s">
        <v>53</v>
      </c>
      <c r="M1" s="29" t="s">
        <v>54</v>
      </c>
      <c r="N1" s="26" t="s">
        <v>55</v>
      </c>
      <c r="O1" s="27" t="s">
        <v>56</v>
      </c>
    </row>
    <row r="3" spans="1:15" x14ac:dyDescent="0.2">
      <c r="A3" t="s">
        <v>60</v>
      </c>
    </row>
  </sheetData>
  <protectedRanges>
    <protectedRange sqref="H1:I1" name="Range1_65_1_1"/>
  </protectedRanges>
  <phoneticPr fontId="3" type="noConversion"/>
  <conditionalFormatting sqref="F1">
    <cfRule type="duplicateValues" dxfId="1" priority="3"/>
  </conditionalFormatting>
  <conditionalFormatting sqref="F1">
    <cfRule type="duplicateValues" dxfId="0" priority="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bill</vt:lpstr>
      <vt:lpstr>Accessories discount</vt:lpstr>
      <vt:lpstr>spare parts fee + service fee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2024-04-18T08:15:32Z</dcterms:created>
  <dcterms:modified xsi:type="dcterms:W3CDTF">2024-04-18T08:16:21Z</dcterms:modified>
</cp:coreProperties>
</file>