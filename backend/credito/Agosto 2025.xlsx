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69A3F0F3-2964-4C8E-B00B-A6745A18FE52}" xr6:coauthVersionLast="36" xr6:coauthVersionMax="36" xr10:uidLastSave="{00000000-0000-0000-0000-000000000000}"/>
  <bookViews>
    <workbookView xWindow="0" yWindow="0" windowWidth="28800" windowHeight="12285" xr2:uid="{F18CD2B9-2181-47D4-BA73-B2E25D1C55E0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tariff compensation" sheetId="8" r:id="rId6"/>
    <sheet name="shipping fee reimbursement" sheetId="9" r:id="rId7"/>
    <sheet name="Maintenance list" sheetId="10" r:id="rId8"/>
    <sheet name="service red-line deduction" sheetId="11" r:id="rId9"/>
    <sheet name="bad parts deduction" sheetId="12" r:id="rId10"/>
    <sheet name="other compensation" sheetId="13" r:id="rId11"/>
    <sheet name="DOA to CM" sheetId="14" r:id="rId12"/>
    <sheet name="pre-payment balance" sheetId="15" r:id="rId13"/>
  </sheets>
  <definedNames>
    <definedName name="_xlnm._FilterDatabase" localSheetId="11" hidden="1">'DOA to CM'!$A$1:$O$1</definedName>
    <definedName name="_xlnm._FilterDatabase" localSheetId="4" hidden="1">'incentive labor fee'!$A$1:$L$1</definedName>
    <definedName name="_xlnm._FilterDatabase" localSheetId="12" hidden="1">'pre-payment balance'!$A$1:$L$1</definedName>
    <definedName name="_xlnm._FilterDatabase" localSheetId="3" hidden="1">'service fee'!$A$1:$Q$1</definedName>
    <definedName name="_xlnm._FilterDatabase" localSheetId="6" hidden="1">'shipping fee reimbursement'!$A$1:$L$1</definedName>
    <definedName name="_xlnm._FilterDatabase" localSheetId="2" hidden="1">'spare parts fee'!$A$1:$Q$1</definedName>
    <definedName name="_xlnm._FilterDatabase" localSheetId="5" hidden="1">'tariff compensation'!$A$1:$L$1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5" i="3"/>
  <c r="E6" i="3" s="1"/>
  <c r="E14" i="3" l="1"/>
  <c r="E15" i="3" s="1"/>
</calcChain>
</file>

<file path=xl/sharedStrings.xml><?xml version="1.0" encoding="utf-8"?>
<sst xmlns="http://schemas.openxmlformats.org/spreadsheetml/2006/main" count="1310" uniqueCount="254">
  <si>
    <t>Distributor Name</t>
    <phoneticPr fontId="2" type="noConversion"/>
  </si>
  <si>
    <t>Distributor Account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</si>
  <si>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</si>
  <si>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</si>
  <si>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</si>
  <si>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</si>
  <si>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Aug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</si>
  <si>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</si>
  <si>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</si>
  <si>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</si>
  <si>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</si>
  <si>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</si>
  <si>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</si>
  <si>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</si>
  <si>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</si>
  <si>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</si>
  <si>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</si>
  <si>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</si>
  <si>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</si>
  <si>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</si>
  <si>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</si>
  <si>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</si>
  <si>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</si>
  <si>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</si>
  <si>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</si>
  <si>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</si>
  <si>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</si>
  <si>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</si>
  <si>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</si>
  <si>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</si>
  <si>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</si>
  <si>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</si>
  <si>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</si>
  <si>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</si>
  <si>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</si>
  <si>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</si>
  <si>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</si>
  <si>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</si>
  <si>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</si>
  <si>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</si>
  <si>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</si>
  <si>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Quota adjustment</t>
  </si>
  <si>
    <t>Order material fee</t>
  </si>
  <si>
    <t>Manual adjustment</t>
  </si>
  <si>
    <t>USD</t>
  </si>
  <si>
    <t>deduction</t>
  </si>
  <si>
    <t>Month</t>
    <phoneticPr fontId="2" type="noConversion"/>
  </si>
  <si>
    <t>Increase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</si>
  <si>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</si>
  <si>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</si>
  <si>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</si>
  <si>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</si>
  <si>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</si>
  <si>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</si>
  <si>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</si>
  <si>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</si>
  <si>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</si>
  <si>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</si>
  <si>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FQAO250829000009</t>
  </si>
  <si>
    <t>other</t>
  </si>
  <si>
    <t>plus-minus</t>
    <phoneticPr fontId="2" type="noConversion"/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</si>
  <si>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</si>
  <si>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</si>
  <si>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</si>
  <si>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</si>
  <si>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</si>
  <si>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</si>
  <si>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</si>
  <si>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</si>
  <si>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</si>
  <si>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</si>
  <si>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</si>
  <si>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</si>
  <si>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</si>
  <si>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</si>
  <si>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</si>
  <si>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</si>
  <si>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</si>
  <si>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</si>
  <si>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</si>
  <si>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</si>
  <si>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</si>
  <si>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</si>
  <si>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</si>
  <si>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</si>
  <si>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</si>
  <si>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</si>
  <si>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</si>
  <si>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</si>
  <si>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HUADA-agras</t>
  </si>
  <si>
    <t>HUADA-agras</t>
    <phoneticPr fontId="2" type="noConversion"/>
  </si>
  <si>
    <t>FQFO250814000349</t>
  </si>
  <si>
    <t>FQAO250814000005</t>
  </si>
  <si>
    <t>CAS-24937277-C3P8Z1</t>
  </si>
  <si>
    <t>FQFO250814000003</t>
  </si>
  <si>
    <t>FQAO250812000014</t>
  </si>
  <si>
    <t>CAS-24467476-J2J3K7 CM return，S-25-08-12-01</t>
  </si>
  <si>
    <t>FQFO250804000008</t>
  </si>
  <si>
    <t>FQAO250804000003</t>
  </si>
  <si>
    <t>CAS-24467476-J2J3K7</t>
  </si>
  <si>
    <t>FQFO250828000259</t>
  </si>
  <si>
    <t>DNT - Drone Norte -Uruara</t>
  </si>
  <si>
    <t>Local repair-in warranty</t>
  </si>
  <si>
    <t>FWRC250711000215</t>
  </si>
  <si>
    <t>Repair spare parts fee</t>
  </si>
  <si>
    <t>Automatically generate</t>
  </si>
  <si>
    <t>FQFO250827000205</t>
  </si>
  <si>
    <t>DNT pacaja</t>
  </si>
  <si>
    <t>FWRC250827000181</t>
  </si>
  <si>
    <t>FQFO250826000180</t>
  </si>
  <si>
    <t>AgroTerra</t>
  </si>
  <si>
    <t>FWRC250826000196</t>
  </si>
  <si>
    <t>FQFO250825000435</t>
  </si>
  <si>
    <t>PRECILIANO &amp; LOPES LTDA</t>
  </si>
  <si>
    <t>FWRC250823000091</t>
  </si>
  <si>
    <t>FQFO250825000096</t>
  </si>
  <si>
    <t>VRJ COMERCIO DE DRONES</t>
  </si>
  <si>
    <t>FWRC250819000168</t>
  </si>
  <si>
    <t>FQFO250821000332</t>
  </si>
  <si>
    <t>DRONE NORTE</t>
  </si>
  <si>
    <t>FWRC250806000170</t>
  </si>
  <si>
    <t>FQFO250819000310</t>
  </si>
  <si>
    <t>FWRC250819000253</t>
  </si>
  <si>
    <t>FQFO250818000393</t>
  </si>
  <si>
    <t>FWRC250611000223</t>
  </si>
  <si>
    <t>FQFO250818000216</t>
  </si>
  <si>
    <t>Horizont Drones</t>
  </si>
  <si>
    <t>FWRC250726000209</t>
  </si>
  <si>
    <t>FQFO250815000216</t>
  </si>
  <si>
    <t>FWRC250815000258</t>
  </si>
  <si>
    <t>FQFO250813000198</t>
  </si>
  <si>
    <t>FWRC250813000195</t>
  </si>
  <si>
    <t>FQFO250813000191</t>
  </si>
  <si>
    <t>FWRC250813000198</t>
  </si>
  <si>
    <t>FQFO250812000330</t>
  </si>
  <si>
    <t>FWRC250804000251</t>
  </si>
  <si>
    <t>FQFO250812000290</t>
  </si>
  <si>
    <t>FWRC250812000251</t>
  </si>
  <si>
    <t>FQFO250812000070</t>
  </si>
  <si>
    <t>FWRC250729000291</t>
  </si>
  <si>
    <t>FQFO250808000215</t>
  </si>
  <si>
    <t>FWRC250804000257</t>
  </si>
  <si>
    <t>FQFO250807000288</t>
  </si>
  <si>
    <t>FWRC250806000179</t>
  </si>
  <si>
    <t>FQFO250806000304</t>
  </si>
  <si>
    <t>FWRC250806000221</t>
  </si>
  <si>
    <t>FQFO250806000179</t>
  </si>
  <si>
    <t>FWRC250718000260</t>
  </si>
  <si>
    <t>FQFO250805000308</t>
  </si>
  <si>
    <t>FWRC250804000249</t>
  </si>
  <si>
    <t>FQFO250804000198</t>
  </si>
  <si>
    <t>FWRC250802000180</t>
  </si>
  <si>
    <t>FQFO250801000181</t>
  </si>
  <si>
    <t>RURAL DRONE</t>
  </si>
  <si>
    <t>FWRC250731000155</t>
  </si>
  <si>
    <t>FQFO250801000175</t>
  </si>
  <si>
    <t>FWRC250730000176</t>
  </si>
  <si>
    <t>FQFO250801000153</t>
  </si>
  <si>
    <t>FWRC250721000228</t>
  </si>
  <si>
    <t>FQAO250917000003</t>
  </si>
  <si>
    <t>是，取消结算</t>
  </si>
  <si>
    <t>FWRC250725000311</t>
  </si>
  <si>
    <t>FQFO250828000260</t>
  </si>
  <si>
    <t>Repair service fee</t>
  </si>
  <si>
    <t>FQFO250827000206</t>
  </si>
  <si>
    <t>FQFO250826000181</t>
  </si>
  <si>
    <t>FQFO250825000436</t>
  </si>
  <si>
    <t>FQFO250825000097</t>
  </si>
  <si>
    <t>FQFO250821000333</t>
  </si>
  <si>
    <t>FQFO250819000311</t>
  </si>
  <si>
    <t>FQFO250818000394</t>
  </si>
  <si>
    <t>FQFO250818000217</t>
  </si>
  <si>
    <t>FQFO250815000217</t>
  </si>
  <si>
    <t>FQFO250813000199</t>
  </si>
  <si>
    <t>FQFO250813000192</t>
  </si>
  <si>
    <t>FQFO250812000331</t>
  </si>
  <si>
    <t>FQFO250812000291</t>
  </si>
  <si>
    <t>FQFO250812000071</t>
  </si>
  <si>
    <t>FQFO250808000216</t>
  </si>
  <si>
    <t>FQFO250807000289</t>
  </si>
  <si>
    <t>FQFO250806000305</t>
  </si>
  <si>
    <t>FQFO250806000180</t>
  </si>
  <si>
    <t>FQFO250805000309</t>
  </si>
  <si>
    <t>FQFO250804000199</t>
  </si>
  <si>
    <t>FQFO250801000182</t>
  </si>
  <si>
    <t>FQFO250801000176</t>
  </si>
  <si>
    <t>FQFO250801000154</t>
  </si>
  <si>
    <t>This item is not involved this time</t>
  </si>
  <si>
    <t>tariff compensation</t>
  </si>
  <si>
    <t>取消结算</t>
  </si>
  <si>
    <t>BC.AG.SS000940.02.F</t>
  </si>
  <si>
    <t>【T50/T25】后雷达模块</t>
  </si>
  <si>
    <t>YC.ST.LL000215.02</t>
  </si>
  <si>
    <t>【T25】M50-HC01200120-087050-5103-Y</t>
  </si>
  <si>
    <t>YC.JG.CS000017.05</t>
  </si>
  <si>
    <t>【T25】水箱（20L）</t>
  </si>
  <si>
    <t>YC.JG.JS000033.04</t>
  </si>
  <si>
    <t>【T50/T25】流量计出水口管</t>
  </si>
  <si>
    <t>YC.JG.ZS003400.08</t>
  </si>
  <si>
    <t>【T25】喷杆外壳</t>
  </si>
  <si>
    <t>BC.AG.SS000705.01</t>
  </si>
  <si>
    <t>【T25】M4机臂（右后）</t>
  </si>
  <si>
    <t>BC.AG.SS000706.01</t>
  </si>
  <si>
    <t>【T25】10028动力电机</t>
  </si>
  <si>
    <t>BC.AG.SS000700.01</t>
  </si>
  <si>
    <t>【T50/T25】电调模块</t>
  </si>
  <si>
    <t>YC.XC.XX001002.04</t>
  </si>
  <si>
    <t>【T50/T25】喷洒一分四信号线</t>
  </si>
  <si>
    <t>YC.JG.ZS003552.02</t>
  </si>
  <si>
    <t>【T25】正桨（CCW）</t>
  </si>
  <si>
    <t>YC.XC.TT000133.02</t>
  </si>
  <si>
    <t>【T25】RTK同轴线</t>
  </si>
  <si>
    <t>YC.JG.ZS002389.07</t>
  </si>
  <si>
    <t>【T50/T25】叶轮泵保护罩</t>
  </si>
  <si>
    <t>YC.JG.ZS003553.02</t>
  </si>
  <si>
    <t>【T25】反桨（CW）</t>
  </si>
  <si>
    <t>YC.XC.XX001004.04</t>
  </si>
  <si>
    <t>【T50/T25】流量计信号线</t>
  </si>
  <si>
    <t>YC.JG.MQ001292.03</t>
  </si>
  <si>
    <t>【T25】特氟龙垫片</t>
  </si>
  <si>
    <t>BC.AG.SS000752.01</t>
  </si>
  <si>
    <t>【T50/T25】喷杆螺母</t>
  </si>
  <si>
    <t>YC.JG.CS000020.08</t>
  </si>
  <si>
    <t>【T50/T25】180度弯头</t>
  </si>
  <si>
    <t>YC.DZ.BC000062.01</t>
  </si>
  <si>
    <t>T30/T10充电器电源模块（HJ）</t>
  </si>
  <si>
    <t>BC.AG.SS000939.02.F</t>
  </si>
  <si>
    <t>【T50/T25】前雷达模块</t>
  </si>
  <si>
    <t>BC.AG.SS000677.01</t>
  </si>
  <si>
    <t>【T50/T25】补光灯组件</t>
  </si>
  <si>
    <t>BC.AG.SS000668.02</t>
  </si>
  <si>
    <t>【T50】10033动力电机</t>
  </si>
  <si>
    <t>BC.AG.SS000838.01</t>
  </si>
  <si>
    <t>【T50/T25】航电模块L</t>
  </si>
  <si>
    <t>BC.AG.SS000706.02</t>
  </si>
  <si>
    <t>T30/T10充电器电源模块</t>
  </si>
  <si>
    <t>YC.JG.ZS003785.01</t>
  </si>
  <si>
    <t>【T50】上正桨（U-CCW）（黑）</t>
  </si>
  <si>
    <t>YC.JG.ZS003396.06</t>
  </si>
  <si>
    <t>【T50/T25】后壳后盖</t>
  </si>
  <si>
    <t>YC.JG.ZS003788.01</t>
  </si>
  <si>
    <t>【T50】下反桨（L-CW）（黑）</t>
  </si>
  <si>
    <t>BC.AG.SS000696.01</t>
  </si>
  <si>
    <t>【T50】M1机臂（右前）</t>
  </si>
  <si>
    <t>BC.AG.SS000699.01</t>
  </si>
  <si>
    <t>【T50】M4机臂（右后）</t>
  </si>
  <si>
    <t>YC.JG.ZS003787.01</t>
  </si>
  <si>
    <t>【T50】下正桨（L-CCW）（黑）</t>
  </si>
  <si>
    <t>YC.JG.ZS003397.05</t>
  </si>
  <si>
    <t>【T50/T25】后壳主体</t>
  </si>
  <si>
    <t>YC.JG.ZS003786.01</t>
  </si>
  <si>
    <t>【T50】上反桨（U-CW）（黑）</t>
  </si>
  <si>
    <t>FQFO250829000007</t>
  </si>
  <si>
    <t>PRECILIANO &amp; LOPES LTDA,FWRC250507000202 Penalties for abnormal local maintenance cases，S-25-08-29-01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</si>
</sst>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22" fontId="17" fillId="0" borderId="0" xfId="0" applyNumberFormat="1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1" fillId="10" borderId="0" xfId="0" applyFont="1" applyFill="1" applyBorder="1" applyAlignment="1">
      <alignment horizontal="center" vertical="center"/>
    </xf>
    <xf numFmtId="178" fontId="21" fillId="10" borderId="0" xfId="0" applyNumberFormat="1" applyFont="1" applyFill="1" applyBorder="1" applyAlignment="1">
      <alignment horizontal="center" vertical="center"/>
    </xf>
    <xf numFmtId="14" fontId="21" fillId="10" borderId="0" xfId="0" applyNumberFormat="1" applyFont="1" applyFill="1" applyBorder="1" applyAlignment="1">
      <alignment horizontal="center" vertical="center" wrapText="1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8909E3DD-AEA6-4500-9578-2B98DD0B6DE3}"/>
    <cellStyle name="常规 4 2 2" xfId="2" xr:uid="{7C4BB674-C853-4C77-8A1A-098406B19695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5BA2-2A5E-4DB5-9599-69C7275C0A9C}">
  <sheetPr codeName="Sheet4"/>
  <dimension ref="B1:F17"/>
  <sheetViews>
    <sheetView showGridLines="0" tabSelected="1" zoomScale="85" zoomScaleNormal="85" workbookViewId="0">
      <selection activeCell="C30" sqref="C30"/>
    </sheetView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9" t="s">
        <v>6</v>
      </c>
      <c r="C2" s="50"/>
      <c r="D2" s="50"/>
      <c r="E2" s="50"/>
      <c r="F2" s="51"/>
    </row>
    <row r="3" spans="2:6" ht="18.75" customHeight="1" x14ac:dyDescent="0.2">
      <c r="B3" s="3" t="s">
        <v>7</v>
      </c>
      <c r="C3" s="52" t="s">
        <v>88</v>
      </c>
      <c r="D3" s="53"/>
      <c r="E3" s="3" t="s">
        <v>8</v>
      </c>
      <c r="F3" s="4" t="s">
        <v>90</v>
      </c>
    </row>
    <row r="4" spans="2:6" ht="18" x14ac:dyDescent="0.2">
      <c r="B4" s="54" t="s">
        <v>9</v>
      </c>
      <c r="C4" s="55"/>
      <c r="D4" s="56"/>
      <c r="E4" s="5" t="s">
        <v>10</v>
      </c>
      <c r="F4" s="6" t="s">
        <v>11</v>
      </c>
    </row>
    <row r="5" spans="2:6" ht="16.899999999999999" customHeight="1" x14ac:dyDescent="0.2">
      <c r="B5" s="7" t="s">
        <v>12</v>
      </c>
      <c r="C5" s="8">
        <v>1</v>
      </c>
      <c r="D5" s="9" t="s">
        <v>13</v>
      </c>
      <c r="E5" s="10">
        <f>SUMIF('Accessories discount'!C:C,F3,'Accessories discount'!M:M)</f>
        <v>-87519.12</v>
      </c>
      <c r="F5" s="11"/>
    </row>
    <row r="6" spans="2:6" ht="16.899999999999999" customHeight="1" x14ac:dyDescent="0.2">
      <c r="B6" s="57" t="s">
        <v>14</v>
      </c>
      <c r="C6" s="58"/>
      <c r="D6" s="59"/>
      <c r="E6" s="10">
        <f>E5</f>
        <v>-87519.12</v>
      </c>
      <c r="F6" s="12"/>
    </row>
    <row r="7" spans="2:6" ht="16.899999999999999" customHeight="1" x14ac:dyDescent="0.2">
      <c r="B7" s="60" t="s">
        <v>15</v>
      </c>
      <c r="C7" s="13">
        <v>1</v>
      </c>
      <c r="D7" s="9" t="s">
        <v>16</v>
      </c>
      <c r="E7" s="10">
        <f>SUMIF('spare parts fee'!C:C,'monthly bill'!F3,'spare parts fee'!M:M)</f>
        <v>6788.2999999999993</v>
      </c>
      <c r="F7" s="12"/>
    </row>
    <row r="8" spans="2:6" ht="16.899999999999999" customHeight="1" x14ac:dyDescent="0.2">
      <c r="B8" s="60"/>
      <c r="C8" s="13">
        <v>2</v>
      </c>
      <c r="D8" s="9" t="s">
        <v>17</v>
      </c>
      <c r="E8" s="14">
        <f>SUMIF('service fee'!C:C,'monthly bill'!F3,'service fee'!M:M)</f>
        <v>158</v>
      </c>
      <c r="F8" s="12"/>
    </row>
    <row r="9" spans="2:6" ht="16.899999999999999" customHeight="1" x14ac:dyDescent="0.2">
      <c r="B9" s="60"/>
      <c r="C9" s="13">
        <v>3</v>
      </c>
      <c r="D9" s="9" t="s">
        <v>2</v>
      </c>
      <c r="E9" s="14">
        <f>SUMIF('tariff compensation'!A:A,'monthly bill'!F3,'tariff compensation'!J:J)</f>
        <v>3190.51</v>
      </c>
      <c r="F9" s="12"/>
    </row>
    <row r="10" spans="2:6" ht="16.899999999999999" customHeight="1" x14ac:dyDescent="0.2">
      <c r="B10" s="60"/>
      <c r="C10" s="13">
        <v>4</v>
      </c>
      <c r="D10" s="9" t="s">
        <v>3</v>
      </c>
      <c r="E10" s="14">
        <f>SUMIF('service red-line deduction'!C:C,'monthly bill'!F3,'service red-line deduction'!M:M)</f>
        <v>-300.8</v>
      </c>
      <c r="F10" s="12"/>
    </row>
    <row r="11" spans="2:6" ht="16.899999999999999" customHeight="1" x14ac:dyDescent="0.2">
      <c r="B11" s="60"/>
      <c r="C11" s="13">
        <v>5</v>
      </c>
      <c r="D11" s="9" t="s">
        <v>4</v>
      </c>
      <c r="E11" s="14">
        <f>SUMIF('bad parts deduction'!C:C,'monthly bill'!F3,'bad parts deduction'!M:M)</f>
        <v>0</v>
      </c>
      <c r="F11" s="12"/>
    </row>
    <row r="12" spans="2:6" ht="16.899999999999999" customHeight="1" x14ac:dyDescent="0.2">
      <c r="B12" s="60"/>
      <c r="C12" s="13">
        <v>6</v>
      </c>
      <c r="D12" s="9" t="s">
        <v>5</v>
      </c>
      <c r="E12" s="14">
        <f>SUMIF('other compensation'!C:C,'monthly bill'!F3,'other compensation'!M:M)</f>
        <v>0</v>
      </c>
      <c r="F12" s="12"/>
    </row>
    <row r="13" spans="2:6" ht="16.899999999999999" customHeight="1" x14ac:dyDescent="0.2">
      <c r="B13" s="60"/>
      <c r="C13" s="13">
        <v>7</v>
      </c>
      <c r="D13" s="9" t="s">
        <v>18</v>
      </c>
      <c r="E13" s="14">
        <f>SUMIF('DOA to CM'!I:I,'monthly bill'!F3,'DOA to CM'!B:B)</f>
        <v>0</v>
      </c>
      <c r="F13" s="12"/>
    </row>
    <row r="14" spans="2:6" ht="16.899999999999999" customHeight="1" x14ac:dyDescent="0.2">
      <c r="B14" s="57" t="s">
        <v>19</v>
      </c>
      <c r="C14" s="58"/>
      <c r="D14" s="59"/>
      <c r="E14" s="14">
        <f>E7+E8+E10+E11+E12+E13+E9</f>
        <v>9836.0099999999984</v>
      </c>
      <c r="F14" s="12"/>
    </row>
    <row r="15" spans="2:6" ht="16.5" x14ac:dyDescent="0.2">
      <c r="B15" s="43" t="s">
        <v>20</v>
      </c>
      <c r="C15" s="44"/>
      <c r="D15" s="45"/>
      <c r="E15" s="15">
        <f>E14+E6</f>
        <v>-77683.11</v>
      </c>
      <c r="F15" s="12" t="s">
        <v>21</v>
      </c>
    </row>
    <row r="16" spans="2:6" s="21" customFormat="1" ht="16.5" x14ac:dyDescent="0.2">
      <c r="B16" s="16" t="s">
        <v>22</v>
      </c>
      <c r="C16" s="17">
        <v>1</v>
      </c>
      <c r="D16" s="18" t="s">
        <v>23</v>
      </c>
      <c r="E16" s="19">
        <f>SUMIF('pre-payment balance'!D:D,F3,'pre-payment balance'!K:K)</f>
        <v>0</v>
      </c>
      <c r="F16" s="20"/>
    </row>
    <row r="17" spans="2:6" s="21" customFormat="1" ht="16.5" x14ac:dyDescent="0.2">
      <c r="B17" s="46" t="s">
        <v>24</v>
      </c>
      <c r="C17" s="47"/>
      <c r="D17" s="48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D709-EE8B-44D8-92EB-E97062BC62AD}">
  <sheetPr codeName="Sheet5"/>
  <dimension ref="A1:Q4"/>
  <sheetViews>
    <sheetView zoomScale="85" zoomScaleNormal="85" workbookViewId="0">
      <pane ySplit="1" topLeftCell="A2" activePane="bottomLeft" state="frozen"/>
      <selection pane="bottomLeft" activeCell="E26" sqref="E26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91</v>
      </c>
      <c r="B2" s="61">
        <v>45883.864305555559</v>
      </c>
      <c r="C2" t="s">
        <v>89</v>
      </c>
      <c r="D2" t="s">
        <v>88</v>
      </c>
      <c r="F2" t="s">
        <v>41</v>
      </c>
      <c r="G2" t="s">
        <v>92</v>
      </c>
      <c r="H2" t="s">
        <v>42</v>
      </c>
      <c r="I2" t="s">
        <v>45</v>
      </c>
      <c r="J2" t="s">
        <v>43</v>
      </c>
      <c r="K2" t="s">
        <v>44</v>
      </c>
      <c r="L2">
        <v>87519.12</v>
      </c>
      <c r="M2">
        <v>-87519.12</v>
      </c>
      <c r="N2">
        <v>9687.85</v>
      </c>
      <c r="P2" t="s">
        <v>93</v>
      </c>
      <c r="Q2" s="26">
        <v>202508</v>
      </c>
    </row>
    <row r="3" spans="1:17" x14ac:dyDescent="0.2">
      <c r="A3" t="s">
        <v>94</v>
      </c>
      <c r="B3" s="61">
        <v>45883.424826388888</v>
      </c>
      <c r="C3" t="s">
        <v>89</v>
      </c>
      <c r="D3" t="s">
        <v>88</v>
      </c>
      <c r="F3" t="s">
        <v>41</v>
      </c>
      <c r="G3" t="s">
        <v>95</v>
      </c>
      <c r="H3" t="s">
        <v>42</v>
      </c>
      <c r="I3" t="s">
        <v>47</v>
      </c>
      <c r="J3" t="s">
        <v>43</v>
      </c>
      <c r="K3" t="s">
        <v>44</v>
      </c>
      <c r="L3">
        <v>91432.16</v>
      </c>
      <c r="M3">
        <v>91432.16</v>
      </c>
      <c r="N3">
        <v>97206.97</v>
      </c>
      <c r="P3" t="s">
        <v>96</v>
      </c>
      <c r="Q3" s="26">
        <v>202508</v>
      </c>
    </row>
    <row r="4" spans="1:17" x14ac:dyDescent="0.2">
      <c r="A4" t="s">
        <v>97</v>
      </c>
      <c r="B4" s="61">
        <v>45873.698865740742</v>
      </c>
      <c r="C4" t="s">
        <v>89</v>
      </c>
      <c r="D4" t="s">
        <v>88</v>
      </c>
      <c r="F4" t="s">
        <v>41</v>
      </c>
      <c r="G4" t="s">
        <v>98</v>
      </c>
      <c r="H4" t="s">
        <v>42</v>
      </c>
      <c r="I4" t="s">
        <v>45</v>
      </c>
      <c r="J4" t="s">
        <v>43</v>
      </c>
      <c r="K4" t="s">
        <v>44</v>
      </c>
      <c r="L4">
        <v>91432.16</v>
      </c>
      <c r="M4">
        <v>-91432.16</v>
      </c>
      <c r="N4">
        <v>1194.32</v>
      </c>
      <c r="P4" t="s">
        <v>99</v>
      </c>
      <c r="Q4" s="26">
        <v>202508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8C49-1A6E-4A15-8CAF-1009F196E45B}">
  <sheetPr codeName="Sheet6"/>
  <dimension ref="A1:Q29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100</v>
      </c>
      <c r="B2" s="61">
        <v>45897.810891203706</v>
      </c>
      <c r="C2" t="s">
        <v>89</v>
      </c>
      <c r="D2" t="s">
        <v>88</v>
      </c>
      <c r="E2" t="s">
        <v>101</v>
      </c>
      <c r="F2" t="s">
        <v>102</v>
      </c>
      <c r="G2" t="s">
        <v>103</v>
      </c>
      <c r="H2" t="s">
        <v>104</v>
      </c>
      <c r="I2" t="s">
        <v>47</v>
      </c>
      <c r="J2" t="s">
        <v>105</v>
      </c>
      <c r="K2" t="s">
        <v>44</v>
      </c>
      <c r="L2">
        <v>570</v>
      </c>
      <c r="M2">
        <v>570</v>
      </c>
      <c r="N2">
        <v>17242.75</v>
      </c>
      <c r="Q2">
        <v>202508</v>
      </c>
    </row>
    <row r="3" spans="1:17" x14ac:dyDescent="0.2">
      <c r="A3" t="s">
        <v>106</v>
      </c>
      <c r="B3" s="61">
        <v>45896.824444444443</v>
      </c>
      <c r="C3" t="s">
        <v>89</v>
      </c>
      <c r="D3" t="s">
        <v>88</v>
      </c>
      <c r="E3" t="s">
        <v>107</v>
      </c>
      <c r="F3" t="s">
        <v>102</v>
      </c>
      <c r="G3" t="s">
        <v>108</v>
      </c>
      <c r="H3" t="s">
        <v>104</v>
      </c>
      <c r="I3" t="s">
        <v>47</v>
      </c>
      <c r="J3" t="s">
        <v>105</v>
      </c>
      <c r="K3" t="s">
        <v>44</v>
      </c>
      <c r="L3">
        <v>54</v>
      </c>
      <c r="M3">
        <v>54</v>
      </c>
      <c r="N3">
        <v>16665.75</v>
      </c>
      <c r="Q3">
        <v>202508</v>
      </c>
    </row>
    <row r="4" spans="1:17" x14ac:dyDescent="0.2">
      <c r="A4" t="s">
        <v>109</v>
      </c>
      <c r="B4" s="61">
        <v>45895.848067129627</v>
      </c>
      <c r="C4" t="s">
        <v>89</v>
      </c>
      <c r="D4" t="s">
        <v>88</v>
      </c>
      <c r="E4" t="s">
        <v>110</v>
      </c>
      <c r="F4" t="s">
        <v>102</v>
      </c>
      <c r="G4" t="s">
        <v>111</v>
      </c>
      <c r="H4" t="s">
        <v>104</v>
      </c>
      <c r="I4" t="s">
        <v>47</v>
      </c>
      <c r="J4" t="s">
        <v>105</v>
      </c>
      <c r="K4" t="s">
        <v>44</v>
      </c>
      <c r="L4">
        <v>27</v>
      </c>
      <c r="M4">
        <v>27</v>
      </c>
      <c r="N4">
        <v>16604.75</v>
      </c>
      <c r="Q4">
        <v>202508</v>
      </c>
    </row>
    <row r="5" spans="1:17" x14ac:dyDescent="0.2">
      <c r="A5" t="s">
        <v>112</v>
      </c>
      <c r="B5" s="61">
        <v>45894.679108796299</v>
      </c>
      <c r="C5" t="s">
        <v>89</v>
      </c>
      <c r="D5" t="s">
        <v>88</v>
      </c>
      <c r="E5" t="s">
        <v>113</v>
      </c>
      <c r="F5" t="s">
        <v>102</v>
      </c>
      <c r="G5" t="s">
        <v>114</v>
      </c>
      <c r="H5" t="s">
        <v>104</v>
      </c>
      <c r="I5" t="s">
        <v>47</v>
      </c>
      <c r="J5" t="s">
        <v>105</v>
      </c>
      <c r="K5" t="s">
        <v>44</v>
      </c>
      <c r="L5">
        <v>451.68</v>
      </c>
      <c r="M5">
        <v>451.68</v>
      </c>
      <c r="N5">
        <v>16570.75</v>
      </c>
      <c r="Q5">
        <v>202508</v>
      </c>
    </row>
    <row r="6" spans="1:17" x14ac:dyDescent="0.2">
      <c r="A6" t="s">
        <v>115</v>
      </c>
      <c r="B6" s="61">
        <v>45894.646458333336</v>
      </c>
      <c r="C6" t="s">
        <v>89</v>
      </c>
      <c r="D6" t="s">
        <v>88</v>
      </c>
      <c r="E6" t="s">
        <v>116</v>
      </c>
      <c r="F6" t="s">
        <v>102</v>
      </c>
      <c r="G6" t="s">
        <v>117</v>
      </c>
      <c r="H6" t="s">
        <v>104</v>
      </c>
      <c r="I6" t="s">
        <v>47</v>
      </c>
      <c r="J6" t="s">
        <v>105</v>
      </c>
      <c r="K6" t="s">
        <v>44</v>
      </c>
      <c r="L6">
        <v>261.25</v>
      </c>
      <c r="M6">
        <v>261.25</v>
      </c>
      <c r="N6">
        <v>16112.07</v>
      </c>
      <c r="Q6">
        <v>202508</v>
      </c>
    </row>
    <row r="7" spans="1:17" x14ac:dyDescent="0.2">
      <c r="A7" t="s">
        <v>118</v>
      </c>
      <c r="B7" s="61">
        <v>45890.888981481483</v>
      </c>
      <c r="C7" t="s">
        <v>89</v>
      </c>
      <c r="D7" t="s">
        <v>88</v>
      </c>
      <c r="E7" t="s">
        <v>119</v>
      </c>
      <c r="F7" t="s">
        <v>102</v>
      </c>
      <c r="G7" t="s">
        <v>120</v>
      </c>
      <c r="H7" t="s">
        <v>104</v>
      </c>
      <c r="I7" t="s">
        <v>47</v>
      </c>
      <c r="J7" t="s">
        <v>105</v>
      </c>
      <c r="K7" t="s">
        <v>44</v>
      </c>
      <c r="L7">
        <v>141.56</v>
      </c>
      <c r="M7">
        <v>141.56</v>
      </c>
      <c r="N7">
        <v>11289.41</v>
      </c>
      <c r="Q7">
        <v>202508</v>
      </c>
    </row>
    <row r="8" spans="1:17" x14ac:dyDescent="0.2">
      <c r="A8" t="s">
        <v>121</v>
      </c>
      <c r="B8" s="61">
        <v>45888.85664351852</v>
      </c>
      <c r="C8" t="s">
        <v>89</v>
      </c>
      <c r="D8" t="s">
        <v>88</v>
      </c>
      <c r="F8" t="s">
        <v>102</v>
      </c>
      <c r="G8" t="s">
        <v>122</v>
      </c>
      <c r="H8" t="s">
        <v>104</v>
      </c>
      <c r="I8" t="s">
        <v>47</v>
      </c>
      <c r="J8" t="s">
        <v>105</v>
      </c>
      <c r="K8" t="s">
        <v>44</v>
      </c>
      <c r="L8">
        <v>432</v>
      </c>
      <c r="M8">
        <v>432</v>
      </c>
      <c r="N8">
        <v>11120.85</v>
      </c>
      <c r="Q8">
        <v>202508</v>
      </c>
    </row>
    <row r="9" spans="1:17" x14ac:dyDescent="0.2">
      <c r="A9" t="s">
        <v>123</v>
      </c>
      <c r="B9" s="61">
        <v>45887.65452546296</v>
      </c>
      <c r="C9" t="s">
        <v>89</v>
      </c>
      <c r="D9" t="s">
        <v>88</v>
      </c>
      <c r="E9" t="s">
        <v>110</v>
      </c>
      <c r="F9" t="s">
        <v>102</v>
      </c>
      <c r="G9" t="s">
        <v>124</v>
      </c>
      <c r="H9" t="s">
        <v>104</v>
      </c>
      <c r="I9" t="s">
        <v>47</v>
      </c>
      <c r="J9" t="s">
        <v>105</v>
      </c>
      <c r="K9" t="s">
        <v>44</v>
      </c>
      <c r="L9">
        <v>27</v>
      </c>
      <c r="M9">
        <v>27</v>
      </c>
      <c r="N9">
        <v>10681.85</v>
      </c>
      <c r="Q9">
        <v>202508</v>
      </c>
    </row>
    <row r="10" spans="1:17" x14ac:dyDescent="0.2">
      <c r="A10" t="s">
        <v>125</v>
      </c>
      <c r="B10" s="61">
        <v>45887.626238425924</v>
      </c>
      <c r="C10" t="s">
        <v>89</v>
      </c>
      <c r="D10" t="s">
        <v>88</v>
      </c>
      <c r="E10" t="s">
        <v>126</v>
      </c>
      <c r="F10" t="s">
        <v>102</v>
      </c>
      <c r="G10" t="s">
        <v>127</v>
      </c>
      <c r="H10" t="s">
        <v>104</v>
      </c>
      <c r="I10" t="s">
        <v>47</v>
      </c>
      <c r="J10" t="s">
        <v>105</v>
      </c>
      <c r="K10" t="s">
        <v>44</v>
      </c>
      <c r="L10">
        <v>501</v>
      </c>
      <c r="M10">
        <v>501</v>
      </c>
      <c r="N10">
        <v>10647.85</v>
      </c>
      <c r="Q10">
        <v>202508</v>
      </c>
    </row>
    <row r="11" spans="1:17" x14ac:dyDescent="0.2">
      <c r="A11" t="s">
        <v>128</v>
      </c>
      <c r="B11" s="61">
        <v>45884.872696759259</v>
      </c>
      <c r="C11" t="s">
        <v>89</v>
      </c>
      <c r="D11" t="s">
        <v>88</v>
      </c>
      <c r="F11" t="s">
        <v>102</v>
      </c>
      <c r="G11" t="s">
        <v>129</v>
      </c>
      <c r="H11" t="s">
        <v>104</v>
      </c>
      <c r="I11" t="s">
        <v>47</v>
      </c>
      <c r="J11" t="s">
        <v>105</v>
      </c>
      <c r="K11" t="s">
        <v>44</v>
      </c>
      <c r="L11">
        <v>432</v>
      </c>
      <c r="M11">
        <v>432</v>
      </c>
      <c r="N11">
        <v>10119.85</v>
      </c>
      <c r="Q11">
        <v>202508</v>
      </c>
    </row>
    <row r="12" spans="1:17" x14ac:dyDescent="0.2">
      <c r="A12" t="s">
        <v>130</v>
      </c>
      <c r="B12" s="61">
        <v>45882.847546296296</v>
      </c>
      <c r="C12" t="s">
        <v>89</v>
      </c>
      <c r="D12" t="s">
        <v>88</v>
      </c>
      <c r="F12" t="s">
        <v>102</v>
      </c>
      <c r="G12" t="s">
        <v>131</v>
      </c>
      <c r="H12" t="s">
        <v>104</v>
      </c>
      <c r="I12" t="s">
        <v>47</v>
      </c>
      <c r="J12" t="s">
        <v>105</v>
      </c>
      <c r="K12" t="s">
        <v>44</v>
      </c>
      <c r="L12">
        <v>261.25</v>
      </c>
      <c r="M12">
        <v>261.25</v>
      </c>
      <c r="N12">
        <v>5767.81</v>
      </c>
      <c r="Q12">
        <v>202508</v>
      </c>
    </row>
    <row r="13" spans="1:17" x14ac:dyDescent="0.2">
      <c r="A13" t="s">
        <v>132</v>
      </c>
      <c r="B13" s="61">
        <v>45882.847280092596</v>
      </c>
      <c r="C13" t="s">
        <v>89</v>
      </c>
      <c r="D13" t="s">
        <v>88</v>
      </c>
      <c r="F13" t="s">
        <v>102</v>
      </c>
      <c r="G13" t="s">
        <v>133</v>
      </c>
      <c r="H13" t="s">
        <v>104</v>
      </c>
      <c r="I13" t="s">
        <v>47</v>
      </c>
      <c r="J13" t="s">
        <v>105</v>
      </c>
      <c r="K13" t="s">
        <v>44</v>
      </c>
      <c r="L13">
        <v>501</v>
      </c>
      <c r="M13">
        <v>501</v>
      </c>
      <c r="N13">
        <v>5499.56</v>
      </c>
      <c r="Q13">
        <v>202508</v>
      </c>
    </row>
    <row r="14" spans="1:17" x14ac:dyDescent="0.2">
      <c r="A14" t="s">
        <v>134</v>
      </c>
      <c r="B14" s="61">
        <v>45881.840451388889</v>
      </c>
      <c r="C14" t="s">
        <v>89</v>
      </c>
      <c r="D14" t="s">
        <v>88</v>
      </c>
      <c r="E14" t="s">
        <v>110</v>
      </c>
      <c r="F14" t="s">
        <v>102</v>
      </c>
      <c r="G14" t="s">
        <v>135</v>
      </c>
      <c r="H14" t="s">
        <v>104</v>
      </c>
      <c r="I14" t="s">
        <v>47</v>
      </c>
      <c r="J14" t="s">
        <v>105</v>
      </c>
      <c r="K14" t="s">
        <v>44</v>
      </c>
      <c r="L14">
        <v>1106.24</v>
      </c>
      <c r="M14">
        <v>1106.24</v>
      </c>
      <c r="N14">
        <v>4982.5600000000004</v>
      </c>
      <c r="Q14">
        <v>202508</v>
      </c>
    </row>
    <row r="15" spans="1:17" x14ac:dyDescent="0.2">
      <c r="A15" t="s">
        <v>136</v>
      </c>
      <c r="B15" s="61">
        <v>45881.838888888888</v>
      </c>
      <c r="C15" t="s">
        <v>89</v>
      </c>
      <c r="D15" t="s">
        <v>88</v>
      </c>
      <c r="E15" t="s">
        <v>126</v>
      </c>
      <c r="F15" t="s">
        <v>102</v>
      </c>
      <c r="G15" t="s">
        <v>137</v>
      </c>
      <c r="H15" t="s">
        <v>104</v>
      </c>
      <c r="I15" t="s">
        <v>47</v>
      </c>
      <c r="J15" t="s">
        <v>105</v>
      </c>
      <c r="K15" t="s">
        <v>44</v>
      </c>
      <c r="L15">
        <v>80</v>
      </c>
      <c r="M15">
        <v>80</v>
      </c>
      <c r="N15">
        <v>3869.32</v>
      </c>
      <c r="Q15">
        <v>202508</v>
      </c>
    </row>
    <row r="16" spans="1:17" x14ac:dyDescent="0.2">
      <c r="A16" t="s">
        <v>138</v>
      </c>
      <c r="B16" s="61">
        <v>45881.792118055557</v>
      </c>
      <c r="C16" t="s">
        <v>89</v>
      </c>
      <c r="D16" t="s">
        <v>88</v>
      </c>
      <c r="E16" t="s">
        <v>116</v>
      </c>
      <c r="F16" t="s">
        <v>102</v>
      </c>
      <c r="G16" t="s">
        <v>139</v>
      </c>
      <c r="H16" t="s">
        <v>104</v>
      </c>
      <c r="I16" t="s">
        <v>47</v>
      </c>
      <c r="J16" t="s">
        <v>105</v>
      </c>
      <c r="K16" t="s">
        <v>44</v>
      </c>
      <c r="L16">
        <v>261.25</v>
      </c>
      <c r="M16">
        <v>261.25</v>
      </c>
      <c r="N16">
        <v>3782.32</v>
      </c>
      <c r="Q16">
        <v>202508</v>
      </c>
    </row>
    <row r="17" spans="1:17" x14ac:dyDescent="0.2">
      <c r="A17" t="s">
        <v>140</v>
      </c>
      <c r="B17" s="61">
        <v>45877.819849537038</v>
      </c>
      <c r="C17" t="s">
        <v>89</v>
      </c>
      <c r="D17" t="s">
        <v>88</v>
      </c>
      <c r="F17" t="s">
        <v>102</v>
      </c>
      <c r="G17" t="s">
        <v>141</v>
      </c>
      <c r="H17" t="s">
        <v>104</v>
      </c>
      <c r="I17" t="s">
        <v>47</v>
      </c>
      <c r="J17" t="s">
        <v>105</v>
      </c>
      <c r="K17" t="s">
        <v>44</v>
      </c>
      <c r="L17">
        <v>570</v>
      </c>
      <c r="M17">
        <v>570</v>
      </c>
      <c r="N17">
        <v>3514.07</v>
      </c>
      <c r="Q17">
        <v>202508</v>
      </c>
    </row>
    <row r="18" spans="1:17" x14ac:dyDescent="0.2">
      <c r="A18" t="s">
        <v>142</v>
      </c>
      <c r="B18" s="61">
        <v>45876.89916666667</v>
      </c>
      <c r="C18" t="s">
        <v>89</v>
      </c>
      <c r="D18" t="s">
        <v>88</v>
      </c>
      <c r="F18" t="s">
        <v>102</v>
      </c>
      <c r="G18" t="s">
        <v>143</v>
      </c>
      <c r="H18" t="s">
        <v>104</v>
      </c>
      <c r="I18" t="s">
        <v>47</v>
      </c>
      <c r="J18" t="s">
        <v>105</v>
      </c>
      <c r="K18" t="s">
        <v>44</v>
      </c>
      <c r="L18">
        <v>261.25</v>
      </c>
      <c r="M18">
        <v>261.25</v>
      </c>
      <c r="N18">
        <v>2937.07</v>
      </c>
      <c r="Q18">
        <v>202508</v>
      </c>
    </row>
    <row r="19" spans="1:17" x14ac:dyDescent="0.2">
      <c r="A19" t="s">
        <v>144</v>
      </c>
      <c r="B19" s="61">
        <v>45875.852025462962</v>
      </c>
      <c r="C19" t="s">
        <v>89</v>
      </c>
      <c r="D19" t="s">
        <v>88</v>
      </c>
      <c r="E19" t="s">
        <v>116</v>
      </c>
      <c r="F19" t="s">
        <v>102</v>
      </c>
      <c r="G19" t="s">
        <v>145</v>
      </c>
      <c r="H19" t="s">
        <v>104</v>
      </c>
      <c r="I19" t="s">
        <v>47</v>
      </c>
      <c r="J19" t="s">
        <v>105</v>
      </c>
      <c r="K19" t="s">
        <v>44</v>
      </c>
      <c r="L19">
        <v>27</v>
      </c>
      <c r="M19">
        <v>27</v>
      </c>
      <c r="N19">
        <v>2668.82</v>
      </c>
      <c r="Q19">
        <v>202508</v>
      </c>
    </row>
    <row r="20" spans="1:17" x14ac:dyDescent="0.2">
      <c r="A20" t="s">
        <v>146</v>
      </c>
      <c r="B20" s="61">
        <v>45875.841817129629</v>
      </c>
      <c r="C20" t="s">
        <v>89</v>
      </c>
      <c r="D20" t="s">
        <v>88</v>
      </c>
      <c r="E20" t="s">
        <v>116</v>
      </c>
      <c r="F20" t="s">
        <v>102</v>
      </c>
      <c r="G20" t="s">
        <v>147</v>
      </c>
      <c r="H20" t="s">
        <v>104</v>
      </c>
      <c r="I20" t="s">
        <v>47</v>
      </c>
      <c r="J20" t="s">
        <v>105</v>
      </c>
      <c r="K20" t="s">
        <v>44</v>
      </c>
      <c r="L20">
        <v>522.5</v>
      </c>
      <c r="M20">
        <v>522.5</v>
      </c>
      <c r="N20">
        <v>2634.82</v>
      </c>
      <c r="Q20">
        <v>202508</v>
      </c>
    </row>
    <row r="21" spans="1:17" x14ac:dyDescent="0.2">
      <c r="A21" t="s">
        <v>148</v>
      </c>
      <c r="B21" s="61">
        <v>45874.856851851851</v>
      </c>
      <c r="C21" t="s">
        <v>89</v>
      </c>
      <c r="D21" t="s">
        <v>88</v>
      </c>
      <c r="F21" t="s">
        <v>102</v>
      </c>
      <c r="G21" t="s">
        <v>149</v>
      </c>
      <c r="H21" t="s">
        <v>104</v>
      </c>
      <c r="I21" t="s">
        <v>47</v>
      </c>
      <c r="J21" t="s">
        <v>105</v>
      </c>
      <c r="K21" t="s">
        <v>44</v>
      </c>
      <c r="L21">
        <v>432</v>
      </c>
      <c r="M21">
        <v>432</v>
      </c>
      <c r="N21">
        <v>2085.3200000000002</v>
      </c>
      <c r="Q21">
        <v>202508</v>
      </c>
    </row>
    <row r="22" spans="1:17" x14ac:dyDescent="0.2">
      <c r="A22" t="s">
        <v>150</v>
      </c>
      <c r="B22" s="61">
        <v>45873.861863425926</v>
      </c>
      <c r="C22" t="s">
        <v>89</v>
      </c>
      <c r="D22" t="s">
        <v>88</v>
      </c>
      <c r="F22" t="s">
        <v>102</v>
      </c>
      <c r="G22" t="s">
        <v>151</v>
      </c>
      <c r="H22" t="s">
        <v>104</v>
      </c>
      <c r="I22" t="s">
        <v>47</v>
      </c>
      <c r="J22" t="s">
        <v>105</v>
      </c>
      <c r="K22" t="s">
        <v>44</v>
      </c>
      <c r="L22">
        <v>432</v>
      </c>
      <c r="M22">
        <v>432</v>
      </c>
      <c r="N22">
        <v>1626.32</v>
      </c>
      <c r="Q22">
        <v>202508</v>
      </c>
    </row>
    <row r="23" spans="1:17" x14ac:dyDescent="0.2">
      <c r="A23" t="s">
        <v>152</v>
      </c>
      <c r="B23" s="61">
        <v>45870.80672453704</v>
      </c>
      <c r="C23" t="s">
        <v>89</v>
      </c>
      <c r="D23" t="s">
        <v>88</v>
      </c>
      <c r="E23" t="s">
        <v>153</v>
      </c>
      <c r="F23" t="s">
        <v>102</v>
      </c>
      <c r="G23" t="s">
        <v>154</v>
      </c>
      <c r="H23" t="s">
        <v>104</v>
      </c>
      <c r="I23" t="s">
        <v>47</v>
      </c>
      <c r="J23" t="s">
        <v>105</v>
      </c>
      <c r="K23" t="s">
        <v>44</v>
      </c>
      <c r="L23">
        <v>570</v>
      </c>
      <c r="M23">
        <v>570</v>
      </c>
      <c r="N23">
        <v>92619.48</v>
      </c>
      <c r="Q23">
        <v>202508</v>
      </c>
    </row>
    <row r="24" spans="1:17" x14ac:dyDescent="0.2">
      <c r="A24" t="s">
        <v>155</v>
      </c>
      <c r="B24" s="61">
        <v>45870.806458333333</v>
      </c>
      <c r="C24" t="s">
        <v>89</v>
      </c>
      <c r="D24" t="s">
        <v>88</v>
      </c>
      <c r="F24" t="s">
        <v>102</v>
      </c>
      <c r="G24" t="s">
        <v>156</v>
      </c>
      <c r="H24" t="s">
        <v>104</v>
      </c>
      <c r="I24" t="s">
        <v>47</v>
      </c>
      <c r="J24" t="s">
        <v>105</v>
      </c>
      <c r="K24" t="s">
        <v>44</v>
      </c>
      <c r="L24">
        <v>27</v>
      </c>
      <c r="M24">
        <v>27</v>
      </c>
      <c r="N24">
        <v>92042.48</v>
      </c>
      <c r="Q24">
        <v>202508</v>
      </c>
    </row>
    <row r="25" spans="1:17" x14ac:dyDescent="0.2">
      <c r="A25" t="s">
        <v>157</v>
      </c>
      <c r="B25" s="61">
        <v>45870.805648148147</v>
      </c>
      <c r="C25" t="s">
        <v>89</v>
      </c>
      <c r="D25" t="s">
        <v>88</v>
      </c>
      <c r="E25" t="s">
        <v>116</v>
      </c>
      <c r="F25" t="s">
        <v>102</v>
      </c>
      <c r="G25" t="s">
        <v>158</v>
      </c>
      <c r="H25" t="s">
        <v>104</v>
      </c>
      <c r="I25" t="s">
        <v>47</v>
      </c>
      <c r="J25" t="s">
        <v>105</v>
      </c>
      <c r="K25" t="s">
        <v>44</v>
      </c>
      <c r="L25">
        <v>567.32000000000005</v>
      </c>
      <c r="M25">
        <v>567.32000000000005</v>
      </c>
      <c r="N25">
        <v>91999.48</v>
      </c>
      <c r="Q25">
        <v>202508</v>
      </c>
    </row>
    <row r="26" spans="1:17" x14ac:dyDescent="0.2">
      <c r="A26" t="s">
        <v>159</v>
      </c>
      <c r="C26" t="s">
        <v>89</v>
      </c>
      <c r="D26" t="s">
        <v>88</v>
      </c>
      <c r="E26" t="s">
        <v>88</v>
      </c>
      <c r="F26" t="s">
        <v>102</v>
      </c>
      <c r="G26" t="s">
        <v>122</v>
      </c>
      <c r="H26" t="s">
        <v>104</v>
      </c>
      <c r="I26" t="s">
        <v>45</v>
      </c>
      <c r="J26" t="s">
        <v>105</v>
      </c>
      <c r="K26" t="s">
        <v>44</v>
      </c>
      <c r="M26">
        <v>-432</v>
      </c>
      <c r="P26" t="s">
        <v>160</v>
      </c>
      <c r="Q26">
        <v>202508</v>
      </c>
    </row>
    <row r="27" spans="1:17" x14ac:dyDescent="0.2">
      <c r="A27" t="s">
        <v>159</v>
      </c>
      <c r="C27" t="s">
        <v>89</v>
      </c>
      <c r="D27" t="s">
        <v>88</v>
      </c>
      <c r="E27" t="s">
        <v>88</v>
      </c>
      <c r="F27" t="s">
        <v>102</v>
      </c>
      <c r="G27" t="s">
        <v>129</v>
      </c>
      <c r="H27" t="s">
        <v>104</v>
      </c>
      <c r="I27" t="s">
        <v>45</v>
      </c>
      <c r="J27" t="s">
        <v>105</v>
      </c>
      <c r="K27" t="s">
        <v>44</v>
      </c>
      <c r="M27">
        <v>-432</v>
      </c>
      <c r="P27" t="s">
        <v>160</v>
      </c>
      <c r="Q27">
        <v>202508</v>
      </c>
    </row>
    <row r="28" spans="1:17" x14ac:dyDescent="0.2">
      <c r="A28" t="s">
        <v>159</v>
      </c>
      <c r="C28" t="s">
        <v>89</v>
      </c>
      <c r="D28" t="s">
        <v>88</v>
      </c>
      <c r="E28" t="s">
        <v>88</v>
      </c>
      <c r="F28" t="s">
        <v>102</v>
      </c>
      <c r="G28" t="s">
        <v>151</v>
      </c>
      <c r="H28" t="s">
        <v>104</v>
      </c>
      <c r="I28" t="s">
        <v>45</v>
      </c>
      <c r="J28" t="s">
        <v>105</v>
      </c>
      <c r="K28" t="s">
        <v>44</v>
      </c>
      <c r="M28">
        <v>-432</v>
      </c>
      <c r="P28" t="s">
        <v>160</v>
      </c>
      <c r="Q28">
        <v>202508</v>
      </c>
    </row>
    <row r="29" spans="1:17" x14ac:dyDescent="0.2">
      <c r="A29" t="s">
        <v>159</v>
      </c>
      <c r="C29" t="s">
        <v>89</v>
      </c>
      <c r="D29" t="s">
        <v>88</v>
      </c>
      <c r="E29" t="s">
        <v>88</v>
      </c>
      <c r="F29" t="s">
        <v>102</v>
      </c>
      <c r="G29" t="s">
        <v>161</v>
      </c>
      <c r="H29" t="s">
        <v>104</v>
      </c>
      <c r="I29" t="s">
        <v>45</v>
      </c>
      <c r="J29" t="s">
        <v>105</v>
      </c>
      <c r="K29" t="s">
        <v>44</v>
      </c>
      <c r="M29">
        <v>-432</v>
      </c>
      <c r="P29" t="s">
        <v>160</v>
      </c>
      <c r="Q29">
        <v>202507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11AA-D306-47A5-8567-EBD925F745DB}">
  <sheetPr codeName="Sheet10"/>
  <dimension ref="A1:Q29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customWidth="1"/>
    <col min="3" max="3" width="22.5" customWidth="1"/>
    <col min="4" max="4" width="37.375" customWidth="1"/>
    <col min="5" max="5" width="17.125" customWidth="1"/>
    <col min="7" max="7" width="9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46</v>
      </c>
    </row>
    <row r="2" spans="1:17" x14ac:dyDescent="0.2">
      <c r="A2" t="s">
        <v>162</v>
      </c>
      <c r="B2" s="61">
        <v>45897.810891203706</v>
      </c>
      <c r="C2" t="s">
        <v>89</v>
      </c>
      <c r="D2" t="s">
        <v>88</v>
      </c>
      <c r="E2" t="s">
        <v>101</v>
      </c>
      <c r="F2" t="s">
        <v>102</v>
      </c>
      <c r="G2" t="s">
        <v>103</v>
      </c>
      <c r="H2" t="s">
        <v>163</v>
      </c>
      <c r="I2" t="s">
        <v>47</v>
      </c>
      <c r="J2" t="s">
        <v>105</v>
      </c>
      <c r="K2" t="s">
        <v>44</v>
      </c>
      <c r="L2">
        <v>7</v>
      </c>
      <c r="M2">
        <v>7</v>
      </c>
      <c r="N2">
        <v>17249.75</v>
      </c>
      <c r="Q2">
        <v>202508</v>
      </c>
    </row>
    <row r="3" spans="1:17" x14ac:dyDescent="0.2">
      <c r="A3" t="s">
        <v>164</v>
      </c>
      <c r="B3" s="61">
        <v>45896.824444444443</v>
      </c>
      <c r="C3" t="s">
        <v>89</v>
      </c>
      <c r="D3" t="s">
        <v>88</v>
      </c>
      <c r="E3" t="s">
        <v>107</v>
      </c>
      <c r="F3" t="s">
        <v>102</v>
      </c>
      <c r="G3" t="s">
        <v>108</v>
      </c>
      <c r="H3" t="s">
        <v>163</v>
      </c>
      <c r="I3" t="s">
        <v>47</v>
      </c>
      <c r="J3" t="s">
        <v>105</v>
      </c>
      <c r="K3" t="s">
        <v>44</v>
      </c>
      <c r="L3">
        <v>7</v>
      </c>
      <c r="M3">
        <v>7</v>
      </c>
      <c r="N3">
        <v>16672.75</v>
      </c>
      <c r="Q3">
        <v>202508</v>
      </c>
    </row>
    <row r="4" spans="1:17" x14ac:dyDescent="0.2">
      <c r="A4" t="s">
        <v>165</v>
      </c>
      <c r="B4" s="61">
        <v>45895.848067129627</v>
      </c>
      <c r="C4" t="s">
        <v>89</v>
      </c>
      <c r="D4" t="s">
        <v>88</v>
      </c>
      <c r="E4" t="s">
        <v>110</v>
      </c>
      <c r="F4" t="s">
        <v>102</v>
      </c>
      <c r="G4" t="s">
        <v>111</v>
      </c>
      <c r="H4" t="s">
        <v>163</v>
      </c>
      <c r="I4" t="s">
        <v>47</v>
      </c>
      <c r="J4" t="s">
        <v>105</v>
      </c>
      <c r="K4" t="s">
        <v>44</v>
      </c>
      <c r="L4">
        <v>7</v>
      </c>
      <c r="M4">
        <v>7</v>
      </c>
      <c r="N4">
        <v>16611.75</v>
      </c>
      <c r="Q4">
        <v>202508</v>
      </c>
    </row>
    <row r="5" spans="1:17" x14ac:dyDescent="0.2">
      <c r="A5" t="s">
        <v>166</v>
      </c>
      <c r="B5" s="61">
        <v>45894.679108796299</v>
      </c>
      <c r="C5" t="s">
        <v>89</v>
      </c>
      <c r="D5" t="s">
        <v>88</v>
      </c>
      <c r="E5" t="s">
        <v>113</v>
      </c>
      <c r="F5" t="s">
        <v>102</v>
      </c>
      <c r="G5" t="s">
        <v>114</v>
      </c>
      <c r="H5" t="s">
        <v>163</v>
      </c>
      <c r="I5" t="s">
        <v>47</v>
      </c>
      <c r="J5" t="s">
        <v>105</v>
      </c>
      <c r="K5" t="s">
        <v>44</v>
      </c>
      <c r="L5">
        <v>7</v>
      </c>
      <c r="M5">
        <v>7</v>
      </c>
      <c r="N5">
        <v>16577.75</v>
      </c>
      <c r="Q5">
        <v>202508</v>
      </c>
    </row>
    <row r="6" spans="1:17" x14ac:dyDescent="0.2">
      <c r="A6" t="s">
        <v>167</v>
      </c>
      <c r="B6" s="61">
        <v>45894.646458333336</v>
      </c>
      <c r="C6" t="s">
        <v>89</v>
      </c>
      <c r="D6" t="s">
        <v>88</v>
      </c>
      <c r="E6" t="s">
        <v>116</v>
      </c>
      <c r="F6" t="s">
        <v>102</v>
      </c>
      <c r="G6" t="s">
        <v>117</v>
      </c>
      <c r="H6" t="s">
        <v>163</v>
      </c>
      <c r="I6" t="s">
        <v>47</v>
      </c>
      <c r="J6" t="s">
        <v>105</v>
      </c>
      <c r="K6" t="s">
        <v>44</v>
      </c>
      <c r="L6">
        <v>7</v>
      </c>
      <c r="M6">
        <v>7</v>
      </c>
      <c r="N6">
        <v>16119.07</v>
      </c>
      <c r="Q6">
        <v>202508</v>
      </c>
    </row>
    <row r="7" spans="1:17" x14ac:dyDescent="0.2">
      <c r="A7" t="s">
        <v>168</v>
      </c>
      <c r="B7" s="61">
        <v>45890.888981481483</v>
      </c>
      <c r="C7" t="s">
        <v>89</v>
      </c>
      <c r="D7" t="s">
        <v>88</v>
      </c>
      <c r="E7" t="s">
        <v>119</v>
      </c>
      <c r="F7" t="s">
        <v>102</v>
      </c>
      <c r="G7" t="s">
        <v>120</v>
      </c>
      <c r="H7" t="s">
        <v>163</v>
      </c>
      <c r="I7" t="s">
        <v>47</v>
      </c>
      <c r="J7" t="s">
        <v>105</v>
      </c>
      <c r="K7" t="s">
        <v>44</v>
      </c>
      <c r="L7">
        <v>7</v>
      </c>
      <c r="M7">
        <v>7</v>
      </c>
      <c r="N7">
        <v>11296.41</v>
      </c>
      <c r="Q7">
        <v>202508</v>
      </c>
    </row>
    <row r="8" spans="1:17" x14ac:dyDescent="0.2">
      <c r="A8" t="s">
        <v>169</v>
      </c>
      <c r="B8" s="61">
        <v>45888.85664351852</v>
      </c>
      <c r="C8" t="s">
        <v>89</v>
      </c>
      <c r="D8" t="s">
        <v>88</v>
      </c>
      <c r="F8" t="s">
        <v>102</v>
      </c>
      <c r="G8" t="s">
        <v>122</v>
      </c>
      <c r="H8" t="s">
        <v>163</v>
      </c>
      <c r="I8" t="s">
        <v>47</v>
      </c>
      <c r="J8" t="s">
        <v>105</v>
      </c>
      <c r="K8" t="s">
        <v>44</v>
      </c>
      <c r="L8">
        <v>27</v>
      </c>
      <c r="M8">
        <v>27</v>
      </c>
      <c r="N8">
        <v>11147.85</v>
      </c>
      <c r="Q8">
        <v>202508</v>
      </c>
    </row>
    <row r="9" spans="1:17" x14ac:dyDescent="0.2">
      <c r="A9" t="s">
        <v>170</v>
      </c>
      <c r="B9" s="61">
        <v>45887.65452546296</v>
      </c>
      <c r="C9" t="s">
        <v>89</v>
      </c>
      <c r="D9" t="s">
        <v>88</v>
      </c>
      <c r="E9" t="s">
        <v>110</v>
      </c>
      <c r="F9" t="s">
        <v>102</v>
      </c>
      <c r="G9" t="s">
        <v>124</v>
      </c>
      <c r="H9" t="s">
        <v>163</v>
      </c>
      <c r="I9" t="s">
        <v>47</v>
      </c>
      <c r="J9" t="s">
        <v>105</v>
      </c>
      <c r="K9" t="s">
        <v>44</v>
      </c>
      <c r="L9">
        <v>7</v>
      </c>
      <c r="M9">
        <v>7</v>
      </c>
      <c r="N9">
        <v>10688.85</v>
      </c>
      <c r="Q9">
        <v>202508</v>
      </c>
    </row>
    <row r="10" spans="1:17" x14ac:dyDescent="0.2">
      <c r="A10" t="s">
        <v>171</v>
      </c>
      <c r="B10" s="61">
        <v>45887.626238425924</v>
      </c>
      <c r="C10" t="s">
        <v>89</v>
      </c>
      <c r="D10" t="s">
        <v>88</v>
      </c>
      <c r="E10" t="s">
        <v>126</v>
      </c>
      <c r="F10" t="s">
        <v>102</v>
      </c>
      <c r="G10" t="s">
        <v>127</v>
      </c>
      <c r="H10" t="s">
        <v>163</v>
      </c>
      <c r="I10" t="s">
        <v>47</v>
      </c>
      <c r="J10" t="s">
        <v>105</v>
      </c>
      <c r="K10" t="s">
        <v>44</v>
      </c>
      <c r="L10">
        <v>7</v>
      </c>
      <c r="M10">
        <v>7</v>
      </c>
      <c r="N10">
        <v>10654.85</v>
      </c>
      <c r="Q10">
        <v>202508</v>
      </c>
    </row>
    <row r="11" spans="1:17" x14ac:dyDescent="0.2">
      <c r="A11" t="s">
        <v>172</v>
      </c>
      <c r="B11" s="61">
        <v>45884.872696759259</v>
      </c>
      <c r="C11" t="s">
        <v>89</v>
      </c>
      <c r="D11" t="s">
        <v>88</v>
      </c>
      <c r="F11" t="s">
        <v>102</v>
      </c>
      <c r="G11" t="s">
        <v>129</v>
      </c>
      <c r="H11" t="s">
        <v>163</v>
      </c>
      <c r="I11" t="s">
        <v>47</v>
      </c>
      <c r="J11" t="s">
        <v>105</v>
      </c>
      <c r="K11" t="s">
        <v>44</v>
      </c>
      <c r="L11">
        <v>27</v>
      </c>
      <c r="M11">
        <v>27</v>
      </c>
      <c r="N11">
        <v>10146.85</v>
      </c>
      <c r="Q11">
        <v>202508</v>
      </c>
    </row>
    <row r="12" spans="1:17" x14ac:dyDescent="0.2">
      <c r="A12" t="s">
        <v>173</v>
      </c>
      <c r="B12" s="61">
        <v>45882.847546296296</v>
      </c>
      <c r="C12" t="s">
        <v>89</v>
      </c>
      <c r="D12" t="s">
        <v>88</v>
      </c>
      <c r="F12" t="s">
        <v>102</v>
      </c>
      <c r="G12" t="s">
        <v>131</v>
      </c>
      <c r="H12" t="s">
        <v>163</v>
      </c>
      <c r="I12" t="s">
        <v>47</v>
      </c>
      <c r="J12" t="s">
        <v>105</v>
      </c>
      <c r="K12" t="s">
        <v>44</v>
      </c>
      <c r="L12">
        <v>7</v>
      </c>
      <c r="M12">
        <v>7</v>
      </c>
      <c r="N12">
        <v>5774.81</v>
      </c>
      <c r="Q12">
        <v>202508</v>
      </c>
    </row>
    <row r="13" spans="1:17" x14ac:dyDescent="0.2">
      <c r="A13" t="s">
        <v>174</v>
      </c>
      <c r="B13" s="61">
        <v>45882.847280092596</v>
      </c>
      <c r="C13" t="s">
        <v>89</v>
      </c>
      <c r="D13" t="s">
        <v>88</v>
      </c>
      <c r="F13" t="s">
        <v>102</v>
      </c>
      <c r="G13" t="s">
        <v>133</v>
      </c>
      <c r="H13" t="s">
        <v>163</v>
      </c>
      <c r="I13" t="s">
        <v>47</v>
      </c>
      <c r="J13" t="s">
        <v>105</v>
      </c>
      <c r="K13" t="s">
        <v>44</v>
      </c>
      <c r="L13">
        <v>7</v>
      </c>
      <c r="M13">
        <v>7</v>
      </c>
      <c r="N13">
        <v>5506.56</v>
      </c>
      <c r="Q13">
        <v>202508</v>
      </c>
    </row>
    <row r="14" spans="1:17" x14ac:dyDescent="0.2">
      <c r="A14" t="s">
        <v>175</v>
      </c>
      <c r="B14" s="61">
        <v>45881.840451388889</v>
      </c>
      <c r="C14" t="s">
        <v>89</v>
      </c>
      <c r="D14" t="s">
        <v>88</v>
      </c>
      <c r="E14" t="s">
        <v>110</v>
      </c>
      <c r="F14" t="s">
        <v>102</v>
      </c>
      <c r="G14" t="s">
        <v>135</v>
      </c>
      <c r="H14" t="s">
        <v>163</v>
      </c>
      <c r="I14" t="s">
        <v>47</v>
      </c>
      <c r="J14" t="s">
        <v>105</v>
      </c>
      <c r="K14" t="s">
        <v>44</v>
      </c>
      <c r="L14">
        <v>16</v>
      </c>
      <c r="M14">
        <v>16</v>
      </c>
      <c r="N14">
        <v>4998.5600000000004</v>
      </c>
      <c r="Q14">
        <v>202508</v>
      </c>
    </row>
    <row r="15" spans="1:17" x14ac:dyDescent="0.2">
      <c r="A15" t="s">
        <v>176</v>
      </c>
      <c r="B15" s="61">
        <v>45881.838888888888</v>
      </c>
      <c r="C15" t="s">
        <v>89</v>
      </c>
      <c r="D15" t="s">
        <v>88</v>
      </c>
      <c r="E15" t="s">
        <v>126</v>
      </c>
      <c r="F15" t="s">
        <v>102</v>
      </c>
      <c r="G15" t="s">
        <v>137</v>
      </c>
      <c r="H15" t="s">
        <v>163</v>
      </c>
      <c r="I15" t="s">
        <v>47</v>
      </c>
      <c r="J15" t="s">
        <v>105</v>
      </c>
      <c r="K15" t="s">
        <v>44</v>
      </c>
      <c r="L15">
        <v>7</v>
      </c>
      <c r="M15">
        <v>7</v>
      </c>
      <c r="N15">
        <v>3876.32</v>
      </c>
      <c r="Q15">
        <v>202508</v>
      </c>
    </row>
    <row r="16" spans="1:17" x14ac:dyDescent="0.2">
      <c r="A16" t="s">
        <v>177</v>
      </c>
      <c r="B16" s="61">
        <v>45881.792118055557</v>
      </c>
      <c r="C16" t="s">
        <v>89</v>
      </c>
      <c r="D16" t="s">
        <v>88</v>
      </c>
      <c r="E16" t="s">
        <v>116</v>
      </c>
      <c r="F16" t="s">
        <v>102</v>
      </c>
      <c r="G16" t="s">
        <v>139</v>
      </c>
      <c r="H16" t="s">
        <v>163</v>
      </c>
      <c r="I16" t="s">
        <v>47</v>
      </c>
      <c r="J16" t="s">
        <v>105</v>
      </c>
      <c r="K16" t="s">
        <v>44</v>
      </c>
      <c r="L16">
        <v>7</v>
      </c>
      <c r="M16">
        <v>7</v>
      </c>
      <c r="N16">
        <v>3789.32</v>
      </c>
      <c r="Q16">
        <v>202508</v>
      </c>
    </row>
    <row r="17" spans="1:17" x14ac:dyDescent="0.2">
      <c r="A17" t="s">
        <v>178</v>
      </c>
      <c r="B17" s="61">
        <v>45877.819849537038</v>
      </c>
      <c r="C17" t="s">
        <v>89</v>
      </c>
      <c r="D17" t="s">
        <v>88</v>
      </c>
      <c r="F17" t="s">
        <v>102</v>
      </c>
      <c r="G17" t="s">
        <v>141</v>
      </c>
      <c r="H17" t="s">
        <v>163</v>
      </c>
      <c r="I17" t="s">
        <v>47</v>
      </c>
      <c r="J17" t="s">
        <v>105</v>
      </c>
      <c r="K17" t="s">
        <v>44</v>
      </c>
      <c r="L17">
        <v>7</v>
      </c>
      <c r="M17">
        <v>7</v>
      </c>
      <c r="N17">
        <v>3521.07</v>
      </c>
      <c r="Q17">
        <v>202508</v>
      </c>
    </row>
    <row r="18" spans="1:17" x14ac:dyDescent="0.2">
      <c r="A18" t="s">
        <v>179</v>
      </c>
      <c r="B18" s="61">
        <v>45876.89916666667</v>
      </c>
      <c r="C18" t="s">
        <v>89</v>
      </c>
      <c r="D18" t="s">
        <v>88</v>
      </c>
      <c r="F18" t="s">
        <v>102</v>
      </c>
      <c r="G18" t="s">
        <v>143</v>
      </c>
      <c r="H18" t="s">
        <v>163</v>
      </c>
      <c r="I18" t="s">
        <v>47</v>
      </c>
      <c r="J18" t="s">
        <v>105</v>
      </c>
      <c r="K18" t="s">
        <v>44</v>
      </c>
      <c r="L18">
        <v>7</v>
      </c>
      <c r="M18">
        <v>7</v>
      </c>
      <c r="N18">
        <v>2944.07</v>
      </c>
      <c r="Q18">
        <v>202508</v>
      </c>
    </row>
    <row r="19" spans="1:17" x14ac:dyDescent="0.2">
      <c r="A19" t="s">
        <v>180</v>
      </c>
      <c r="B19" s="61">
        <v>45875.852025462962</v>
      </c>
      <c r="C19" t="s">
        <v>89</v>
      </c>
      <c r="D19" t="s">
        <v>88</v>
      </c>
      <c r="E19" t="s">
        <v>116</v>
      </c>
      <c r="F19" t="s">
        <v>102</v>
      </c>
      <c r="G19" t="s">
        <v>145</v>
      </c>
      <c r="H19" t="s">
        <v>163</v>
      </c>
      <c r="I19" t="s">
        <v>47</v>
      </c>
      <c r="J19" t="s">
        <v>105</v>
      </c>
      <c r="K19" t="s">
        <v>44</v>
      </c>
      <c r="L19">
        <v>7</v>
      </c>
      <c r="M19">
        <v>7</v>
      </c>
      <c r="N19">
        <v>2675.82</v>
      </c>
      <c r="Q19">
        <v>202508</v>
      </c>
    </row>
    <row r="20" spans="1:17" x14ac:dyDescent="0.2">
      <c r="A20" t="s">
        <v>181</v>
      </c>
      <c r="B20" s="61">
        <v>45875.841817129629</v>
      </c>
      <c r="C20" t="s">
        <v>89</v>
      </c>
      <c r="D20" t="s">
        <v>88</v>
      </c>
      <c r="E20" t="s">
        <v>116</v>
      </c>
      <c r="F20" t="s">
        <v>102</v>
      </c>
      <c r="G20" t="s">
        <v>147</v>
      </c>
      <c r="H20" t="s">
        <v>163</v>
      </c>
      <c r="I20" t="s">
        <v>47</v>
      </c>
      <c r="J20" t="s">
        <v>105</v>
      </c>
      <c r="K20" t="s">
        <v>44</v>
      </c>
      <c r="L20">
        <v>7</v>
      </c>
      <c r="M20">
        <v>7</v>
      </c>
      <c r="N20">
        <v>2641.82</v>
      </c>
      <c r="Q20">
        <v>202508</v>
      </c>
    </row>
    <row r="21" spans="1:17" x14ac:dyDescent="0.2">
      <c r="A21" t="s">
        <v>182</v>
      </c>
      <c r="B21" s="61">
        <v>45874.856851851851</v>
      </c>
      <c r="C21" t="s">
        <v>89</v>
      </c>
      <c r="D21" t="s">
        <v>88</v>
      </c>
      <c r="F21" t="s">
        <v>102</v>
      </c>
      <c r="G21" t="s">
        <v>149</v>
      </c>
      <c r="H21" t="s">
        <v>163</v>
      </c>
      <c r="I21" t="s">
        <v>47</v>
      </c>
      <c r="J21" t="s">
        <v>105</v>
      </c>
      <c r="K21" t="s">
        <v>44</v>
      </c>
      <c r="L21">
        <v>27</v>
      </c>
      <c r="M21">
        <v>27</v>
      </c>
      <c r="N21">
        <v>2112.3200000000002</v>
      </c>
      <c r="Q21">
        <v>202508</v>
      </c>
    </row>
    <row r="22" spans="1:17" x14ac:dyDescent="0.2">
      <c r="A22" t="s">
        <v>183</v>
      </c>
      <c r="B22" s="61">
        <v>45873.861863425926</v>
      </c>
      <c r="C22" t="s">
        <v>89</v>
      </c>
      <c r="D22" t="s">
        <v>88</v>
      </c>
      <c r="F22" t="s">
        <v>102</v>
      </c>
      <c r="G22" t="s">
        <v>151</v>
      </c>
      <c r="H22" t="s">
        <v>163</v>
      </c>
      <c r="I22" t="s">
        <v>47</v>
      </c>
      <c r="J22" t="s">
        <v>105</v>
      </c>
      <c r="K22" t="s">
        <v>44</v>
      </c>
      <c r="L22">
        <v>27</v>
      </c>
      <c r="M22">
        <v>27</v>
      </c>
      <c r="N22">
        <v>1653.32</v>
      </c>
      <c r="Q22">
        <v>202508</v>
      </c>
    </row>
    <row r="23" spans="1:17" x14ac:dyDescent="0.2">
      <c r="A23" t="s">
        <v>184</v>
      </c>
      <c r="B23" s="61">
        <v>45870.80672453704</v>
      </c>
      <c r="C23" t="s">
        <v>89</v>
      </c>
      <c r="D23" t="s">
        <v>88</v>
      </c>
      <c r="E23" t="s">
        <v>153</v>
      </c>
      <c r="F23" t="s">
        <v>102</v>
      </c>
      <c r="G23" t="s">
        <v>154</v>
      </c>
      <c r="H23" t="s">
        <v>163</v>
      </c>
      <c r="I23" t="s">
        <v>47</v>
      </c>
      <c r="J23" t="s">
        <v>105</v>
      </c>
      <c r="K23" t="s">
        <v>44</v>
      </c>
      <c r="L23">
        <v>7</v>
      </c>
      <c r="M23">
        <v>7</v>
      </c>
      <c r="N23">
        <v>92626.48</v>
      </c>
      <c r="Q23">
        <v>202508</v>
      </c>
    </row>
    <row r="24" spans="1:17" x14ac:dyDescent="0.2">
      <c r="A24" t="s">
        <v>185</v>
      </c>
      <c r="B24" s="61">
        <v>45870.806458333333</v>
      </c>
      <c r="C24" t="s">
        <v>89</v>
      </c>
      <c r="D24" t="s">
        <v>88</v>
      </c>
      <c r="F24" t="s">
        <v>102</v>
      </c>
      <c r="G24" t="s">
        <v>156</v>
      </c>
      <c r="H24" t="s">
        <v>163</v>
      </c>
      <c r="I24" t="s">
        <v>47</v>
      </c>
      <c r="J24" t="s">
        <v>105</v>
      </c>
      <c r="K24" t="s">
        <v>44</v>
      </c>
      <c r="L24">
        <v>7</v>
      </c>
      <c r="M24">
        <v>7</v>
      </c>
      <c r="N24">
        <v>92049.48</v>
      </c>
      <c r="Q24">
        <v>202508</v>
      </c>
    </row>
    <row r="25" spans="1:17" x14ac:dyDescent="0.2">
      <c r="A25" t="s">
        <v>186</v>
      </c>
      <c r="B25" s="61">
        <v>45870.805648148147</v>
      </c>
      <c r="C25" t="s">
        <v>89</v>
      </c>
      <c r="D25" t="s">
        <v>88</v>
      </c>
      <c r="E25" t="s">
        <v>116</v>
      </c>
      <c r="F25" t="s">
        <v>102</v>
      </c>
      <c r="G25" t="s">
        <v>158</v>
      </c>
      <c r="H25" t="s">
        <v>163</v>
      </c>
      <c r="I25" t="s">
        <v>47</v>
      </c>
      <c r="J25" t="s">
        <v>105</v>
      </c>
      <c r="K25" t="s">
        <v>44</v>
      </c>
      <c r="L25">
        <v>16</v>
      </c>
      <c r="M25">
        <v>16</v>
      </c>
      <c r="N25">
        <v>92015.48</v>
      </c>
      <c r="Q25">
        <v>202508</v>
      </c>
    </row>
    <row r="26" spans="1:17" x14ac:dyDescent="0.2">
      <c r="A26" t="s">
        <v>159</v>
      </c>
      <c r="C26" t="s">
        <v>89</v>
      </c>
      <c r="D26" t="s">
        <v>88</v>
      </c>
      <c r="E26" t="s">
        <v>88</v>
      </c>
      <c r="F26" t="s">
        <v>102</v>
      </c>
      <c r="G26" t="s">
        <v>122</v>
      </c>
      <c r="H26" t="s">
        <v>163</v>
      </c>
      <c r="I26" t="s">
        <v>45</v>
      </c>
      <c r="J26" t="s">
        <v>105</v>
      </c>
      <c r="K26" t="s">
        <v>44</v>
      </c>
      <c r="M26">
        <v>-27</v>
      </c>
      <c r="P26" t="s">
        <v>160</v>
      </c>
      <c r="Q26">
        <v>202508</v>
      </c>
    </row>
    <row r="27" spans="1:17" x14ac:dyDescent="0.2">
      <c r="A27" t="s">
        <v>159</v>
      </c>
      <c r="C27" t="s">
        <v>89</v>
      </c>
      <c r="D27" t="s">
        <v>88</v>
      </c>
      <c r="E27" t="s">
        <v>88</v>
      </c>
      <c r="F27" t="s">
        <v>102</v>
      </c>
      <c r="G27" t="s">
        <v>129</v>
      </c>
      <c r="H27" t="s">
        <v>163</v>
      </c>
      <c r="I27" t="s">
        <v>45</v>
      </c>
      <c r="J27" t="s">
        <v>105</v>
      </c>
      <c r="K27" t="s">
        <v>44</v>
      </c>
      <c r="M27">
        <v>-27</v>
      </c>
      <c r="P27" t="s">
        <v>160</v>
      </c>
      <c r="Q27">
        <v>202508</v>
      </c>
    </row>
    <row r="28" spans="1:17" x14ac:dyDescent="0.2">
      <c r="A28" t="s">
        <v>159</v>
      </c>
      <c r="C28" t="s">
        <v>89</v>
      </c>
      <c r="D28" t="s">
        <v>88</v>
      </c>
      <c r="E28" t="s">
        <v>88</v>
      </c>
      <c r="F28" t="s">
        <v>102</v>
      </c>
      <c r="G28" t="s">
        <v>151</v>
      </c>
      <c r="H28" t="s">
        <v>163</v>
      </c>
      <c r="I28" t="s">
        <v>45</v>
      </c>
      <c r="J28" t="s">
        <v>105</v>
      </c>
      <c r="K28" t="s">
        <v>44</v>
      </c>
      <c r="M28">
        <v>-27</v>
      </c>
      <c r="P28" t="s">
        <v>160</v>
      </c>
      <c r="Q28">
        <v>202508</v>
      </c>
    </row>
    <row r="29" spans="1:17" x14ac:dyDescent="0.2">
      <c r="A29" t="s">
        <v>159</v>
      </c>
      <c r="C29" t="s">
        <v>89</v>
      </c>
      <c r="D29" t="s">
        <v>88</v>
      </c>
      <c r="E29" t="s">
        <v>88</v>
      </c>
      <c r="F29" t="s">
        <v>102</v>
      </c>
      <c r="G29" t="s">
        <v>161</v>
      </c>
      <c r="H29" t="s">
        <v>163</v>
      </c>
      <c r="I29" t="s">
        <v>45</v>
      </c>
      <c r="J29" t="s">
        <v>105</v>
      </c>
      <c r="K29" t="s">
        <v>44</v>
      </c>
      <c r="M29">
        <v>-27</v>
      </c>
      <c r="P29" t="s">
        <v>160</v>
      </c>
      <c r="Q29">
        <v>202507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5FDB-746C-489E-9913-9F7F54587F7C}">
  <sheetPr codeName="Sheet11"/>
  <dimension ref="A1:L3"/>
  <sheetViews>
    <sheetView zoomScale="85" zoomScaleNormal="85" workbookViewId="0">
      <pane ySplit="1" topLeftCell="A2" activePane="bottomLeft" state="frozen"/>
      <selection pane="bottomLeft" activeCell="D33" sqref="D33"/>
    </sheetView>
  </sheetViews>
  <sheetFormatPr defaultRowHeight="14.25" x14ac:dyDescent="0.2"/>
  <cols>
    <col min="1" max="1" width="23.375" customWidth="1"/>
    <col min="2" max="2" width="22.375" customWidth="1"/>
    <col min="3" max="3" width="13.5" customWidth="1"/>
    <col min="4" max="4" width="20.875" bestFit="1" customWidth="1"/>
    <col min="5" max="5" width="18" customWidth="1"/>
    <col min="6" max="6" width="16.875" bestFit="1" customWidth="1"/>
    <col min="7" max="7" width="18.375" bestFit="1" customWidth="1"/>
    <col min="8" max="8" width="9.625" bestFit="1" customWidth="1"/>
    <col min="9" max="9" width="16.125" bestFit="1" customWidth="1"/>
    <col min="10" max="10" width="11.25" customWidth="1"/>
    <col min="11" max="11" width="17.5" bestFit="1" customWidth="1"/>
    <col min="12" max="12" width="7.875" bestFit="1" customWidth="1"/>
  </cols>
  <sheetData>
    <row r="1" spans="1:12" ht="15" x14ac:dyDescent="0.25">
      <c r="A1" s="24" t="s">
        <v>1</v>
      </c>
      <c r="B1" s="24" t="s">
        <v>0</v>
      </c>
      <c r="C1" s="23" t="s">
        <v>28</v>
      </c>
      <c r="D1" s="23" t="s">
        <v>30</v>
      </c>
      <c r="E1" s="23" t="s">
        <v>31</v>
      </c>
      <c r="F1" s="23" t="s">
        <v>32</v>
      </c>
      <c r="G1" s="23" t="s">
        <v>33</v>
      </c>
      <c r="H1" s="23" t="s">
        <v>34</v>
      </c>
      <c r="I1" s="23" t="s">
        <v>35</v>
      </c>
      <c r="J1" s="23" t="s">
        <v>36</v>
      </c>
      <c r="K1" s="23" t="s">
        <v>39</v>
      </c>
      <c r="L1" s="25" t="s">
        <v>46</v>
      </c>
    </row>
    <row r="3" spans="1:12" x14ac:dyDescent="0.2">
      <c r="A3" t="s">
        <v>187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27FE-0827-43E6-BD2C-654ABBDA2295}">
  <dimension ref="A1:L2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28</v>
      </c>
      <c r="D1" s="23" t="s">
        <v>30</v>
      </c>
      <c r="E1" s="23" t="s">
        <v>31</v>
      </c>
      <c r="F1" s="23" t="s">
        <v>32</v>
      </c>
      <c r="G1" s="23" t="s">
        <v>33</v>
      </c>
      <c r="H1" s="23" t="s">
        <v>34</v>
      </c>
      <c r="I1" s="23" t="s">
        <v>35</v>
      </c>
      <c r="J1" s="23" t="s">
        <v>36</v>
      </c>
      <c r="K1" s="23" t="s">
        <v>39</v>
      </c>
      <c r="L1" s="25" t="s">
        <v>46</v>
      </c>
    </row>
    <row r="2" spans="1:12" x14ac:dyDescent="0.2">
      <c r="A2" t="s">
        <v>89</v>
      </c>
      <c r="B2" t="s">
        <v>88</v>
      </c>
      <c r="C2" t="s">
        <v>88</v>
      </c>
      <c r="D2" t="s">
        <v>133</v>
      </c>
      <c r="E2" t="s">
        <v>188</v>
      </c>
      <c r="F2" t="s">
        <v>47</v>
      </c>
      <c r="G2" t="s">
        <v>43</v>
      </c>
      <c r="H2" t="s">
        <v>44</v>
      </c>
      <c r="I2">
        <v>235.47</v>
      </c>
      <c r="J2">
        <v>235.47</v>
      </c>
      <c r="L2">
        <v>202508</v>
      </c>
    </row>
    <row r="3" spans="1:12" x14ac:dyDescent="0.2">
      <c r="A3" t="s">
        <v>89</v>
      </c>
      <c r="B3" t="s">
        <v>88</v>
      </c>
      <c r="C3" t="s">
        <v>88</v>
      </c>
      <c r="D3" t="s">
        <v>131</v>
      </c>
      <c r="E3" t="s">
        <v>188</v>
      </c>
      <c r="F3" t="s">
        <v>47</v>
      </c>
      <c r="G3" t="s">
        <v>43</v>
      </c>
      <c r="H3" t="s">
        <v>44</v>
      </c>
      <c r="I3">
        <v>122.79</v>
      </c>
      <c r="J3">
        <v>122.79</v>
      </c>
      <c r="L3">
        <v>202508</v>
      </c>
    </row>
    <row r="4" spans="1:12" x14ac:dyDescent="0.2">
      <c r="A4" t="s">
        <v>89</v>
      </c>
      <c r="B4" t="s">
        <v>88</v>
      </c>
      <c r="C4" t="s">
        <v>88</v>
      </c>
      <c r="D4" t="s">
        <v>143</v>
      </c>
      <c r="E4" t="s">
        <v>188</v>
      </c>
      <c r="F4" t="s">
        <v>47</v>
      </c>
      <c r="G4" t="s">
        <v>43</v>
      </c>
      <c r="H4" t="s">
        <v>44</v>
      </c>
      <c r="I4">
        <v>122.79</v>
      </c>
      <c r="J4">
        <v>122.79</v>
      </c>
      <c r="L4">
        <v>202508</v>
      </c>
    </row>
    <row r="5" spans="1:12" x14ac:dyDescent="0.2">
      <c r="A5" t="s">
        <v>89</v>
      </c>
      <c r="B5" t="s">
        <v>88</v>
      </c>
      <c r="C5" t="s">
        <v>88</v>
      </c>
      <c r="D5" t="s">
        <v>141</v>
      </c>
      <c r="E5" t="s">
        <v>188</v>
      </c>
      <c r="F5" t="s">
        <v>47</v>
      </c>
      <c r="G5" t="s">
        <v>43</v>
      </c>
      <c r="H5" t="s">
        <v>44</v>
      </c>
      <c r="I5">
        <v>267.89999999999998</v>
      </c>
      <c r="J5">
        <v>267.89999999999998</v>
      </c>
      <c r="L5">
        <v>202508</v>
      </c>
    </row>
    <row r="6" spans="1:12" x14ac:dyDescent="0.2">
      <c r="A6" t="s">
        <v>89</v>
      </c>
      <c r="B6" t="s">
        <v>88</v>
      </c>
      <c r="C6" t="s">
        <v>88</v>
      </c>
      <c r="D6" t="s">
        <v>149</v>
      </c>
      <c r="E6" t="s">
        <v>188</v>
      </c>
      <c r="F6" t="s">
        <v>47</v>
      </c>
      <c r="G6" t="s">
        <v>43</v>
      </c>
      <c r="H6" t="s">
        <v>44</v>
      </c>
      <c r="I6">
        <v>203.04</v>
      </c>
      <c r="J6">
        <v>203.04</v>
      </c>
      <c r="L6">
        <v>202508</v>
      </c>
    </row>
    <row r="7" spans="1:12" x14ac:dyDescent="0.2">
      <c r="A7" t="s">
        <v>89</v>
      </c>
      <c r="B7" t="s">
        <v>88</v>
      </c>
      <c r="C7" t="s">
        <v>88</v>
      </c>
      <c r="D7" t="s">
        <v>156</v>
      </c>
      <c r="E7" t="s">
        <v>188</v>
      </c>
      <c r="F7" t="s">
        <v>47</v>
      </c>
      <c r="G7" t="s">
        <v>43</v>
      </c>
      <c r="H7" t="s">
        <v>44</v>
      </c>
      <c r="I7">
        <v>12.69</v>
      </c>
      <c r="J7">
        <v>12.69</v>
      </c>
      <c r="L7">
        <v>202508</v>
      </c>
    </row>
    <row r="8" spans="1:12" x14ac:dyDescent="0.2">
      <c r="A8" t="s">
        <v>89</v>
      </c>
      <c r="B8" t="s">
        <v>88</v>
      </c>
      <c r="C8" t="s">
        <v>126</v>
      </c>
      <c r="D8" t="s">
        <v>127</v>
      </c>
      <c r="E8" t="s">
        <v>188</v>
      </c>
      <c r="F8" t="s">
        <v>47</v>
      </c>
      <c r="G8" t="s">
        <v>43</v>
      </c>
      <c r="H8" t="s">
        <v>44</v>
      </c>
      <c r="I8">
        <v>235.47</v>
      </c>
      <c r="J8">
        <v>235.47</v>
      </c>
      <c r="L8">
        <v>202508</v>
      </c>
    </row>
    <row r="9" spans="1:12" x14ac:dyDescent="0.2">
      <c r="A9" t="s">
        <v>89</v>
      </c>
      <c r="B9" t="s">
        <v>88</v>
      </c>
      <c r="C9" t="s">
        <v>126</v>
      </c>
      <c r="D9" t="s">
        <v>137</v>
      </c>
      <c r="E9" t="s">
        <v>188</v>
      </c>
      <c r="F9" t="s">
        <v>47</v>
      </c>
      <c r="G9" t="s">
        <v>43</v>
      </c>
      <c r="H9" t="s">
        <v>44</v>
      </c>
      <c r="I9">
        <v>37.6</v>
      </c>
      <c r="J9">
        <v>37.6</v>
      </c>
      <c r="L9">
        <v>202508</v>
      </c>
    </row>
    <row r="10" spans="1:12" x14ac:dyDescent="0.2">
      <c r="A10" t="s">
        <v>89</v>
      </c>
      <c r="B10" t="s">
        <v>88</v>
      </c>
      <c r="C10" t="s">
        <v>113</v>
      </c>
      <c r="D10" t="s">
        <v>114</v>
      </c>
      <c r="E10" t="s">
        <v>188</v>
      </c>
      <c r="F10" t="s">
        <v>47</v>
      </c>
      <c r="G10" t="s">
        <v>43</v>
      </c>
      <c r="H10" t="s">
        <v>44</v>
      </c>
      <c r="I10">
        <v>212.29</v>
      </c>
      <c r="J10">
        <v>212.29</v>
      </c>
      <c r="L10">
        <v>202508</v>
      </c>
    </row>
    <row r="11" spans="1:12" x14ac:dyDescent="0.2">
      <c r="A11" t="s">
        <v>89</v>
      </c>
      <c r="B11" t="s">
        <v>88</v>
      </c>
      <c r="C11" t="s">
        <v>101</v>
      </c>
      <c r="D11" t="s">
        <v>103</v>
      </c>
      <c r="E11" t="s">
        <v>188</v>
      </c>
      <c r="F11" t="s">
        <v>47</v>
      </c>
      <c r="G11" t="s">
        <v>43</v>
      </c>
      <c r="H11" t="s">
        <v>44</v>
      </c>
      <c r="I11">
        <v>267.89999999999998</v>
      </c>
      <c r="J11">
        <v>267.89999999999998</v>
      </c>
      <c r="L11">
        <v>202508</v>
      </c>
    </row>
    <row r="12" spans="1:12" x14ac:dyDescent="0.2">
      <c r="A12" t="s">
        <v>89</v>
      </c>
      <c r="B12" t="s">
        <v>88</v>
      </c>
      <c r="C12" t="s">
        <v>116</v>
      </c>
      <c r="D12" t="s">
        <v>158</v>
      </c>
      <c r="E12" t="s">
        <v>188</v>
      </c>
      <c r="F12" t="s">
        <v>47</v>
      </c>
      <c r="G12" t="s">
        <v>43</v>
      </c>
      <c r="H12" t="s">
        <v>44</v>
      </c>
      <c r="I12">
        <v>266.64</v>
      </c>
      <c r="J12">
        <v>266.64</v>
      </c>
      <c r="L12">
        <v>202508</v>
      </c>
    </row>
    <row r="13" spans="1:12" x14ac:dyDescent="0.2">
      <c r="A13" t="s">
        <v>89</v>
      </c>
      <c r="B13" t="s">
        <v>88</v>
      </c>
      <c r="C13" t="s">
        <v>116</v>
      </c>
      <c r="D13" t="s">
        <v>147</v>
      </c>
      <c r="E13" t="s">
        <v>188</v>
      </c>
      <c r="F13" t="s">
        <v>47</v>
      </c>
      <c r="G13" t="s">
        <v>43</v>
      </c>
      <c r="H13" t="s">
        <v>44</v>
      </c>
      <c r="I13">
        <v>245.58</v>
      </c>
      <c r="J13">
        <v>245.58</v>
      </c>
      <c r="L13">
        <v>202508</v>
      </c>
    </row>
    <row r="14" spans="1:12" x14ac:dyDescent="0.2">
      <c r="A14" t="s">
        <v>89</v>
      </c>
      <c r="B14" t="s">
        <v>88</v>
      </c>
      <c r="C14" t="s">
        <v>116</v>
      </c>
      <c r="D14" t="s">
        <v>117</v>
      </c>
      <c r="E14" t="s">
        <v>188</v>
      </c>
      <c r="F14" t="s">
        <v>47</v>
      </c>
      <c r="G14" t="s">
        <v>43</v>
      </c>
      <c r="H14" t="s">
        <v>44</v>
      </c>
      <c r="I14">
        <v>122.79</v>
      </c>
      <c r="J14">
        <v>122.79</v>
      </c>
      <c r="L14">
        <v>202508</v>
      </c>
    </row>
    <row r="15" spans="1:12" x14ac:dyDescent="0.2">
      <c r="A15" t="s">
        <v>89</v>
      </c>
      <c r="B15" t="s">
        <v>88</v>
      </c>
      <c r="C15" t="s">
        <v>116</v>
      </c>
      <c r="D15" t="s">
        <v>145</v>
      </c>
      <c r="E15" t="s">
        <v>188</v>
      </c>
      <c r="F15" t="s">
        <v>47</v>
      </c>
      <c r="G15" t="s">
        <v>43</v>
      </c>
      <c r="H15" t="s">
        <v>44</v>
      </c>
      <c r="I15">
        <v>12.69</v>
      </c>
      <c r="J15">
        <v>12.69</v>
      </c>
      <c r="L15">
        <v>202508</v>
      </c>
    </row>
    <row r="16" spans="1:12" x14ac:dyDescent="0.2">
      <c r="A16" t="s">
        <v>89</v>
      </c>
      <c r="B16" t="s">
        <v>88</v>
      </c>
      <c r="C16" t="s">
        <v>116</v>
      </c>
      <c r="D16" t="s">
        <v>139</v>
      </c>
      <c r="E16" t="s">
        <v>188</v>
      </c>
      <c r="F16" t="s">
        <v>47</v>
      </c>
      <c r="G16" t="s">
        <v>43</v>
      </c>
      <c r="H16" t="s">
        <v>44</v>
      </c>
      <c r="I16">
        <v>122.79</v>
      </c>
      <c r="J16">
        <v>122.79</v>
      </c>
      <c r="L16">
        <v>202508</v>
      </c>
    </row>
    <row r="17" spans="1:12" x14ac:dyDescent="0.2">
      <c r="A17" t="s">
        <v>89</v>
      </c>
      <c r="B17" t="s">
        <v>88</v>
      </c>
      <c r="C17" t="s">
        <v>110</v>
      </c>
      <c r="D17" t="s">
        <v>124</v>
      </c>
      <c r="E17" t="s">
        <v>188</v>
      </c>
      <c r="F17" t="s">
        <v>47</v>
      </c>
      <c r="G17" t="s">
        <v>43</v>
      </c>
      <c r="H17" t="s">
        <v>44</v>
      </c>
      <c r="I17">
        <v>12.69</v>
      </c>
      <c r="J17">
        <v>12.69</v>
      </c>
      <c r="L17">
        <v>202508</v>
      </c>
    </row>
    <row r="18" spans="1:12" x14ac:dyDescent="0.2">
      <c r="A18" t="s">
        <v>89</v>
      </c>
      <c r="B18" t="s">
        <v>88</v>
      </c>
      <c r="C18" t="s">
        <v>110</v>
      </c>
      <c r="D18" t="s">
        <v>111</v>
      </c>
      <c r="E18" t="s">
        <v>188</v>
      </c>
      <c r="F18" t="s">
        <v>47</v>
      </c>
      <c r="G18" t="s">
        <v>43</v>
      </c>
      <c r="H18" t="s">
        <v>44</v>
      </c>
      <c r="I18">
        <v>12.69</v>
      </c>
      <c r="J18">
        <v>12.69</v>
      </c>
      <c r="L18">
        <v>202508</v>
      </c>
    </row>
    <row r="19" spans="1:12" x14ac:dyDescent="0.2">
      <c r="A19" t="s">
        <v>89</v>
      </c>
      <c r="B19" t="s">
        <v>88</v>
      </c>
      <c r="C19" t="s">
        <v>110</v>
      </c>
      <c r="D19" t="s">
        <v>135</v>
      </c>
      <c r="E19" t="s">
        <v>188</v>
      </c>
      <c r="F19" t="s">
        <v>47</v>
      </c>
      <c r="G19" t="s">
        <v>43</v>
      </c>
      <c r="H19" t="s">
        <v>44</v>
      </c>
      <c r="I19">
        <v>519.92999999999995</v>
      </c>
      <c r="J19">
        <v>519.92999999999995</v>
      </c>
      <c r="L19">
        <v>202508</v>
      </c>
    </row>
    <row r="20" spans="1:12" x14ac:dyDescent="0.2">
      <c r="A20" t="s">
        <v>89</v>
      </c>
      <c r="B20" t="s">
        <v>88</v>
      </c>
      <c r="C20" t="s">
        <v>107</v>
      </c>
      <c r="D20" t="s">
        <v>108</v>
      </c>
      <c r="E20" t="s">
        <v>188</v>
      </c>
      <c r="F20" t="s">
        <v>47</v>
      </c>
      <c r="G20" t="s">
        <v>43</v>
      </c>
      <c r="H20" t="s">
        <v>44</v>
      </c>
      <c r="I20">
        <v>25.38</v>
      </c>
      <c r="J20">
        <v>25.38</v>
      </c>
      <c r="L20">
        <v>202508</v>
      </c>
    </row>
    <row r="21" spans="1:12" x14ac:dyDescent="0.2">
      <c r="A21" t="s">
        <v>89</v>
      </c>
      <c r="B21" t="s">
        <v>88</v>
      </c>
      <c r="C21" t="s">
        <v>119</v>
      </c>
      <c r="D21" t="s">
        <v>120</v>
      </c>
      <c r="E21" t="s">
        <v>188</v>
      </c>
      <c r="F21" t="s">
        <v>47</v>
      </c>
      <c r="G21" t="s">
        <v>43</v>
      </c>
      <c r="H21" t="s">
        <v>44</v>
      </c>
      <c r="I21">
        <v>66.53</v>
      </c>
      <c r="J21">
        <v>66.53</v>
      </c>
      <c r="L21">
        <v>202508</v>
      </c>
    </row>
    <row r="22" spans="1:12" x14ac:dyDescent="0.2">
      <c r="A22" t="s">
        <v>89</v>
      </c>
      <c r="B22" t="s">
        <v>88</v>
      </c>
      <c r="C22" t="s">
        <v>153</v>
      </c>
      <c r="D22" t="s">
        <v>154</v>
      </c>
      <c r="E22" t="s">
        <v>188</v>
      </c>
      <c r="F22" t="s">
        <v>47</v>
      </c>
      <c r="G22" t="s">
        <v>43</v>
      </c>
      <c r="H22" t="s">
        <v>44</v>
      </c>
      <c r="I22">
        <v>267.89999999999998</v>
      </c>
      <c r="J22">
        <v>267.89999999999998</v>
      </c>
      <c r="L22">
        <v>202508</v>
      </c>
    </row>
    <row r="23" spans="1:12" x14ac:dyDescent="0.2">
      <c r="A23" t="s">
        <v>89</v>
      </c>
      <c r="B23" t="s">
        <v>88</v>
      </c>
      <c r="C23" t="s">
        <v>88</v>
      </c>
      <c r="D23" t="s">
        <v>161</v>
      </c>
      <c r="E23" t="s">
        <v>188</v>
      </c>
      <c r="F23" t="s">
        <v>45</v>
      </c>
      <c r="G23" t="s">
        <v>43</v>
      </c>
      <c r="H23" t="s">
        <v>44</v>
      </c>
      <c r="I23">
        <v>-203.04</v>
      </c>
      <c r="J23">
        <v>-203.04</v>
      </c>
      <c r="K23" t="s">
        <v>189</v>
      </c>
      <c r="L23">
        <v>202507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FF69-4DBA-4EC2-812E-373AE54375E9}">
  <dimension ref="A1:L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28</v>
      </c>
      <c r="D1" s="23" t="s">
        <v>30</v>
      </c>
      <c r="E1" s="23" t="s">
        <v>31</v>
      </c>
      <c r="F1" s="23" t="s">
        <v>32</v>
      </c>
      <c r="G1" s="23" t="s">
        <v>33</v>
      </c>
      <c r="H1" s="23" t="s">
        <v>34</v>
      </c>
      <c r="I1" s="23" t="s">
        <v>35</v>
      </c>
      <c r="J1" s="23" t="s">
        <v>36</v>
      </c>
      <c r="K1" s="23" t="s">
        <v>39</v>
      </c>
      <c r="L1" s="25" t="s">
        <v>46</v>
      </c>
    </row>
    <row r="3" spans="1:12" x14ac:dyDescent="0.2">
      <c r="A3" t="s">
        <v>187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25C4-04BB-43C2-8648-E99825D713A9}">
  <sheetPr codeName="Sheet1"/>
  <dimension ref="A1:J49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9" t="s">
        <v>48</v>
      </c>
      <c r="B1" s="29" t="s">
        <v>49</v>
      </c>
      <c r="C1" s="30" t="s">
        <v>50</v>
      </c>
      <c r="D1" s="30" t="s">
        <v>51</v>
      </c>
      <c r="E1" s="29" t="s">
        <v>52</v>
      </c>
      <c r="F1" s="29" t="s">
        <v>53</v>
      </c>
      <c r="G1" s="29" t="s">
        <v>54</v>
      </c>
      <c r="H1" s="29" t="s">
        <v>55</v>
      </c>
      <c r="I1" s="29" t="s">
        <v>56</v>
      </c>
      <c r="J1" s="29" t="s">
        <v>57</v>
      </c>
    </row>
    <row r="2" spans="1:10" x14ac:dyDescent="0.2">
      <c r="A2" t="s">
        <v>127</v>
      </c>
      <c r="B2" t="s">
        <v>126</v>
      </c>
      <c r="C2" t="s">
        <v>88</v>
      </c>
      <c r="D2" t="s">
        <v>89</v>
      </c>
      <c r="E2" t="s">
        <v>190</v>
      </c>
      <c r="F2" t="s">
        <v>191</v>
      </c>
      <c r="G2">
        <v>1</v>
      </c>
      <c r="H2" t="s">
        <v>44</v>
      </c>
      <c r="I2">
        <v>501</v>
      </c>
      <c r="J2">
        <v>501</v>
      </c>
    </row>
    <row r="3" spans="1:10" x14ac:dyDescent="0.2">
      <c r="A3" t="s">
        <v>158</v>
      </c>
      <c r="B3" t="s">
        <v>116</v>
      </c>
      <c r="C3" t="s">
        <v>88</v>
      </c>
      <c r="D3" t="s">
        <v>89</v>
      </c>
      <c r="E3" t="s">
        <v>192</v>
      </c>
      <c r="F3" t="s">
        <v>193</v>
      </c>
      <c r="G3">
        <v>3</v>
      </c>
      <c r="H3" t="s">
        <v>44</v>
      </c>
      <c r="I3">
        <v>0.17</v>
      </c>
      <c r="J3">
        <v>0.51</v>
      </c>
    </row>
    <row r="4" spans="1:10" x14ac:dyDescent="0.2">
      <c r="A4" t="s">
        <v>158</v>
      </c>
      <c r="B4" t="s">
        <v>116</v>
      </c>
      <c r="C4" t="s">
        <v>88</v>
      </c>
      <c r="D4" t="s">
        <v>89</v>
      </c>
      <c r="E4" t="s">
        <v>194</v>
      </c>
      <c r="F4" t="s">
        <v>195</v>
      </c>
      <c r="G4">
        <v>1</v>
      </c>
      <c r="H4" t="s">
        <v>44</v>
      </c>
      <c r="I4">
        <v>15</v>
      </c>
      <c r="J4">
        <v>15</v>
      </c>
    </row>
    <row r="5" spans="1:10" x14ac:dyDescent="0.2">
      <c r="A5" t="s">
        <v>158</v>
      </c>
      <c r="B5" t="s">
        <v>116</v>
      </c>
      <c r="C5" t="s">
        <v>88</v>
      </c>
      <c r="D5" t="s">
        <v>89</v>
      </c>
      <c r="E5" t="s">
        <v>196</v>
      </c>
      <c r="F5" t="s">
        <v>197</v>
      </c>
      <c r="G5">
        <v>2</v>
      </c>
      <c r="H5" t="s">
        <v>44</v>
      </c>
      <c r="I5">
        <v>2</v>
      </c>
      <c r="J5">
        <v>4</v>
      </c>
    </row>
    <row r="6" spans="1:10" x14ac:dyDescent="0.2">
      <c r="A6" t="s">
        <v>158</v>
      </c>
      <c r="B6" t="s">
        <v>116</v>
      </c>
      <c r="C6" t="s">
        <v>88</v>
      </c>
      <c r="D6" t="s">
        <v>89</v>
      </c>
      <c r="E6" t="s">
        <v>198</v>
      </c>
      <c r="F6" t="s">
        <v>199</v>
      </c>
      <c r="G6">
        <v>2</v>
      </c>
      <c r="H6" t="s">
        <v>44</v>
      </c>
      <c r="I6">
        <v>1</v>
      </c>
      <c r="J6">
        <v>2</v>
      </c>
    </row>
    <row r="7" spans="1:10" x14ac:dyDescent="0.2">
      <c r="A7" t="s">
        <v>158</v>
      </c>
      <c r="B7" t="s">
        <v>116</v>
      </c>
      <c r="C7" t="s">
        <v>88</v>
      </c>
      <c r="D7" t="s">
        <v>89</v>
      </c>
      <c r="E7" t="s">
        <v>200</v>
      </c>
      <c r="F7" t="s">
        <v>201</v>
      </c>
      <c r="G7">
        <v>1</v>
      </c>
      <c r="H7" t="s">
        <v>44</v>
      </c>
      <c r="I7">
        <v>19</v>
      </c>
      <c r="J7">
        <v>19</v>
      </c>
    </row>
    <row r="8" spans="1:10" x14ac:dyDescent="0.2">
      <c r="A8" t="s">
        <v>158</v>
      </c>
      <c r="B8" t="s">
        <v>116</v>
      </c>
      <c r="C8" t="s">
        <v>88</v>
      </c>
      <c r="D8" t="s">
        <v>89</v>
      </c>
      <c r="E8" t="s">
        <v>202</v>
      </c>
      <c r="F8" t="s">
        <v>203</v>
      </c>
      <c r="G8">
        <v>3</v>
      </c>
      <c r="H8" t="s">
        <v>44</v>
      </c>
      <c r="I8">
        <v>80</v>
      </c>
      <c r="J8">
        <v>240</v>
      </c>
    </row>
    <row r="9" spans="1:10" x14ac:dyDescent="0.2">
      <c r="A9" t="s">
        <v>158</v>
      </c>
      <c r="B9" t="s">
        <v>116</v>
      </c>
      <c r="C9" t="s">
        <v>88</v>
      </c>
      <c r="D9" t="s">
        <v>89</v>
      </c>
      <c r="E9" t="s">
        <v>204</v>
      </c>
      <c r="F9" t="s">
        <v>205</v>
      </c>
      <c r="G9">
        <v>1</v>
      </c>
      <c r="H9" t="s">
        <v>44</v>
      </c>
      <c r="I9">
        <v>147</v>
      </c>
      <c r="J9">
        <v>147</v>
      </c>
    </row>
    <row r="10" spans="1:10" x14ac:dyDescent="0.2">
      <c r="A10" t="s">
        <v>158</v>
      </c>
      <c r="B10" t="s">
        <v>116</v>
      </c>
      <c r="C10" t="s">
        <v>88</v>
      </c>
      <c r="D10" t="s">
        <v>89</v>
      </c>
      <c r="E10" t="s">
        <v>206</v>
      </c>
      <c r="F10" t="s">
        <v>207</v>
      </c>
      <c r="G10">
        <v>1</v>
      </c>
      <c r="H10" t="s">
        <v>44</v>
      </c>
      <c r="I10">
        <v>19</v>
      </c>
      <c r="J10">
        <v>19</v>
      </c>
    </row>
    <row r="11" spans="1:10" x14ac:dyDescent="0.2">
      <c r="A11" t="s">
        <v>158</v>
      </c>
      <c r="B11" t="s">
        <v>116</v>
      </c>
      <c r="C11" t="s">
        <v>88</v>
      </c>
      <c r="D11" t="s">
        <v>89</v>
      </c>
      <c r="E11" t="s">
        <v>208</v>
      </c>
      <c r="F11" t="s">
        <v>209</v>
      </c>
      <c r="G11">
        <v>4</v>
      </c>
      <c r="H11" t="s">
        <v>44</v>
      </c>
      <c r="I11">
        <v>11</v>
      </c>
      <c r="J11">
        <v>44</v>
      </c>
    </row>
    <row r="12" spans="1:10" x14ac:dyDescent="0.2">
      <c r="A12" t="s">
        <v>158</v>
      </c>
      <c r="B12" t="s">
        <v>116</v>
      </c>
      <c r="C12" t="s">
        <v>88</v>
      </c>
      <c r="D12" t="s">
        <v>89</v>
      </c>
      <c r="E12" t="s">
        <v>210</v>
      </c>
      <c r="F12" t="s">
        <v>211</v>
      </c>
      <c r="G12">
        <v>1</v>
      </c>
      <c r="H12" t="s">
        <v>44</v>
      </c>
      <c r="I12">
        <v>5</v>
      </c>
      <c r="J12">
        <v>5</v>
      </c>
    </row>
    <row r="13" spans="1:10" x14ac:dyDescent="0.2">
      <c r="A13" t="s">
        <v>158</v>
      </c>
      <c r="B13" t="s">
        <v>116</v>
      </c>
      <c r="C13" t="s">
        <v>88</v>
      </c>
      <c r="D13" t="s">
        <v>89</v>
      </c>
      <c r="E13" t="s">
        <v>212</v>
      </c>
      <c r="F13" t="s">
        <v>213</v>
      </c>
      <c r="G13">
        <v>1</v>
      </c>
      <c r="H13" t="s">
        <v>44</v>
      </c>
      <c r="I13">
        <v>2.41</v>
      </c>
      <c r="J13">
        <v>2.41</v>
      </c>
    </row>
    <row r="14" spans="1:10" x14ac:dyDescent="0.2">
      <c r="A14" t="s">
        <v>158</v>
      </c>
      <c r="B14" t="s">
        <v>116</v>
      </c>
      <c r="C14" t="s">
        <v>88</v>
      </c>
      <c r="D14" t="s">
        <v>89</v>
      </c>
      <c r="E14" t="s">
        <v>214</v>
      </c>
      <c r="F14" t="s">
        <v>215</v>
      </c>
      <c r="G14">
        <v>4</v>
      </c>
      <c r="H14" t="s">
        <v>44</v>
      </c>
      <c r="I14">
        <v>11</v>
      </c>
      <c r="J14">
        <v>44</v>
      </c>
    </row>
    <row r="15" spans="1:10" x14ac:dyDescent="0.2">
      <c r="A15" t="s">
        <v>158</v>
      </c>
      <c r="B15" t="s">
        <v>116</v>
      </c>
      <c r="C15" t="s">
        <v>88</v>
      </c>
      <c r="D15" t="s">
        <v>89</v>
      </c>
      <c r="E15" t="s">
        <v>216</v>
      </c>
      <c r="F15" t="s">
        <v>217</v>
      </c>
      <c r="G15">
        <v>1</v>
      </c>
      <c r="H15" t="s">
        <v>44</v>
      </c>
      <c r="I15">
        <v>10</v>
      </c>
      <c r="J15">
        <v>10</v>
      </c>
    </row>
    <row r="16" spans="1:10" x14ac:dyDescent="0.2">
      <c r="A16" t="s">
        <v>158</v>
      </c>
      <c r="B16" t="s">
        <v>116</v>
      </c>
      <c r="C16" t="s">
        <v>88</v>
      </c>
      <c r="D16" t="s">
        <v>89</v>
      </c>
      <c r="E16" t="s">
        <v>218</v>
      </c>
      <c r="F16" t="s">
        <v>219</v>
      </c>
      <c r="G16">
        <v>16</v>
      </c>
      <c r="H16" t="s">
        <v>44</v>
      </c>
      <c r="I16">
        <v>0.4</v>
      </c>
      <c r="J16">
        <v>6.4</v>
      </c>
    </row>
    <row r="17" spans="1:10" x14ac:dyDescent="0.2">
      <c r="A17" t="s">
        <v>158</v>
      </c>
      <c r="B17" t="s">
        <v>116</v>
      </c>
      <c r="C17" t="s">
        <v>88</v>
      </c>
      <c r="D17" t="s">
        <v>89</v>
      </c>
      <c r="E17" t="s">
        <v>220</v>
      </c>
      <c r="F17" t="s">
        <v>221</v>
      </c>
      <c r="G17">
        <v>2</v>
      </c>
      <c r="H17" t="s">
        <v>44</v>
      </c>
      <c r="I17">
        <v>4</v>
      </c>
      <c r="J17">
        <v>8</v>
      </c>
    </row>
    <row r="18" spans="1:10" x14ac:dyDescent="0.2">
      <c r="A18" t="s">
        <v>158</v>
      </c>
      <c r="B18" t="s">
        <v>116</v>
      </c>
      <c r="C18" t="s">
        <v>88</v>
      </c>
      <c r="D18" t="s">
        <v>89</v>
      </c>
      <c r="E18" t="s">
        <v>222</v>
      </c>
      <c r="F18" t="s">
        <v>223</v>
      </c>
      <c r="G18">
        <v>1</v>
      </c>
      <c r="H18" t="s">
        <v>44</v>
      </c>
      <c r="I18">
        <v>1</v>
      </c>
      <c r="J18">
        <v>1</v>
      </c>
    </row>
    <row r="19" spans="1:10" x14ac:dyDescent="0.2">
      <c r="A19" t="s">
        <v>147</v>
      </c>
      <c r="B19" t="s">
        <v>116</v>
      </c>
      <c r="C19" t="s">
        <v>88</v>
      </c>
      <c r="D19" t="s">
        <v>89</v>
      </c>
      <c r="E19" t="s">
        <v>224</v>
      </c>
      <c r="F19" t="s">
        <v>225</v>
      </c>
      <c r="G19">
        <v>2</v>
      </c>
      <c r="H19" t="s">
        <v>44</v>
      </c>
      <c r="I19">
        <v>261.25</v>
      </c>
      <c r="J19">
        <v>522.5</v>
      </c>
    </row>
    <row r="20" spans="1:10" x14ac:dyDescent="0.2">
      <c r="A20" t="s">
        <v>103</v>
      </c>
      <c r="B20" t="s">
        <v>101</v>
      </c>
      <c r="C20" t="s">
        <v>88</v>
      </c>
      <c r="D20" t="s">
        <v>89</v>
      </c>
      <c r="E20" t="s">
        <v>226</v>
      </c>
      <c r="F20" t="s">
        <v>227</v>
      </c>
      <c r="G20">
        <v>1</v>
      </c>
      <c r="H20" t="s">
        <v>44</v>
      </c>
      <c r="I20">
        <v>570</v>
      </c>
      <c r="J20">
        <v>570</v>
      </c>
    </row>
    <row r="21" spans="1:10" x14ac:dyDescent="0.2">
      <c r="A21" t="s">
        <v>124</v>
      </c>
      <c r="B21" t="s">
        <v>110</v>
      </c>
      <c r="C21" t="s">
        <v>88</v>
      </c>
      <c r="D21" t="s">
        <v>89</v>
      </c>
      <c r="E21" t="s">
        <v>228</v>
      </c>
      <c r="F21" t="s">
        <v>229</v>
      </c>
      <c r="G21">
        <v>1</v>
      </c>
      <c r="H21" t="s">
        <v>44</v>
      </c>
      <c r="I21">
        <v>27</v>
      </c>
      <c r="J21">
        <v>27</v>
      </c>
    </row>
    <row r="22" spans="1:10" x14ac:dyDescent="0.2">
      <c r="A22" t="s">
        <v>108</v>
      </c>
      <c r="B22" t="s">
        <v>107</v>
      </c>
      <c r="C22" t="s">
        <v>88</v>
      </c>
      <c r="D22" t="s">
        <v>89</v>
      </c>
      <c r="E22" t="s">
        <v>228</v>
      </c>
      <c r="F22" t="s">
        <v>229</v>
      </c>
      <c r="G22">
        <v>2</v>
      </c>
      <c r="H22" t="s">
        <v>44</v>
      </c>
      <c r="I22">
        <v>27</v>
      </c>
      <c r="J22">
        <v>54</v>
      </c>
    </row>
    <row r="23" spans="1:10" x14ac:dyDescent="0.2">
      <c r="A23" t="s">
        <v>111</v>
      </c>
      <c r="B23" t="s">
        <v>110</v>
      </c>
      <c r="C23" t="s">
        <v>88</v>
      </c>
      <c r="D23" t="s">
        <v>89</v>
      </c>
      <c r="E23" t="s">
        <v>228</v>
      </c>
      <c r="F23" t="s">
        <v>229</v>
      </c>
      <c r="G23">
        <v>1</v>
      </c>
      <c r="H23" t="s">
        <v>44</v>
      </c>
      <c r="I23">
        <v>27</v>
      </c>
      <c r="J23">
        <v>27</v>
      </c>
    </row>
    <row r="24" spans="1:10" x14ac:dyDescent="0.2">
      <c r="A24" t="s">
        <v>114</v>
      </c>
      <c r="B24" t="s">
        <v>113</v>
      </c>
      <c r="C24" t="s">
        <v>88</v>
      </c>
      <c r="D24" t="s">
        <v>89</v>
      </c>
      <c r="E24" t="s">
        <v>228</v>
      </c>
      <c r="F24" t="s">
        <v>229</v>
      </c>
      <c r="G24">
        <v>1</v>
      </c>
      <c r="H24" t="s">
        <v>44</v>
      </c>
      <c r="I24">
        <v>27</v>
      </c>
      <c r="J24">
        <v>27</v>
      </c>
    </row>
    <row r="25" spans="1:10" x14ac:dyDescent="0.2">
      <c r="A25" t="s">
        <v>114</v>
      </c>
      <c r="B25" t="s">
        <v>113</v>
      </c>
      <c r="C25" t="s">
        <v>88</v>
      </c>
      <c r="D25" t="s">
        <v>89</v>
      </c>
      <c r="E25" t="s">
        <v>230</v>
      </c>
      <c r="F25" t="s">
        <v>231</v>
      </c>
      <c r="G25">
        <v>3</v>
      </c>
      <c r="H25" t="s">
        <v>44</v>
      </c>
      <c r="I25">
        <v>141.56</v>
      </c>
      <c r="J25">
        <v>424.68</v>
      </c>
    </row>
    <row r="26" spans="1:10" x14ac:dyDescent="0.2">
      <c r="A26" t="s">
        <v>117</v>
      </c>
      <c r="B26" t="s">
        <v>116</v>
      </c>
      <c r="C26" t="s">
        <v>88</v>
      </c>
      <c r="D26" t="s">
        <v>89</v>
      </c>
      <c r="E26" t="s">
        <v>224</v>
      </c>
      <c r="F26" t="s">
        <v>225</v>
      </c>
      <c r="G26">
        <v>1</v>
      </c>
      <c r="H26" t="s">
        <v>44</v>
      </c>
      <c r="I26">
        <v>261.25</v>
      </c>
      <c r="J26">
        <v>261.25</v>
      </c>
    </row>
    <row r="27" spans="1:10" x14ac:dyDescent="0.2">
      <c r="A27" t="s">
        <v>122</v>
      </c>
      <c r="B27" t="s">
        <v>88</v>
      </c>
      <c r="C27" t="s">
        <v>88</v>
      </c>
      <c r="D27" t="s">
        <v>89</v>
      </c>
      <c r="E27" t="s">
        <v>232</v>
      </c>
      <c r="F27" t="s">
        <v>233</v>
      </c>
      <c r="G27">
        <v>1</v>
      </c>
      <c r="H27" t="s">
        <v>44</v>
      </c>
      <c r="I27">
        <v>432</v>
      </c>
      <c r="J27">
        <v>432</v>
      </c>
    </row>
    <row r="28" spans="1:10" x14ac:dyDescent="0.2">
      <c r="A28" t="s">
        <v>129</v>
      </c>
      <c r="B28" t="s">
        <v>88</v>
      </c>
      <c r="C28" t="s">
        <v>88</v>
      </c>
      <c r="D28" t="s">
        <v>89</v>
      </c>
      <c r="E28" t="s">
        <v>232</v>
      </c>
      <c r="F28" t="s">
        <v>233</v>
      </c>
      <c r="G28">
        <v>1</v>
      </c>
      <c r="H28" t="s">
        <v>44</v>
      </c>
      <c r="I28">
        <v>432</v>
      </c>
      <c r="J28">
        <v>432</v>
      </c>
    </row>
    <row r="29" spans="1:10" x14ac:dyDescent="0.2">
      <c r="A29" t="s">
        <v>133</v>
      </c>
      <c r="B29" t="s">
        <v>88</v>
      </c>
      <c r="C29" t="s">
        <v>88</v>
      </c>
      <c r="D29" t="s">
        <v>89</v>
      </c>
      <c r="E29" t="s">
        <v>190</v>
      </c>
      <c r="F29" t="s">
        <v>191</v>
      </c>
      <c r="G29">
        <v>1</v>
      </c>
      <c r="H29" t="s">
        <v>44</v>
      </c>
      <c r="I29">
        <v>501</v>
      </c>
      <c r="J29">
        <v>501</v>
      </c>
    </row>
    <row r="30" spans="1:10" x14ac:dyDescent="0.2">
      <c r="A30" t="s">
        <v>131</v>
      </c>
      <c r="B30" t="s">
        <v>88</v>
      </c>
      <c r="C30" t="s">
        <v>88</v>
      </c>
      <c r="D30" t="s">
        <v>89</v>
      </c>
      <c r="E30" t="s">
        <v>224</v>
      </c>
      <c r="F30" t="s">
        <v>225</v>
      </c>
      <c r="G30">
        <v>1</v>
      </c>
      <c r="H30" t="s">
        <v>44</v>
      </c>
      <c r="I30">
        <v>261.25</v>
      </c>
      <c r="J30">
        <v>261.25</v>
      </c>
    </row>
    <row r="31" spans="1:10" x14ac:dyDescent="0.2">
      <c r="A31" t="s">
        <v>137</v>
      </c>
      <c r="B31" t="s">
        <v>126</v>
      </c>
      <c r="C31" t="s">
        <v>88</v>
      </c>
      <c r="D31" t="s">
        <v>89</v>
      </c>
      <c r="E31" t="s">
        <v>234</v>
      </c>
      <c r="F31" t="s">
        <v>203</v>
      </c>
      <c r="G31">
        <v>1</v>
      </c>
      <c r="H31" t="s">
        <v>44</v>
      </c>
      <c r="I31">
        <v>80</v>
      </c>
      <c r="J31">
        <v>80</v>
      </c>
    </row>
    <row r="32" spans="1:10" x14ac:dyDescent="0.2">
      <c r="A32" t="s">
        <v>143</v>
      </c>
      <c r="B32" t="s">
        <v>88</v>
      </c>
      <c r="C32" t="s">
        <v>88</v>
      </c>
      <c r="D32" t="s">
        <v>89</v>
      </c>
      <c r="E32" t="s">
        <v>224</v>
      </c>
      <c r="F32" t="s">
        <v>235</v>
      </c>
      <c r="G32">
        <v>1</v>
      </c>
      <c r="H32" t="s">
        <v>44</v>
      </c>
      <c r="I32">
        <v>261.25</v>
      </c>
      <c r="J32">
        <v>261.25</v>
      </c>
    </row>
    <row r="33" spans="1:10" x14ac:dyDescent="0.2">
      <c r="A33" t="s">
        <v>120</v>
      </c>
      <c r="B33" t="s">
        <v>119</v>
      </c>
      <c r="C33" t="s">
        <v>88</v>
      </c>
      <c r="D33" t="s">
        <v>89</v>
      </c>
      <c r="E33" t="s">
        <v>230</v>
      </c>
      <c r="F33" t="s">
        <v>231</v>
      </c>
      <c r="G33">
        <v>1</v>
      </c>
      <c r="H33" t="s">
        <v>44</v>
      </c>
      <c r="I33">
        <v>141.56</v>
      </c>
      <c r="J33">
        <v>141.56</v>
      </c>
    </row>
    <row r="34" spans="1:10" x14ac:dyDescent="0.2">
      <c r="A34" t="s">
        <v>145</v>
      </c>
      <c r="B34" t="s">
        <v>116</v>
      </c>
      <c r="C34" t="s">
        <v>88</v>
      </c>
      <c r="D34" t="s">
        <v>89</v>
      </c>
      <c r="E34" t="s">
        <v>228</v>
      </c>
      <c r="F34" t="s">
        <v>229</v>
      </c>
      <c r="G34">
        <v>1</v>
      </c>
      <c r="H34" t="s">
        <v>44</v>
      </c>
      <c r="I34">
        <v>27</v>
      </c>
      <c r="J34">
        <v>27</v>
      </c>
    </row>
    <row r="35" spans="1:10" x14ac:dyDescent="0.2">
      <c r="A35" t="s">
        <v>141</v>
      </c>
      <c r="B35" t="s">
        <v>88</v>
      </c>
      <c r="C35" t="s">
        <v>88</v>
      </c>
      <c r="D35" t="s">
        <v>89</v>
      </c>
      <c r="E35" t="s">
        <v>226</v>
      </c>
      <c r="F35" t="s">
        <v>227</v>
      </c>
      <c r="G35">
        <v>1</v>
      </c>
      <c r="H35" t="s">
        <v>44</v>
      </c>
      <c r="I35">
        <v>570</v>
      </c>
      <c r="J35">
        <v>570</v>
      </c>
    </row>
    <row r="36" spans="1:10" x14ac:dyDescent="0.2">
      <c r="A36" t="s">
        <v>135</v>
      </c>
      <c r="B36" t="s">
        <v>110</v>
      </c>
      <c r="C36" t="s">
        <v>88</v>
      </c>
      <c r="D36" t="s">
        <v>89</v>
      </c>
      <c r="E36" t="s">
        <v>236</v>
      </c>
      <c r="F36" t="s">
        <v>237</v>
      </c>
      <c r="G36">
        <v>4</v>
      </c>
      <c r="H36" t="s">
        <v>44</v>
      </c>
      <c r="I36">
        <v>22.39</v>
      </c>
      <c r="J36">
        <v>89.56</v>
      </c>
    </row>
    <row r="37" spans="1:10" x14ac:dyDescent="0.2">
      <c r="A37" t="s">
        <v>135</v>
      </c>
      <c r="B37" t="s">
        <v>110</v>
      </c>
      <c r="C37" t="s">
        <v>88</v>
      </c>
      <c r="D37" t="s">
        <v>89</v>
      </c>
      <c r="E37" t="s">
        <v>238</v>
      </c>
      <c r="F37" t="s">
        <v>239</v>
      </c>
      <c r="G37">
        <v>1</v>
      </c>
      <c r="H37" t="s">
        <v>44</v>
      </c>
      <c r="I37">
        <v>2</v>
      </c>
      <c r="J37">
        <v>2</v>
      </c>
    </row>
    <row r="38" spans="1:10" x14ac:dyDescent="0.2">
      <c r="A38" t="s">
        <v>135</v>
      </c>
      <c r="B38" t="s">
        <v>110</v>
      </c>
      <c r="C38" t="s">
        <v>88</v>
      </c>
      <c r="D38" t="s">
        <v>89</v>
      </c>
      <c r="E38" t="s">
        <v>240</v>
      </c>
      <c r="F38" t="s">
        <v>241</v>
      </c>
      <c r="G38">
        <v>4</v>
      </c>
      <c r="H38" t="s">
        <v>44</v>
      </c>
      <c r="I38">
        <v>22.39</v>
      </c>
      <c r="J38">
        <v>89.56</v>
      </c>
    </row>
    <row r="39" spans="1:10" x14ac:dyDescent="0.2">
      <c r="A39" t="s">
        <v>135</v>
      </c>
      <c r="B39" t="s">
        <v>110</v>
      </c>
      <c r="C39" t="s">
        <v>88</v>
      </c>
      <c r="D39" t="s">
        <v>89</v>
      </c>
      <c r="E39" t="s">
        <v>242</v>
      </c>
      <c r="F39" t="s">
        <v>243</v>
      </c>
      <c r="G39">
        <v>1</v>
      </c>
      <c r="H39" t="s">
        <v>44</v>
      </c>
      <c r="I39">
        <v>85</v>
      </c>
      <c r="J39">
        <v>85</v>
      </c>
    </row>
    <row r="40" spans="1:10" x14ac:dyDescent="0.2">
      <c r="A40" t="s">
        <v>135</v>
      </c>
      <c r="B40" t="s">
        <v>110</v>
      </c>
      <c r="C40" t="s">
        <v>88</v>
      </c>
      <c r="D40" t="s">
        <v>89</v>
      </c>
      <c r="E40" t="s">
        <v>226</v>
      </c>
      <c r="F40" t="s">
        <v>227</v>
      </c>
      <c r="G40">
        <v>1</v>
      </c>
      <c r="H40" t="s">
        <v>44</v>
      </c>
      <c r="I40">
        <v>570</v>
      </c>
      <c r="J40">
        <v>570</v>
      </c>
    </row>
    <row r="41" spans="1:10" x14ac:dyDescent="0.2">
      <c r="A41" t="s">
        <v>135</v>
      </c>
      <c r="B41" t="s">
        <v>110</v>
      </c>
      <c r="C41" t="s">
        <v>88</v>
      </c>
      <c r="D41" t="s">
        <v>89</v>
      </c>
      <c r="E41" t="s">
        <v>244</v>
      </c>
      <c r="F41" t="s">
        <v>245</v>
      </c>
      <c r="G41">
        <v>1</v>
      </c>
      <c r="H41" t="s">
        <v>44</v>
      </c>
      <c r="I41">
        <v>85</v>
      </c>
      <c r="J41">
        <v>85</v>
      </c>
    </row>
    <row r="42" spans="1:10" x14ac:dyDescent="0.2">
      <c r="A42" t="s">
        <v>135</v>
      </c>
      <c r="B42" t="s">
        <v>110</v>
      </c>
      <c r="C42" t="s">
        <v>88</v>
      </c>
      <c r="D42" t="s">
        <v>89</v>
      </c>
      <c r="E42" t="s">
        <v>246</v>
      </c>
      <c r="F42" t="s">
        <v>247</v>
      </c>
      <c r="G42">
        <v>4</v>
      </c>
      <c r="H42" t="s">
        <v>44</v>
      </c>
      <c r="I42">
        <v>22.39</v>
      </c>
      <c r="J42">
        <v>89.56</v>
      </c>
    </row>
    <row r="43" spans="1:10" x14ac:dyDescent="0.2">
      <c r="A43" t="s">
        <v>135</v>
      </c>
      <c r="B43" t="s">
        <v>110</v>
      </c>
      <c r="C43" t="s">
        <v>88</v>
      </c>
      <c r="D43" t="s">
        <v>89</v>
      </c>
      <c r="E43" t="s">
        <v>248</v>
      </c>
      <c r="F43" t="s">
        <v>249</v>
      </c>
      <c r="G43">
        <v>1</v>
      </c>
      <c r="H43" t="s">
        <v>44</v>
      </c>
      <c r="I43">
        <v>6</v>
      </c>
      <c r="J43">
        <v>6</v>
      </c>
    </row>
    <row r="44" spans="1:10" x14ac:dyDescent="0.2">
      <c r="A44" t="s">
        <v>135</v>
      </c>
      <c r="B44" t="s">
        <v>110</v>
      </c>
      <c r="C44" t="s">
        <v>88</v>
      </c>
      <c r="D44" t="s">
        <v>89</v>
      </c>
      <c r="E44" t="s">
        <v>250</v>
      </c>
      <c r="F44" t="s">
        <v>251</v>
      </c>
      <c r="G44">
        <v>4</v>
      </c>
      <c r="H44" t="s">
        <v>44</v>
      </c>
      <c r="I44">
        <v>22.39</v>
      </c>
      <c r="J44">
        <v>89.56</v>
      </c>
    </row>
    <row r="45" spans="1:10" x14ac:dyDescent="0.2">
      <c r="A45" t="s">
        <v>149</v>
      </c>
      <c r="B45" t="s">
        <v>88</v>
      </c>
      <c r="C45" t="s">
        <v>88</v>
      </c>
      <c r="D45" t="s">
        <v>89</v>
      </c>
      <c r="E45" t="s">
        <v>232</v>
      </c>
      <c r="F45" t="s">
        <v>233</v>
      </c>
      <c r="G45">
        <v>1</v>
      </c>
      <c r="H45" t="s">
        <v>44</v>
      </c>
      <c r="I45">
        <v>432</v>
      </c>
      <c r="J45">
        <v>432</v>
      </c>
    </row>
    <row r="46" spans="1:10" x14ac:dyDescent="0.2">
      <c r="A46" t="s">
        <v>151</v>
      </c>
      <c r="B46" t="s">
        <v>88</v>
      </c>
      <c r="C46" t="s">
        <v>88</v>
      </c>
      <c r="D46" t="s">
        <v>89</v>
      </c>
      <c r="E46" t="s">
        <v>232</v>
      </c>
      <c r="F46" t="s">
        <v>233</v>
      </c>
      <c r="G46">
        <v>1</v>
      </c>
      <c r="H46" t="s">
        <v>44</v>
      </c>
      <c r="I46">
        <v>432</v>
      </c>
      <c r="J46">
        <v>432</v>
      </c>
    </row>
    <row r="47" spans="1:10" x14ac:dyDescent="0.2">
      <c r="A47" t="s">
        <v>154</v>
      </c>
      <c r="B47" t="s">
        <v>153</v>
      </c>
      <c r="C47" t="s">
        <v>88</v>
      </c>
      <c r="D47" t="s">
        <v>89</v>
      </c>
      <c r="E47" t="s">
        <v>226</v>
      </c>
      <c r="F47" t="s">
        <v>227</v>
      </c>
      <c r="G47">
        <v>1</v>
      </c>
      <c r="H47" t="s">
        <v>44</v>
      </c>
      <c r="I47">
        <v>570</v>
      </c>
      <c r="J47">
        <v>570</v>
      </c>
    </row>
    <row r="48" spans="1:10" x14ac:dyDescent="0.2">
      <c r="A48" t="s">
        <v>156</v>
      </c>
      <c r="B48" t="s">
        <v>88</v>
      </c>
      <c r="C48" t="s">
        <v>88</v>
      </c>
      <c r="D48" t="s">
        <v>89</v>
      </c>
      <c r="E48" t="s">
        <v>228</v>
      </c>
      <c r="F48" t="s">
        <v>229</v>
      </c>
      <c r="G48">
        <v>1</v>
      </c>
      <c r="H48" t="s">
        <v>44</v>
      </c>
      <c r="I48">
        <v>27</v>
      </c>
      <c r="J48">
        <v>27</v>
      </c>
    </row>
    <row r="49" spans="1:10" x14ac:dyDescent="0.2">
      <c r="A49" t="s">
        <v>139</v>
      </c>
      <c r="B49" t="s">
        <v>116</v>
      </c>
      <c r="C49" t="s">
        <v>88</v>
      </c>
      <c r="D49" t="s">
        <v>89</v>
      </c>
      <c r="E49" t="s">
        <v>224</v>
      </c>
      <c r="F49" t="s">
        <v>225</v>
      </c>
      <c r="G49">
        <v>1</v>
      </c>
      <c r="H49" t="s">
        <v>44</v>
      </c>
      <c r="I49">
        <v>261.25</v>
      </c>
      <c r="J49">
        <v>261.25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EDA9-1A54-4B50-B38B-096C7F056C43}">
  <sheetPr codeName="Sheet2"/>
  <dimension ref="A1:Q2"/>
  <sheetViews>
    <sheetView workbookViewId="0">
      <pane ySplit="1" topLeftCell="A2" activePane="bottomLeft" state="frozen"/>
      <selection pane="bottomLeft" activeCell="F23" sqref="F23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1" t="s">
        <v>40</v>
      </c>
    </row>
    <row r="2" spans="1:17" x14ac:dyDescent="0.2">
      <c r="A2" s="27" t="s">
        <v>252</v>
      </c>
      <c r="B2" s="28">
        <v>45898.613958333335</v>
      </c>
      <c r="C2" s="27" t="s">
        <v>89</v>
      </c>
      <c r="D2" s="27" t="s">
        <v>88</v>
      </c>
      <c r="F2" s="27" t="s">
        <v>41</v>
      </c>
      <c r="G2" s="27" t="s">
        <v>58</v>
      </c>
      <c r="H2" s="27" t="s">
        <v>59</v>
      </c>
      <c r="I2" s="27" t="s">
        <v>45</v>
      </c>
      <c r="J2" s="27" t="s">
        <v>43</v>
      </c>
      <c r="K2" s="27" t="s">
        <v>44</v>
      </c>
      <c r="L2" s="27">
        <v>300.8</v>
      </c>
      <c r="M2" s="27">
        <v>-300.8</v>
      </c>
      <c r="N2" s="27">
        <v>16481.75</v>
      </c>
      <c r="P2" s="27" t="s">
        <v>253</v>
      </c>
      <c r="Q2" s="27">
        <v>202508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F6CB-7532-4467-92B9-BBC5F6981A4F}">
  <sheetPr codeName="Sheet12"/>
  <dimension ref="A1:Q3"/>
  <sheetViews>
    <sheetView workbookViewId="0">
      <pane ySplit="1" topLeftCell="A2" activePane="bottomLeft" state="frozen"/>
      <selection pane="bottomLeft" activeCell="R10" sqref="R10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1" t="s">
        <v>40</v>
      </c>
    </row>
    <row r="3" spans="1:17" x14ac:dyDescent="0.2">
      <c r="A3" t="s">
        <v>187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69B-F04E-486F-BA95-EE9E465D6FA0}">
  <sheetPr codeName="Sheet7"/>
  <dimension ref="A1:Q3"/>
  <sheetViews>
    <sheetView zoomScale="85" zoomScaleNormal="85" workbookViewId="0">
      <pane ySplit="1" topLeftCell="A2" activePane="bottomLeft" state="frozen"/>
      <selection pane="bottomLeft" activeCell="K21" sqref="K21"/>
    </sheetView>
  </sheetViews>
  <sheetFormatPr defaultColWidth="9" defaultRowHeight="16.5" x14ac:dyDescent="0.35"/>
  <cols>
    <col min="1" max="1" width="9" style="32"/>
    <col min="2" max="2" width="15.375" style="32" customWidth="1"/>
    <col min="3" max="3" width="17.75" style="32" customWidth="1"/>
    <col min="4" max="11" width="9" style="32"/>
    <col min="12" max="12" width="10.625" style="32" bestFit="1" customWidth="1"/>
    <col min="13" max="13" width="11.375" style="32" bestFit="1" customWidth="1"/>
    <col min="14" max="14" width="10.5" style="32" bestFit="1" customWidth="1"/>
    <col min="15" max="15" width="9" style="32"/>
    <col min="16" max="16" width="16.625" style="32" customWidth="1"/>
    <col min="17" max="17" width="9.375" style="32" bestFit="1" customWidth="1"/>
    <col min="18" max="16384" width="9" style="32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60</v>
      </c>
      <c r="N1" s="23" t="s">
        <v>37</v>
      </c>
      <c r="O1" s="23" t="s">
        <v>38</v>
      </c>
      <c r="P1" s="23" t="s">
        <v>39</v>
      </c>
      <c r="Q1" s="31" t="s">
        <v>40</v>
      </c>
    </row>
    <row r="3" spans="1:17" x14ac:dyDescent="0.35">
      <c r="A3" s="32" t="s">
        <v>187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305A-163C-4F4A-B027-159C53C1B81E}">
  <sheetPr codeName="Sheet8"/>
  <dimension ref="A1:O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41" customWidth="1"/>
    <col min="3" max="3" width="5.625" bestFit="1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5.25" bestFit="1" customWidth="1"/>
    <col min="13" max="13" width="7.875" bestFit="1" customWidth="1"/>
    <col min="14" max="14" width="15.375" style="42" customWidth="1"/>
    <col min="15" max="15" width="18.125" customWidth="1"/>
  </cols>
  <sheetData>
    <row r="1" spans="1:15" ht="43.5" customHeight="1" x14ac:dyDescent="0.2">
      <c r="A1" s="33" t="s">
        <v>61</v>
      </c>
      <c r="B1" s="34" t="s">
        <v>62</v>
      </c>
      <c r="C1" s="35" t="s">
        <v>63</v>
      </c>
      <c r="D1" s="33" t="s">
        <v>64</v>
      </c>
      <c r="E1" s="36" t="s">
        <v>65</v>
      </c>
      <c r="F1" s="36" t="s">
        <v>66</v>
      </c>
      <c r="G1" s="36" t="s">
        <v>67</v>
      </c>
      <c r="H1" s="37" t="s">
        <v>68</v>
      </c>
      <c r="I1" s="37" t="s">
        <v>69</v>
      </c>
      <c r="J1" s="36" t="s">
        <v>70</v>
      </c>
      <c r="K1" s="38" t="s">
        <v>71</v>
      </c>
      <c r="L1" s="38" t="s">
        <v>72</v>
      </c>
      <c r="M1" s="39" t="s">
        <v>73</v>
      </c>
      <c r="N1" s="40" t="s">
        <v>74</v>
      </c>
      <c r="O1" s="36" t="s">
        <v>75</v>
      </c>
    </row>
    <row r="3" spans="1:15" x14ac:dyDescent="0.2">
      <c r="A3" t="s">
        <v>187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E727-73EB-4C93-8C32-245F00E3F555}">
  <sheetPr codeName="Sheet9"/>
  <dimension ref="A1:L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.5" bestFit="1" customWidth="1"/>
    <col min="2" max="2" width="23.625" bestFit="1" customWidth="1"/>
    <col min="3" max="3" width="24.5" customWidth="1"/>
    <col min="4" max="4" width="19.25" customWidth="1"/>
    <col min="5" max="6" width="18.125" customWidth="1"/>
    <col min="7" max="12" width="11.625" customWidth="1"/>
  </cols>
  <sheetData>
    <row r="1" spans="1:12" ht="63.75" customHeight="1" x14ac:dyDescent="0.2">
      <c r="A1" s="29" t="s">
        <v>76</v>
      </c>
      <c r="B1" s="29" t="s">
        <v>77</v>
      </c>
      <c r="C1" s="37" t="s">
        <v>78</v>
      </c>
      <c r="D1" s="37" t="s">
        <v>79</v>
      </c>
      <c r="E1" s="29" t="s">
        <v>80</v>
      </c>
      <c r="F1" s="29" t="s">
        <v>81</v>
      </c>
      <c r="G1" s="29" t="s">
        <v>82</v>
      </c>
      <c r="H1" s="29" t="s">
        <v>83</v>
      </c>
      <c r="I1" s="29" t="s">
        <v>84</v>
      </c>
      <c r="J1" s="29" t="s">
        <v>85</v>
      </c>
      <c r="K1" s="29" t="s">
        <v>86</v>
      </c>
      <c r="L1" s="29" t="s">
        <v>87</v>
      </c>
    </row>
    <row r="3" spans="1:12" x14ac:dyDescent="0.2">
      <c r="A3" t="s">
        <v>187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monthly bill</vt:lpstr>
      <vt:lpstr>Accessories discount</vt:lpstr>
      <vt:lpstr>spare parts fee</vt:lpstr>
      <vt:lpstr>service fee</vt:lpstr>
      <vt:lpstr>incentive labor fee</vt:lpstr>
      <vt:lpstr>tariff compensation</vt:lpstr>
      <vt:lpstr>shipping fee reimbursement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2025-09-19T10:14:16Z</dcterms:created>
  <dcterms:modified xsi:type="dcterms:W3CDTF">2025-09-19T10:14:24Z</dcterms:modified>
</cp:coreProperties>
</file>