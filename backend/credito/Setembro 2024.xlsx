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农机运营\海外农机\海外账单\24年\9月\单位月结账单\"/>
    </mc:Choice>
  </mc:AlternateContent>
  <xr:revisionPtr revIDLastSave="0" documentId="8_{32002A2E-4AC6-4DBE-AD7C-D926BDA1CDA6}" xr6:coauthVersionLast="36" xr6:coauthVersionMax="36" xr10:uidLastSave="{00000000-0000-0000-0000-000000000000}"/>
  <bookViews>
    <workbookView xWindow="0" yWindow="0" windowWidth="57600" windowHeight="26580" xr2:uid="{F58CFE89-C81D-4919-95AF-49008D2C0C6C}"/>
  </bookViews>
  <sheets>
    <sheet name="monthly bill" sheetId="3" r:id="rId1"/>
    <sheet name="Accessories discount" sheetId="4" r:id="rId2"/>
    <sheet name="spare parts fee + service fee" sheetId="5" r:id="rId3"/>
    <sheet name="Maintenance list" sheetId="6" r:id="rId4"/>
    <sheet name="Service prohibition" sheetId="7" r:id="rId5"/>
    <sheet name="other compensation" sheetId="8" r:id="rId6"/>
    <sheet name="DOA to CM" sheetId="9" r:id="rId7"/>
  </sheets>
  <definedNames>
    <definedName name="_xlnm._FilterDatabase" localSheetId="1" hidden="1">'Accessories discount'!$A$1:$Q$1</definedName>
    <definedName name="_xlnm._FilterDatabase" localSheetId="6" hidden="1">'DOA to CM'!$A$1:$P$1</definedName>
    <definedName name="_xlnm._FilterDatabase" localSheetId="3" hidden="1">'Maintenance list'!$A$1:$G$1</definedName>
    <definedName name="_xlnm._FilterDatabase" localSheetId="5" hidden="1">'other compensation'!$A$1:$Q$1</definedName>
    <definedName name="_xlnm._FilterDatabase" localSheetId="4" hidden="1">'Service prohibition'!$A$1:$Q$1</definedName>
    <definedName name="_xlnm._FilterDatabase" localSheetId="2" hidden="1">'spare parts fee + service fee'!$A$1:$I$1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3" l="1"/>
  <c r="E11" i="3"/>
  <c r="E10" i="3"/>
  <c r="E9" i="3"/>
  <c r="E8" i="3"/>
  <c r="E7" i="3"/>
  <c r="E5" i="3"/>
  <c r="E6" i="3" s="1"/>
  <c r="E13" i="3" l="1"/>
  <c r="E14" i="3" s="1"/>
</calcChain>
</file>

<file path=xl/sharedStrings.xml><?xml version="1.0" encoding="utf-8"?>
<sst xmlns="http://schemas.openxmlformats.org/spreadsheetml/2006/main" count="679" uniqueCount="233">
  <si>
    <t>Dealer</t>
  </si>
  <si>
    <t>Dealer Account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</si>
  <si>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Sep</t>
    </r>
    <phoneticPr fontId="2" type="noConversion"/>
  </si>
  <si>
    <t>Dealer Account：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</si>
  <si>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</si>
  <si>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</si>
  <si>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</si>
  <si>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</si>
  <si>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</si>
  <si>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</si>
  <si>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</si>
  <si>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</si>
  <si>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Labor fee of warranty cases</t>
  </si>
  <si>
    <t>incentive labor fee</t>
  </si>
  <si>
    <t>SERVICE PROHIBITION</t>
  </si>
  <si>
    <t>Other compensation</t>
  </si>
  <si>
    <t>Battery/DOA cases</t>
  </si>
  <si>
    <t>Total Income</t>
  </si>
  <si>
    <t>Credit Balance</t>
  </si>
  <si>
    <t>For your reference</t>
  </si>
  <si>
    <t>Serial Number</t>
  </si>
  <si>
    <t>Creation Date</t>
  </si>
  <si>
    <t>Sub Dealer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</si>
  <si>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</si>
  <si>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</si>
  <si>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</si>
  <si>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</si>
  <si>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</si>
  <si>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</si>
  <si>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</si>
  <si>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</si>
  <si>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</si>
  <si>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</si>
  <si>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</si>
  <si>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USD</t>
  </si>
  <si>
    <r>
      <rPr>
        <b/>
        <sz val="10"/>
        <color theme="0"/>
        <rFont val="微软雅黑"/>
        <family val="2"/>
        <charset val="134"/>
      </rPr>
      <t>上级代理商名称</t>
    </r>
    <r>
      <rPr>
        <b/>
        <sz val="10"/>
        <color theme="0"/>
        <rFont val="Arial"/>
        <family val="2"/>
      </rPr>
      <t>Distributor Name</t>
    </r>
  </si>
  <si>
    <r>
      <rPr>
        <b/>
        <sz val="10"/>
        <color theme="0"/>
        <rFont val="微软雅黑"/>
        <family val="2"/>
        <charset val="134"/>
      </rPr>
      <t>代理商名称</t>
    </r>
    <r>
      <rPr>
        <b/>
        <sz val="10"/>
        <color theme="0"/>
        <rFont val="Arial"/>
        <family val="2"/>
      </rPr>
      <t>(Dealer Name)</t>
    </r>
  </si>
  <si>
    <r>
      <rPr>
        <b/>
        <sz val="10"/>
        <color theme="0"/>
        <rFont val="微软雅黑"/>
        <family val="2"/>
        <charset val="134"/>
      </rPr>
      <t>代理商账号</t>
    </r>
    <r>
      <rPr>
        <b/>
        <sz val="10"/>
        <color theme="0"/>
        <rFont val="Arial"/>
        <family val="2"/>
      </rPr>
      <t>(Dealer Account)</t>
    </r>
  </si>
  <si>
    <r>
      <rPr>
        <b/>
        <sz val="10"/>
        <color theme="0"/>
        <rFont val="微软雅黑"/>
        <family val="2"/>
        <charset val="134"/>
      </rPr>
      <t>国家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微软雅黑"/>
        <family val="2"/>
        <charset val="134"/>
      </rPr>
      <t xml:space="preserve">地区
</t>
    </r>
    <r>
      <rPr>
        <b/>
        <sz val="10"/>
        <color theme="0"/>
        <rFont val="Arial"/>
        <family val="2"/>
      </rPr>
      <t>Country</t>
    </r>
  </si>
  <si>
    <r>
      <rPr>
        <b/>
        <sz val="10"/>
        <color theme="0"/>
        <rFont val="微软雅黑"/>
        <family val="2"/>
        <charset val="134"/>
      </rPr>
      <t>案例编号</t>
    </r>
    <r>
      <rPr>
        <b/>
        <sz val="10"/>
        <color theme="0"/>
        <rFont val="Arial"/>
        <family val="2"/>
      </rPr>
      <t>Case Number</t>
    </r>
  </si>
  <si>
    <r>
      <rPr>
        <b/>
        <sz val="10"/>
        <color theme="0"/>
        <rFont val="微软雅黑"/>
        <family val="2"/>
        <charset val="134"/>
      </rPr>
      <t>维修物料费</t>
    </r>
    <r>
      <rPr>
        <b/>
        <sz val="10"/>
        <color theme="0"/>
        <rFont val="Arial"/>
        <family val="2"/>
      </rPr>
      <t>Spare parts Amount</t>
    </r>
  </si>
  <si>
    <r>
      <rPr>
        <b/>
        <sz val="10"/>
        <color theme="0"/>
        <rFont val="微软雅黑"/>
        <family val="2"/>
        <charset val="134"/>
      </rPr>
      <t>维修劳务费</t>
    </r>
    <r>
      <rPr>
        <b/>
        <sz val="10"/>
        <color theme="0"/>
        <rFont val="Arial"/>
        <family val="2"/>
      </rPr>
      <t>Labor fee Amount</t>
    </r>
  </si>
  <si>
    <r>
      <rPr>
        <b/>
        <sz val="10"/>
        <color theme="0"/>
        <rFont val="微软雅黑"/>
        <family val="2"/>
        <charset val="134"/>
      </rPr>
      <t>合计劳务费</t>
    </r>
    <r>
      <rPr>
        <b/>
        <sz val="10"/>
        <color theme="0"/>
        <rFont val="Arial"/>
        <family val="2"/>
      </rPr>
      <t>Total Settlement Amount</t>
    </r>
  </si>
  <si>
    <r>
      <rPr>
        <b/>
        <sz val="10"/>
        <color theme="0"/>
        <rFont val="微软雅黑"/>
        <family val="2"/>
        <charset val="134"/>
      </rPr>
      <t>合计劳务费激励</t>
    </r>
    <r>
      <rPr>
        <b/>
        <sz val="10"/>
        <color theme="0"/>
        <rFont val="Arial"/>
        <family val="2"/>
      </rPr>
      <t>incentive labor fee</t>
    </r>
  </si>
  <si>
    <r>
      <rPr>
        <b/>
        <sz val="10"/>
        <color theme="0"/>
        <rFont val="微软雅黑"/>
        <family val="2"/>
        <charset val="134"/>
      </rPr>
      <t>物料编码</t>
    </r>
    <r>
      <rPr>
        <b/>
        <sz val="10"/>
        <color theme="0"/>
        <rFont val="Arial"/>
        <family val="2"/>
      </rPr>
      <t>Material code</t>
    </r>
  </si>
  <si>
    <r>
      <rPr>
        <b/>
        <sz val="10"/>
        <color theme="0"/>
        <rFont val="微软雅黑"/>
        <family val="2"/>
        <charset val="134"/>
      </rPr>
      <t>物料名称</t>
    </r>
    <r>
      <rPr>
        <b/>
        <sz val="10"/>
        <color theme="0"/>
        <rFont val="Arial"/>
        <family val="2"/>
      </rPr>
      <t>Material name</t>
    </r>
  </si>
  <si>
    <r>
      <rPr>
        <b/>
        <sz val="10"/>
        <color theme="0"/>
        <rFont val="微软雅黑"/>
        <family val="2"/>
        <charset val="134"/>
      </rPr>
      <t>数量</t>
    </r>
    <r>
      <rPr>
        <b/>
        <sz val="10"/>
        <color theme="0"/>
        <rFont val="Arial"/>
        <family val="2"/>
      </rPr>
      <t>Quantity</t>
    </r>
  </si>
  <si>
    <r>
      <rPr>
        <b/>
        <sz val="10"/>
        <color rgb="FFFFFFFF"/>
        <rFont val="微软雅黑"/>
        <family val="2"/>
        <charset val="134"/>
      </rPr>
      <t>转售前</t>
    </r>
    <r>
      <rPr>
        <b/>
        <sz val="10"/>
        <color rgb="FFFFFFFF"/>
        <rFont val="Arial"/>
        <family val="2"/>
      </rPr>
      <t>Credit/</t>
    </r>
    <r>
      <rPr>
        <b/>
        <sz val="10"/>
        <color rgb="FFFFFFFF"/>
        <rFont val="微软雅黑"/>
        <family val="2"/>
        <charset val="134"/>
      </rPr>
      <t>售后</t>
    </r>
    <r>
      <rPr>
        <b/>
        <sz val="10"/>
        <color rgb="FFFFFFFF"/>
        <rFont val="Arial"/>
        <family val="2"/>
      </rPr>
      <t>Cedit
Pre-sale credit/After-sale credit</t>
    </r>
  </si>
  <si>
    <r>
      <rPr>
        <b/>
        <sz val="10"/>
        <color rgb="FFFFFFFF"/>
        <rFont val="微软雅黑"/>
        <family val="2"/>
        <charset val="134"/>
      </rPr>
      <t>金额</t>
    </r>
    <r>
      <rPr>
        <b/>
        <sz val="10"/>
        <color rgb="FFFFFFFF"/>
        <rFont val="Arial"/>
        <family val="2"/>
      </rPr>
      <t>/Amount</t>
    </r>
  </si>
  <si>
    <r>
      <rPr>
        <b/>
        <sz val="10"/>
        <color rgb="FFFFFFFF"/>
        <rFont val="微软雅黑"/>
        <family val="2"/>
        <charset val="134"/>
      </rPr>
      <t>币种</t>
    </r>
  </si>
  <si>
    <r>
      <t>CM</t>
    </r>
    <r>
      <rPr>
        <b/>
        <sz val="10"/>
        <color rgb="FFFFFFFF"/>
        <rFont val="微软雅黑"/>
        <family val="2"/>
        <charset val="134"/>
      </rPr>
      <t xml:space="preserve">单号
</t>
    </r>
    <r>
      <rPr>
        <b/>
        <sz val="10"/>
        <color rgb="FFFFFFFF"/>
        <rFont val="Arial"/>
        <family val="2"/>
      </rPr>
      <t>Credit number</t>
    </r>
  </si>
  <si>
    <r>
      <rPr>
        <b/>
        <sz val="10"/>
        <color rgb="FFFFFFFF"/>
        <rFont val="微软雅黑"/>
        <family val="2"/>
        <charset val="134"/>
      </rPr>
      <t xml:space="preserve">其他说明
</t>
    </r>
    <r>
      <rPr>
        <b/>
        <sz val="10"/>
        <color rgb="FFFFFFFF"/>
        <rFont val="Arial"/>
        <family val="2"/>
      </rPr>
      <t>Supplement</t>
    </r>
  </si>
  <si>
    <r>
      <rPr>
        <b/>
        <sz val="10"/>
        <color rgb="FFFFFFFF"/>
        <rFont val="微软雅黑"/>
        <family val="2"/>
        <charset val="134"/>
      </rPr>
      <t>原始咨询案例（</t>
    </r>
    <r>
      <rPr>
        <b/>
        <sz val="10"/>
        <color rgb="FFFFFFFF"/>
        <rFont val="Arial"/>
        <family val="2"/>
      </rPr>
      <t>Original Technical Support Case</t>
    </r>
    <r>
      <rPr>
        <b/>
        <sz val="10"/>
        <color rgb="FFFFFFFF"/>
        <rFont val="微软雅黑"/>
        <family val="2"/>
        <charset val="134"/>
      </rPr>
      <t>）</t>
    </r>
    <phoneticPr fontId="2" type="noConversion"/>
  </si>
  <si>
    <r>
      <t>DJI</t>
    </r>
    <r>
      <rPr>
        <b/>
        <sz val="10"/>
        <color rgb="FFFFFFFF"/>
        <rFont val="微软雅黑"/>
        <family val="2"/>
        <charset val="134"/>
      </rPr>
      <t>换货案例（</t>
    </r>
    <r>
      <rPr>
        <b/>
        <sz val="10"/>
        <color rgb="FFFFFFFF"/>
        <rFont val="Arial"/>
        <family val="2"/>
      </rPr>
      <t>DJI DOA Case</t>
    </r>
    <r>
      <rPr>
        <b/>
        <sz val="10"/>
        <color rgb="FFFFFFFF"/>
        <rFont val="微软雅黑"/>
        <family val="2"/>
        <charset val="134"/>
      </rPr>
      <t>）</t>
    </r>
  </si>
  <si>
    <r>
      <rPr>
        <b/>
        <sz val="10"/>
        <color rgb="FFFFFFFF"/>
        <rFont val="微软雅黑"/>
        <family val="2"/>
        <charset val="134"/>
      </rPr>
      <t>客户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微软雅黑"/>
        <family val="2"/>
        <charset val="134"/>
      </rPr>
      <t>案例</t>
    </r>
    <r>
      <rPr>
        <b/>
        <sz val="10"/>
        <color rgb="FFFFFFFF"/>
        <rFont val="Arial"/>
        <family val="2"/>
      </rPr>
      <t>)
Distributor/Dealer Name</t>
    </r>
  </si>
  <si>
    <r>
      <rPr>
        <b/>
        <sz val="10"/>
        <color rgb="FFFF0000"/>
        <rFont val="微软雅黑"/>
        <family val="2"/>
        <charset val="134"/>
      </rPr>
      <t>上级代理商</t>
    </r>
    <r>
      <rPr>
        <b/>
        <sz val="10"/>
        <color rgb="FFFF0000"/>
        <rFont val="Arial"/>
        <family val="2"/>
      </rPr>
      <t>(Distributor Name)</t>
    </r>
  </si>
  <si>
    <r>
      <rPr>
        <b/>
        <sz val="10"/>
        <color rgb="FFFF0000"/>
        <rFont val="微软雅黑"/>
        <family val="2"/>
        <charset val="134"/>
      </rPr>
      <t>代理商账号</t>
    </r>
    <r>
      <rPr>
        <b/>
        <sz val="10"/>
        <color rgb="FFFF0000"/>
        <rFont val="Arial"/>
        <family val="2"/>
      </rPr>
      <t>(Dealer Account)</t>
    </r>
  </si>
  <si>
    <r>
      <rPr>
        <b/>
        <sz val="10"/>
        <color rgb="FFFFFFFF"/>
        <rFont val="微软雅黑"/>
        <family val="2"/>
        <charset val="134"/>
      </rPr>
      <t>产品</t>
    </r>
    <r>
      <rPr>
        <b/>
        <sz val="10"/>
        <color rgb="FFFFFFFF"/>
        <rFont val="Arial"/>
        <family val="2"/>
      </rPr>
      <t xml:space="preserve"> ID (</t>
    </r>
    <r>
      <rPr>
        <b/>
        <sz val="10"/>
        <color rgb="FFFFFFFF"/>
        <rFont val="微软雅黑"/>
        <family val="2"/>
        <charset val="134"/>
      </rPr>
      <t>产品</t>
    </r>
    <r>
      <rPr>
        <b/>
        <sz val="10"/>
        <color rgb="FFFFFFFF"/>
        <rFont val="Arial"/>
        <family val="2"/>
      </rPr>
      <t>)
Product ID</t>
    </r>
  </si>
  <si>
    <r>
      <rPr>
        <b/>
        <sz val="10"/>
        <color rgb="FFFFFFFF"/>
        <rFont val="微软雅黑"/>
        <family val="2"/>
        <charset val="134"/>
      </rPr>
      <t xml:space="preserve">产品
</t>
    </r>
    <r>
      <rPr>
        <b/>
        <sz val="10"/>
        <color rgb="FFFFFFFF"/>
        <rFont val="Arial"/>
        <family val="2"/>
      </rPr>
      <t xml:space="preserve">Product </t>
    </r>
  </si>
  <si>
    <r>
      <rPr>
        <b/>
        <sz val="10"/>
        <color rgb="FFFFFFFF"/>
        <rFont val="微软雅黑"/>
        <family val="2"/>
        <charset val="134"/>
      </rPr>
      <t xml:space="preserve">数量
</t>
    </r>
    <r>
      <rPr>
        <b/>
        <sz val="10"/>
        <color rgb="FFFFFFFF"/>
        <rFont val="Arial"/>
        <family val="2"/>
      </rPr>
      <t>Quantity</t>
    </r>
  </si>
  <si>
    <r>
      <rPr>
        <b/>
        <sz val="10"/>
        <color rgb="FFFFFFFF"/>
        <rFont val="微软雅黑"/>
        <family val="2"/>
        <charset val="134"/>
      </rPr>
      <t xml:space="preserve">月份
</t>
    </r>
    <r>
      <rPr>
        <b/>
        <sz val="10"/>
        <color rgb="FFFFFFFF"/>
        <rFont val="Arial"/>
        <family val="2"/>
      </rPr>
      <t>Month</t>
    </r>
  </si>
  <si>
    <r>
      <rPr>
        <b/>
        <sz val="10"/>
        <color rgb="FFFFFFFF"/>
        <rFont val="微软雅黑"/>
        <family val="2"/>
        <charset val="134"/>
      </rPr>
      <t>完成时间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微软雅黑"/>
        <family val="2"/>
        <charset val="134"/>
      </rPr>
      <t>发货单</t>
    </r>
    <r>
      <rPr>
        <b/>
        <sz val="10"/>
        <color rgb="FFFFFFFF"/>
        <rFont val="Arial"/>
        <family val="2"/>
      </rPr>
      <t>)
Date</t>
    </r>
  </si>
  <si>
    <r>
      <rPr>
        <b/>
        <sz val="10"/>
        <color rgb="FFFFFFFF"/>
        <rFont val="微软雅黑"/>
        <family val="2"/>
        <charset val="134"/>
      </rPr>
      <t>产品</t>
    </r>
    <r>
      <rPr>
        <b/>
        <sz val="10"/>
        <color rgb="FFFFFFFF"/>
        <rFont val="Arial"/>
        <family val="2"/>
      </rPr>
      <t>SN</t>
    </r>
    <r>
      <rPr>
        <b/>
        <sz val="10"/>
        <color rgb="FFFFFFFF"/>
        <rFont val="微软雅黑"/>
        <family val="2"/>
        <charset val="134"/>
      </rPr>
      <t>码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微软雅黑"/>
        <family val="2"/>
        <charset val="134"/>
      </rPr>
      <t>案例</t>
    </r>
    <r>
      <rPr>
        <b/>
        <sz val="10"/>
        <color rgb="FFFFFFFF"/>
        <rFont val="Arial"/>
        <family val="2"/>
      </rPr>
      <t>)
Product SN</t>
    </r>
  </si>
  <si>
    <t>Huada Agricola Comercial LTDA</t>
  </si>
  <si>
    <t>Huada Agricola Comercial LTDA</t>
    <phoneticPr fontId="2" type="noConversion"/>
  </si>
  <si>
    <t>HUADA-agras</t>
  </si>
  <si>
    <t>HUADA-agras</t>
    <phoneticPr fontId="2" type="noConversion"/>
  </si>
  <si>
    <t>本次不涉及此项</t>
  </si>
  <si>
    <t>BRAZIL</t>
  </si>
  <si>
    <t>WRC240830000890</t>
  </si>
  <si>
    <t>WRC240907000012</t>
  </si>
  <si>
    <t>MS Drones</t>
  </si>
  <si>
    <t>WRC240615000004</t>
  </si>
  <si>
    <t>SMC - SOLUCOES EM ENGENHARIA EIRELI</t>
  </si>
  <si>
    <t>WRC240902000630</t>
  </si>
  <si>
    <t>WRC240912000008</t>
  </si>
  <si>
    <t>WRC240912000568</t>
  </si>
  <si>
    <t>WRC240917000255</t>
  </si>
  <si>
    <t>WRC240917000290</t>
  </si>
  <si>
    <t>BC.AG.SS000617.01</t>
  </si>
  <si>
    <t>【T40/T20P】航电模块L</t>
  </si>
  <si>
    <t>BC.AG.SS000554.01</t>
  </si>
  <si>
    <t>【T40/T20P】喷洒模块</t>
  </si>
  <si>
    <t>CP.AG.00000608.01</t>
  </si>
  <si>
    <t>【T40充电器】T40充电器交流模块（不含输入线）</t>
  </si>
  <si>
    <t>YC.JG.QX003210.02</t>
  </si>
  <si>
    <t>分离式电机座（下）-M4</t>
  </si>
  <si>
    <t>YC.JG.CS000012.06</t>
  </si>
  <si>
    <t>【T40】水箱（40L）</t>
  </si>
  <si>
    <t>YC.JG.ZS001966.05</t>
  </si>
  <si>
    <t>【T40】下反桨（L-CW）</t>
  </si>
  <si>
    <t>YC.JG.ZS001964.05</t>
  </si>
  <si>
    <t>【T40/T20P】上反桨（U-CW）</t>
  </si>
  <si>
    <t>YC.JG.ZS001963.04</t>
  </si>
  <si>
    <t>【T40/T20P】上正桨（U-CCW）</t>
  </si>
  <si>
    <t>BC.AG.SS000563.01</t>
  </si>
  <si>
    <t>【T40/T20P】电调模块</t>
  </si>
  <si>
    <t>YC.JG.QX003209.02</t>
  </si>
  <si>
    <t>分离式电机座（上）-M4</t>
  </si>
  <si>
    <t>YC.JG.BJ001168.05</t>
  </si>
  <si>
    <t>【T40】脚架铝管</t>
  </si>
  <si>
    <t>BC.AG.SS000567.02</t>
  </si>
  <si>
    <t>M1机臂（右前）（光杆）</t>
  </si>
  <si>
    <t>YC.JG.FP000018.05</t>
  </si>
  <si>
    <t>【T40】电机保护罩</t>
  </si>
  <si>
    <t>YC.DZ.BC000081.01</t>
  </si>
  <si>
    <t>USB充电器（65W）（欧规）（含充电线）</t>
  </si>
  <si>
    <t>YC.JG.FP000018.03</t>
  </si>
  <si>
    <t>YC.JG.ZS002429.05</t>
  </si>
  <si>
    <t>【T40/T20P】50目滤网</t>
  </si>
  <si>
    <t>YC.WJ.LM000044.01</t>
  </si>
  <si>
    <t>【T40】锁紧扣螺母</t>
  </si>
  <si>
    <t>YC.JG.ZS002348.01</t>
  </si>
  <si>
    <t>【T40/T20P】叶轮泵弯头</t>
  </si>
  <si>
    <t>BC.AG.SS000778.01</t>
  </si>
  <si>
    <t>M3机臂（左后）（包胶）</t>
  </si>
  <si>
    <t>BC.AG.SS000566.01</t>
  </si>
  <si>
    <t>10033动力电机-M4</t>
  </si>
  <si>
    <t>YC.JG.ZS002254.02</t>
  </si>
  <si>
    <t>【T40/T20P】喷杆快拆旋套</t>
  </si>
  <si>
    <t>YC.JG.ZS002483.02</t>
  </si>
  <si>
    <t>【T40/T20P】离心喷杆</t>
  </si>
  <si>
    <t>YC.JG.MY000814.04</t>
  </si>
  <si>
    <t>喷杆减震垫</t>
  </si>
  <si>
    <t>YC.JG.MY000703.05</t>
  </si>
  <si>
    <t>【T40/T20P】泵壳密封圈</t>
  </si>
  <si>
    <t>YC.JG.ZS002262.04</t>
  </si>
  <si>
    <t>【T40/T20P】喷杆固定螺母</t>
  </si>
  <si>
    <t>YC.JG.ZS000984.04</t>
  </si>
  <si>
    <t>【T40/T20P】流量计支架</t>
  </si>
  <si>
    <t>YC.SJ.J01186.02</t>
  </si>
  <si>
    <t>【T40/T20P】滤网橡胶圈</t>
  </si>
  <si>
    <t>BC.AG.SS000645.01</t>
  </si>
  <si>
    <t>【T40/T20P】机臂在位检测信号线</t>
  </si>
  <si>
    <t>YC.JG.QX002088.03</t>
  </si>
  <si>
    <t>【T40】锁紧扣连杆</t>
  </si>
  <si>
    <t>YC.JG.ZS003383.04</t>
  </si>
  <si>
    <t>【T40/T20P】喷杆转接轴</t>
  </si>
  <si>
    <t>YC.JG.LD000041.02</t>
  </si>
  <si>
    <t>【T40】锁紧扣固定螺栓</t>
  </si>
  <si>
    <t>YC.JG.QX002089.01</t>
  </si>
  <si>
    <t>【T40】锁紧扣机臂转轴</t>
  </si>
  <si>
    <t>YC.JG.JS000028.02</t>
  </si>
  <si>
    <t>【T40/T20P】喷杆水管</t>
  </si>
  <si>
    <t>YC.JG.JS000029.03</t>
  </si>
  <si>
    <t>机臂水管</t>
  </si>
  <si>
    <t>BC.AG.SS000575.01</t>
  </si>
  <si>
    <t>【T40】锁紧扣手柄</t>
  </si>
  <si>
    <t>YC.JG.ZS005019.03</t>
  </si>
  <si>
    <t>【T40】下反桨（L-CW）（白）</t>
  </si>
  <si>
    <t>BC.AG.SS000558.01</t>
  </si>
  <si>
    <t>【T40】分电板模块</t>
  </si>
  <si>
    <t>YC.JG.ZS002253.05</t>
  </si>
  <si>
    <t>YC.JG.TT000095.03</t>
  </si>
  <si>
    <t>【T40/T20P】锁紧扣弹簧</t>
  </si>
  <si>
    <t>YC.JG.ZS005018.03</t>
  </si>
  <si>
    <t>【T40】下正桨（L-CCW）（白）</t>
  </si>
  <si>
    <t>YC.JG.ZS002234.07</t>
  </si>
  <si>
    <t>【T40/T20P】叶轮泵支架</t>
  </si>
  <si>
    <t>YC.JG.ZS005017.03</t>
  </si>
  <si>
    <t>【T40/T20P】上反桨（U-CW）（白）</t>
  </si>
  <si>
    <t>YC.JG.FM000092.03</t>
  </si>
  <si>
    <t>离心喷头手拧螺母</t>
  </si>
  <si>
    <t>YC.JG.ZS001963.05</t>
  </si>
  <si>
    <t>YC.JG.ZS001965.05</t>
  </si>
  <si>
    <t>【T40】下正桨（L-CCW）</t>
  </si>
  <si>
    <t>YC.WJ.LL000138.01</t>
  </si>
  <si>
    <t>【T40/T20P】M25-PF00500035-047015-5103-N</t>
  </si>
  <si>
    <t>YC.JG.ZS002422.03</t>
  </si>
  <si>
    <t>【T40/T20P】外壳卡扣</t>
  </si>
  <si>
    <t>YC.JG.ZS002482.02</t>
  </si>
  <si>
    <t>【T40/T20P】卡扣</t>
  </si>
  <si>
    <t>YC.XC.XX000841.06</t>
  </si>
  <si>
    <t>【T40/T20P】离心喷头信号线</t>
  </si>
  <si>
    <t>YC.WJ.L00870.02</t>
  </si>
  <si>
    <t>【T40/T20P】M30-HC060060-55-85 V2</t>
  </si>
  <si>
    <t>YC.JG.MY000712.03</t>
  </si>
  <si>
    <t>【T40/T20P】离心阀胶圈</t>
  </si>
  <si>
    <t>BC.AG.SS000569.02</t>
  </si>
  <si>
    <t>M3机臂（左后）（光杆）</t>
  </si>
  <si>
    <t>YC.JG.ZS002534.02</t>
  </si>
  <si>
    <t>【T40/T20P】手拧螺母</t>
  </si>
  <si>
    <t>YC.JG.ZS002299.02</t>
  </si>
  <si>
    <t>【T40/T20P】后壳下盖</t>
  </si>
  <si>
    <t>YC.JG.QX001243.04</t>
  </si>
  <si>
    <t>【T40/T20P】锁紧扣手柄转轴</t>
  </si>
  <si>
    <t>YC.JG.ZS001878.04</t>
  </si>
  <si>
    <t>【T40/T20P】离心喷头甩盘上盘</t>
  </si>
  <si>
    <t>YC.JG.MY000715.07</t>
  </si>
  <si>
    <t>【T40/T20P】离心喷头密封塞</t>
  </si>
  <si>
    <t>YC.JG.ZS002288.02</t>
  </si>
  <si>
    <t>【T40/T20P】离心喷头摩擦片</t>
  </si>
  <si>
    <t>BC.AG.SS000560.01</t>
  </si>
  <si>
    <t>【T40/T20P】RTK天线组件</t>
  </si>
  <si>
    <t>YC.XC.TT000104.03</t>
  </si>
  <si>
    <t>【T40/T20P】RTK同轴线</t>
  </si>
  <si>
    <t>YC.JG.ZS001879.09</t>
  </si>
  <si>
    <t>【T40/T20P】离心喷头甩盘下盘</t>
  </si>
  <si>
    <t>YC.JG.ZS002379.03</t>
  </si>
  <si>
    <t>【T40/T20P】电机上盖</t>
  </si>
  <si>
    <t>YC.JG.MY000691.03</t>
  </si>
  <si>
    <t>【T40/T20P】全向雷达固定座散热齿密封圈</t>
  </si>
  <si>
    <t>BC.AG.SS000604.02</t>
  </si>
  <si>
    <t>【T40/T20P】离心喷头下盖</t>
  </si>
  <si>
    <t>YC.JG.TT000100.06</t>
  </si>
  <si>
    <t>【T40/T20P】离心喷头弹簧</t>
  </si>
  <si>
    <t>YC.JG.ZS002298.02</t>
  </si>
  <si>
    <t>【T40/T20P】后壳上盖</t>
  </si>
  <si>
    <t>YC.JG.ZS002258.02</t>
  </si>
  <si>
    <t>【T40/T20P】水管弯头（内螺纹）</t>
  </si>
  <si>
    <t>YC.JG.MY000704.06</t>
  </si>
  <si>
    <t>【T40/T20P】电机密封圈</t>
  </si>
  <si>
    <t>YC.XJ.QT000350.01</t>
  </si>
  <si>
    <t>【T40/T20P】接头密封圈</t>
  </si>
  <si>
    <t>YC.JG.ZS002289.05</t>
  </si>
  <si>
    <t>【T40/T20P】离心喷头弹簧支架</t>
  </si>
  <si>
    <t>YC.JG.JS000019.10</t>
  </si>
  <si>
    <t>BC.AG.SS000565.02</t>
  </si>
  <si>
    <t>【T40/T20P】离心电机</t>
  </si>
  <si>
    <t>YC.JG.ZS002255.02</t>
  </si>
  <si>
    <t>【T40/T20P】水管螺母</t>
  </si>
  <si>
    <t>BC.AG.SS000570.02</t>
  </si>
  <si>
    <t>M4机臂（右后）（光杆）</t>
  </si>
  <si>
    <t>YC.ST.LL000235.01</t>
  </si>
  <si>
    <t>【T40/T20P】T30-HC00800080-057030-5103-N</t>
  </si>
  <si>
    <t>YC.JG.ZS000998.03</t>
  </si>
  <si>
    <t>【T40/T20P】小卡扣母座</t>
  </si>
  <si>
    <t>售后credit（After-sale credit）</t>
  </si>
  <si>
    <t>CAS-17985491-F5G2H2</t>
  </si>
  <si>
    <t>CAS-18071970-Y7G8J1</t>
  </si>
  <si>
    <t>CP.AG.00000571.01</t>
  </si>
  <si>
    <t>T20P智能飞行电池</t>
  </si>
  <si>
    <t>57QPK7GDA00CWK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</si>
</sst>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0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微软雅黑"/>
      <family val="2"/>
      <charset val="134"/>
    </font>
    <font>
      <b/>
      <sz val="10"/>
      <color rgb="FFFFFFFF"/>
      <name val="Arial"/>
      <family val="2"/>
    </font>
    <font>
      <b/>
      <sz val="10"/>
      <color rgb="FFFFFFFF"/>
      <name val="微软雅黑"/>
      <family val="2"/>
      <charset val="134"/>
    </font>
    <font>
      <b/>
      <sz val="10"/>
      <color rgb="FFFF0000"/>
      <name val="Arial"/>
      <family val="2"/>
    </font>
    <font>
      <b/>
      <sz val="10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/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8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6" fillId="0" borderId="1" xfId="1" applyNumberFormat="1" applyFont="1" applyFill="1" applyBorder="1">
      <alignment vertical="center"/>
    </xf>
    <xf numFmtId="0" fontId="10" fillId="0" borderId="8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6" xfId="1" applyNumberFormat="1" applyFont="1" applyFill="1" applyBorder="1">
      <alignment vertical="center"/>
    </xf>
    <xf numFmtId="0" fontId="12" fillId="0" borderId="0" xfId="0" applyFont="1"/>
    <xf numFmtId="0" fontId="12" fillId="2" borderId="0" xfId="0" applyFont="1" applyFill="1"/>
    <xf numFmtId="0" fontId="12" fillId="0" borderId="0" xfId="0" applyNumberFormat="1" applyFont="1"/>
    <xf numFmtId="0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176" fontId="12" fillId="0" borderId="0" xfId="0" applyNumberFormat="1" applyFont="1"/>
    <xf numFmtId="0" fontId="3" fillId="0" borderId="0" xfId="0" applyFont="1"/>
    <xf numFmtId="0" fontId="15" fillId="7" borderId="1" xfId="0" applyFont="1" applyFill="1" applyBorder="1" applyAlignment="1">
      <alignment horizontal="center" vertical="center" wrapText="1"/>
    </xf>
    <xf numFmtId="177" fontId="15" fillId="7" borderId="1" xfId="0" applyNumberFormat="1" applyFont="1" applyFill="1" applyBorder="1" applyAlignment="1">
      <alignment horizontal="right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178" fontId="15" fillId="8" borderId="1" xfId="0" applyNumberFormat="1" applyFont="1" applyFill="1" applyBorder="1" applyAlignment="1">
      <alignment horizontal="center" vertical="center"/>
    </xf>
    <xf numFmtId="177" fontId="19" fillId="0" borderId="0" xfId="0" applyNumberFormat="1" applyFont="1" applyAlignment="1">
      <alignment horizontal="right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7" fillId="4" borderId="3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/>
    </xf>
    <xf numFmtId="0" fontId="10" fillId="5" borderId="5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6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9F67EA0C-C686-4EED-BE17-A5297F3BDD66}"/>
    <cellStyle name="常规 4 2 2" xfId="2" xr:uid="{F1751466-DF26-40F0-991F-E01D32D02809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B698-CB5A-4657-BD12-54F0D488BA5C}">
  <sheetPr codeName="Sheet4"/>
  <dimension ref="B1:F14"/>
  <sheetViews>
    <sheetView showGridLines="0" tabSelected="1" zoomScale="85" zoomScaleNormal="85" workbookViewId="0">
      <selection activeCell="E27" sqref="E27"/>
    </sheetView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5" t="s">
        <v>2</v>
      </c>
      <c r="C2" s="36"/>
      <c r="D2" s="36"/>
      <c r="E2" s="36"/>
      <c r="F2" s="37"/>
    </row>
    <row r="3" spans="2:6" ht="18.75" customHeight="1" x14ac:dyDescent="0.2">
      <c r="B3" s="2" t="s">
        <v>0</v>
      </c>
      <c r="C3" s="38" t="s">
        <v>64</v>
      </c>
      <c r="D3" s="39"/>
      <c r="E3" s="2" t="s">
        <v>3</v>
      </c>
      <c r="F3" s="3" t="s">
        <v>66</v>
      </c>
    </row>
    <row r="4" spans="2:6" ht="18" x14ac:dyDescent="0.2">
      <c r="B4" s="40" t="s">
        <v>4</v>
      </c>
      <c r="C4" s="41"/>
      <c r="D4" s="42"/>
      <c r="E4" s="4" t="s">
        <v>5</v>
      </c>
      <c r="F4" s="5" t="s">
        <v>6</v>
      </c>
    </row>
    <row r="5" spans="2:6" ht="16.899999999999999" customHeight="1" x14ac:dyDescent="0.2">
      <c r="B5" s="6" t="s">
        <v>7</v>
      </c>
      <c r="C5" s="7">
        <v>1</v>
      </c>
      <c r="D5" s="8" t="s">
        <v>8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43" t="s">
        <v>9</v>
      </c>
      <c r="C6" s="44"/>
      <c r="D6" s="45"/>
      <c r="E6" s="9">
        <f>E5</f>
        <v>0</v>
      </c>
      <c r="F6" s="11"/>
    </row>
    <row r="7" spans="2:6" ht="16.899999999999999" customHeight="1" x14ac:dyDescent="0.2">
      <c r="B7" s="46" t="s">
        <v>10</v>
      </c>
      <c r="C7" s="12">
        <v>1</v>
      </c>
      <c r="D7" s="8" t="s">
        <v>11</v>
      </c>
      <c r="E7" s="9">
        <f>SUMIF('spare parts fee + service fee'!C:C,'monthly bill'!F3,'spare parts fee + service fee'!F:F)</f>
        <v>3252.2999999999997</v>
      </c>
      <c r="F7" s="11"/>
    </row>
    <row r="8" spans="2:6" ht="16.899999999999999" customHeight="1" x14ac:dyDescent="0.2">
      <c r="B8" s="46"/>
      <c r="C8" s="12">
        <v>2</v>
      </c>
      <c r="D8" s="8" t="s">
        <v>12</v>
      </c>
      <c r="E8" s="13">
        <f>SUMIF('spare parts fee + service fee'!C:C,'monthly bill'!F3,'spare parts fee + service fee'!G:G)</f>
        <v>116</v>
      </c>
      <c r="F8" s="11"/>
    </row>
    <row r="9" spans="2:6" ht="16.899999999999999" customHeight="1" x14ac:dyDescent="0.2">
      <c r="B9" s="46"/>
      <c r="C9" s="12">
        <v>3</v>
      </c>
      <c r="D9" s="8" t="s">
        <v>13</v>
      </c>
      <c r="E9" s="13">
        <f>SUMIF('spare parts fee + service fee'!C:C,'monthly bill'!F3,'spare parts fee + service fee'!I:I)</f>
        <v>46.4</v>
      </c>
      <c r="F9" s="11"/>
    </row>
    <row r="10" spans="2:6" ht="16.899999999999999" customHeight="1" x14ac:dyDescent="0.2">
      <c r="B10" s="46"/>
      <c r="C10" s="12">
        <v>4</v>
      </c>
      <c r="D10" s="8" t="s">
        <v>14</v>
      </c>
      <c r="E10" s="13">
        <f>SUMIF('Service prohibition'!C:C,'monthly bill'!F3,'Service prohibition'!M:M)</f>
        <v>0</v>
      </c>
      <c r="F10" s="11"/>
    </row>
    <row r="11" spans="2:6" ht="16.899999999999999" customHeight="1" x14ac:dyDescent="0.2">
      <c r="B11" s="46"/>
      <c r="C11" s="12">
        <v>5</v>
      </c>
      <c r="D11" s="8" t="s">
        <v>15</v>
      </c>
      <c r="E11" s="13">
        <f>SUMIF('other compensation'!C:C,'monthly bill'!F3,'other compensation'!M:M)</f>
        <v>0</v>
      </c>
      <c r="F11" s="11"/>
    </row>
    <row r="12" spans="2:6" ht="16.899999999999999" customHeight="1" x14ac:dyDescent="0.2">
      <c r="B12" s="46"/>
      <c r="C12" s="12">
        <v>6</v>
      </c>
      <c r="D12" s="8" t="s">
        <v>16</v>
      </c>
      <c r="E12" s="13">
        <f>SUMIF('DOA to CM'!J:J,'monthly bill'!F3,'DOA to CM'!B:B)</f>
        <v>653</v>
      </c>
      <c r="F12" s="11"/>
    </row>
    <row r="13" spans="2:6" ht="16.899999999999999" customHeight="1" x14ac:dyDescent="0.2">
      <c r="B13" s="43" t="s">
        <v>17</v>
      </c>
      <c r="C13" s="44"/>
      <c r="D13" s="45"/>
      <c r="E13" s="13">
        <f>E7+E8+E9+E10+E11+E12</f>
        <v>4067.7</v>
      </c>
      <c r="F13" s="11"/>
    </row>
    <row r="14" spans="2:6" ht="16.5" x14ac:dyDescent="0.2">
      <c r="B14" s="32" t="s">
        <v>18</v>
      </c>
      <c r="C14" s="33"/>
      <c r="D14" s="34"/>
      <c r="E14" s="14">
        <f>E13+E6</f>
        <v>4067.7</v>
      </c>
      <c r="F14" s="11" t="s">
        <v>19</v>
      </c>
    </row>
  </sheetData>
  <mergeCells count="7">
    <mergeCell ref="B14:D14"/>
    <mergeCell ref="B2:F2"/>
    <mergeCell ref="C3:D3"/>
    <mergeCell ref="B4:D4"/>
    <mergeCell ref="B6:D6"/>
    <mergeCell ref="B7:B12"/>
    <mergeCell ref="B13:D13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C45E-1C11-4A53-B1E7-3A8A82DC5EE4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18"/>
  </cols>
  <sheetData>
    <row r="1" spans="1:17" x14ac:dyDescent="0.2">
      <c r="A1" s="15" t="s">
        <v>20</v>
      </c>
      <c r="B1" s="15" t="s">
        <v>21</v>
      </c>
      <c r="C1" s="16" t="s">
        <v>1</v>
      </c>
      <c r="D1" s="16" t="s">
        <v>0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32</v>
      </c>
      <c r="P1" s="15" t="s">
        <v>6</v>
      </c>
      <c r="Q1" s="17" t="s">
        <v>33</v>
      </c>
    </row>
    <row r="3" spans="1:17" x14ac:dyDescent="0.2">
      <c r="A3" t="s">
        <v>67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4901-7ADA-4EFE-B842-9E5E6A06D706}">
  <sheetPr codeName="Sheet6"/>
  <dimension ref="A1:I9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6.75" customWidth="1"/>
    <col min="2" max="2" width="15.75" customWidth="1"/>
    <col min="3" max="3" width="25.375" customWidth="1"/>
    <col min="4" max="5" width="15" customWidth="1"/>
    <col min="6" max="6" width="16.125" customWidth="1"/>
    <col min="7" max="7" width="27.25" customWidth="1"/>
    <col min="8" max="8" width="26.5" customWidth="1"/>
    <col min="9" max="9" width="15.5" customWidth="1"/>
  </cols>
  <sheetData>
    <row r="1" spans="1:9" ht="29.25" x14ac:dyDescent="0.2">
      <c r="A1" s="19" t="s">
        <v>35</v>
      </c>
      <c r="B1" s="20" t="s">
        <v>36</v>
      </c>
      <c r="C1" s="19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</row>
    <row r="2" spans="1:9" x14ac:dyDescent="0.2">
      <c r="A2" t="s">
        <v>63</v>
      </c>
      <c r="B2" t="s">
        <v>63</v>
      </c>
      <c r="C2" t="s">
        <v>65</v>
      </c>
      <c r="D2" t="s">
        <v>68</v>
      </c>
      <c r="E2" t="s">
        <v>69</v>
      </c>
      <c r="F2">
        <v>378.69</v>
      </c>
      <c r="G2">
        <v>27</v>
      </c>
      <c r="H2">
        <v>405.69</v>
      </c>
      <c r="I2">
        <v>10.8</v>
      </c>
    </row>
    <row r="3" spans="1:9" x14ac:dyDescent="0.2">
      <c r="A3" t="s">
        <v>63</v>
      </c>
      <c r="B3" t="s">
        <v>63</v>
      </c>
      <c r="C3" t="s">
        <v>65</v>
      </c>
      <c r="D3" t="s">
        <v>68</v>
      </c>
      <c r="E3" t="s">
        <v>70</v>
      </c>
      <c r="F3">
        <v>85.59</v>
      </c>
      <c r="G3">
        <v>7</v>
      </c>
      <c r="H3">
        <v>92.59</v>
      </c>
      <c r="I3">
        <v>2.8</v>
      </c>
    </row>
    <row r="4" spans="1:9" x14ac:dyDescent="0.2">
      <c r="A4" t="s">
        <v>63</v>
      </c>
      <c r="B4" t="s">
        <v>71</v>
      </c>
      <c r="C4" t="s">
        <v>65</v>
      </c>
      <c r="D4" t="s">
        <v>68</v>
      </c>
      <c r="E4" t="s">
        <v>72</v>
      </c>
      <c r="F4">
        <v>922.36</v>
      </c>
      <c r="G4">
        <v>16</v>
      </c>
      <c r="H4">
        <v>938.36</v>
      </c>
      <c r="I4">
        <v>6.4</v>
      </c>
    </row>
    <row r="5" spans="1:9" x14ac:dyDescent="0.2">
      <c r="A5" t="s">
        <v>63</v>
      </c>
      <c r="B5" t="s">
        <v>73</v>
      </c>
      <c r="C5" t="s">
        <v>65</v>
      </c>
      <c r="D5" t="s">
        <v>68</v>
      </c>
      <c r="E5" t="s">
        <v>74</v>
      </c>
      <c r="F5">
        <v>378.69</v>
      </c>
      <c r="G5">
        <v>27</v>
      </c>
      <c r="H5">
        <v>405.69</v>
      </c>
      <c r="I5">
        <v>10.8</v>
      </c>
    </row>
    <row r="6" spans="1:9" x14ac:dyDescent="0.2">
      <c r="A6" t="s">
        <v>63</v>
      </c>
      <c r="B6" t="s">
        <v>73</v>
      </c>
      <c r="C6" t="s">
        <v>65</v>
      </c>
      <c r="D6" t="s">
        <v>68</v>
      </c>
      <c r="E6" t="s">
        <v>75</v>
      </c>
      <c r="F6">
        <v>476.12</v>
      </c>
      <c r="G6">
        <v>7</v>
      </c>
      <c r="H6">
        <v>483.12</v>
      </c>
      <c r="I6">
        <v>2.8</v>
      </c>
    </row>
    <row r="7" spans="1:9" x14ac:dyDescent="0.2">
      <c r="A7" t="s">
        <v>63</v>
      </c>
      <c r="B7" t="s">
        <v>73</v>
      </c>
      <c r="C7" t="s">
        <v>65</v>
      </c>
      <c r="D7" t="s">
        <v>68</v>
      </c>
      <c r="E7" t="s">
        <v>76</v>
      </c>
      <c r="F7">
        <v>519.5</v>
      </c>
      <c r="G7">
        <v>16</v>
      </c>
      <c r="H7">
        <v>535.5</v>
      </c>
      <c r="I7">
        <v>6.4</v>
      </c>
    </row>
    <row r="8" spans="1:9" x14ac:dyDescent="0.2">
      <c r="A8" t="s">
        <v>63</v>
      </c>
      <c r="B8" t="s">
        <v>73</v>
      </c>
      <c r="C8" t="s">
        <v>65</v>
      </c>
      <c r="D8" t="s">
        <v>68</v>
      </c>
      <c r="E8" t="s">
        <v>77</v>
      </c>
      <c r="F8">
        <v>37</v>
      </c>
      <c r="G8">
        <v>0</v>
      </c>
      <c r="H8">
        <v>37</v>
      </c>
      <c r="I8">
        <v>0</v>
      </c>
    </row>
    <row r="9" spans="1:9" x14ac:dyDescent="0.2">
      <c r="A9" t="s">
        <v>63</v>
      </c>
      <c r="B9" t="s">
        <v>73</v>
      </c>
      <c r="C9" t="s">
        <v>65</v>
      </c>
      <c r="D9" t="s">
        <v>68</v>
      </c>
      <c r="E9" t="s">
        <v>78</v>
      </c>
      <c r="F9">
        <v>454.35</v>
      </c>
      <c r="G9">
        <v>16</v>
      </c>
      <c r="H9">
        <v>470.35</v>
      </c>
      <c r="I9">
        <v>6.4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C8B1-DF4F-4F82-BBD1-4C6E17C2951B}">
  <sheetPr codeName="Sheet1"/>
  <dimension ref="A1:G88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4" width="15.375" customWidth="1"/>
    <col min="5" max="5" width="20.625" customWidth="1"/>
    <col min="6" max="6" width="46.875" customWidth="1"/>
    <col min="7" max="7" width="11.875" customWidth="1"/>
  </cols>
  <sheetData>
    <row r="1" spans="1:7" ht="29.25" x14ac:dyDescent="0.2">
      <c r="A1" s="20" t="s">
        <v>39</v>
      </c>
      <c r="B1" s="20" t="s">
        <v>36</v>
      </c>
      <c r="C1" s="19" t="s">
        <v>35</v>
      </c>
      <c r="D1" s="19" t="s">
        <v>37</v>
      </c>
      <c r="E1" s="20" t="s">
        <v>44</v>
      </c>
      <c r="F1" s="20" t="s">
        <v>45</v>
      </c>
      <c r="G1" s="20" t="s">
        <v>46</v>
      </c>
    </row>
    <row r="2" spans="1:7" x14ac:dyDescent="0.2">
      <c r="A2" t="s">
        <v>69</v>
      </c>
      <c r="B2" t="s">
        <v>63</v>
      </c>
      <c r="C2" t="s">
        <v>63</v>
      </c>
      <c r="D2" t="s">
        <v>65</v>
      </c>
      <c r="E2" t="s">
        <v>79</v>
      </c>
      <c r="F2" t="s">
        <v>80</v>
      </c>
      <c r="G2">
        <v>1</v>
      </c>
    </row>
    <row r="3" spans="1:7" x14ac:dyDescent="0.2">
      <c r="A3" t="s">
        <v>74</v>
      </c>
      <c r="B3" t="s">
        <v>73</v>
      </c>
      <c r="C3" t="s">
        <v>63</v>
      </c>
      <c r="D3" t="s">
        <v>65</v>
      </c>
      <c r="E3" t="s">
        <v>79</v>
      </c>
      <c r="F3" t="s">
        <v>80</v>
      </c>
      <c r="G3">
        <v>1</v>
      </c>
    </row>
    <row r="4" spans="1:7" x14ac:dyDescent="0.2">
      <c r="A4" t="s">
        <v>70</v>
      </c>
      <c r="B4" t="s">
        <v>63</v>
      </c>
      <c r="C4" t="s">
        <v>63</v>
      </c>
      <c r="D4" t="s">
        <v>65</v>
      </c>
      <c r="E4" t="s">
        <v>81</v>
      </c>
      <c r="F4" t="s">
        <v>82</v>
      </c>
      <c r="G4">
        <v>1</v>
      </c>
    </row>
    <row r="5" spans="1:7" x14ac:dyDescent="0.2">
      <c r="A5" t="s">
        <v>75</v>
      </c>
      <c r="B5" t="s">
        <v>73</v>
      </c>
      <c r="C5" t="s">
        <v>63</v>
      </c>
      <c r="D5" t="s">
        <v>65</v>
      </c>
      <c r="E5" t="s">
        <v>83</v>
      </c>
      <c r="F5" t="s">
        <v>84</v>
      </c>
      <c r="G5">
        <v>1</v>
      </c>
    </row>
    <row r="6" spans="1:7" x14ac:dyDescent="0.2">
      <c r="A6" t="s">
        <v>76</v>
      </c>
      <c r="B6" t="s">
        <v>73</v>
      </c>
      <c r="C6" t="s">
        <v>63</v>
      </c>
      <c r="D6" t="s">
        <v>65</v>
      </c>
      <c r="E6" t="s">
        <v>85</v>
      </c>
      <c r="F6" t="s">
        <v>86</v>
      </c>
      <c r="G6">
        <v>1</v>
      </c>
    </row>
    <row r="7" spans="1:7" x14ac:dyDescent="0.2">
      <c r="A7" t="s">
        <v>76</v>
      </c>
      <c r="B7" t="s">
        <v>73</v>
      </c>
      <c r="C7" t="s">
        <v>63</v>
      </c>
      <c r="D7" t="s">
        <v>65</v>
      </c>
      <c r="E7" t="s">
        <v>87</v>
      </c>
      <c r="F7" t="s">
        <v>88</v>
      </c>
      <c r="G7">
        <v>1</v>
      </c>
    </row>
    <row r="8" spans="1:7" x14ac:dyDescent="0.2">
      <c r="A8" t="s">
        <v>76</v>
      </c>
      <c r="B8" t="s">
        <v>73</v>
      </c>
      <c r="C8" t="s">
        <v>63</v>
      </c>
      <c r="D8" t="s">
        <v>65</v>
      </c>
      <c r="E8" t="s">
        <v>89</v>
      </c>
      <c r="F8" t="s">
        <v>90</v>
      </c>
      <c r="G8">
        <v>1</v>
      </c>
    </row>
    <row r="9" spans="1:7" x14ac:dyDescent="0.2">
      <c r="A9" t="s">
        <v>76</v>
      </c>
      <c r="B9" t="s">
        <v>73</v>
      </c>
      <c r="C9" t="s">
        <v>63</v>
      </c>
      <c r="D9" t="s">
        <v>65</v>
      </c>
      <c r="E9" t="s">
        <v>91</v>
      </c>
      <c r="F9" t="s">
        <v>92</v>
      </c>
      <c r="G9">
        <v>1</v>
      </c>
    </row>
    <row r="10" spans="1:7" x14ac:dyDescent="0.2">
      <c r="A10" t="s">
        <v>76</v>
      </c>
      <c r="B10" t="s">
        <v>73</v>
      </c>
      <c r="C10" t="s">
        <v>63</v>
      </c>
      <c r="D10" t="s">
        <v>65</v>
      </c>
      <c r="E10" t="s">
        <v>93</v>
      </c>
      <c r="F10" t="s">
        <v>94</v>
      </c>
      <c r="G10">
        <v>1</v>
      </c>
    </row>
    <row r="11" spans="1:7" x14ac:dyDescent="0.2">
      <c r="A11" t="s">
        <v>76</v>
      </c>
      <c r="B11" t="s">
        <v>73</v>
      </c>
      <c r="C11" t="s">
        <v>63</v>
      </c>
      <c r="D11" t="s">
        <v>65</v>
      </c>
      <c r="E11" t="s">
        <v>95</v>
      </c>
      <c r="F11" t="s">
        <v>96</v>
      </c>
      <c r="G11">
        <v>2</v>
      </c>
    </row>
    <row r="12" spans="1:7" x14ac:dyDescent="0.2">
      <c r="A12" t="s">
        <v>76</v>
      </c>
      <c r="B12" t="s">
        <v>73</v>
      </c>
      <c r="C12" t="s">
        <v>63</v>
      </c>
      <c r="D12" t="s">
        <v>65</v>
      </c>
      <c r="E12" t="s">
        <v>97</v>
      </c>
      <c r="F12" t="s">
        <v>98</v>
      </c>
      <c r="G12">
        <v>1</v>
      </c>
    </row>
    <row r="13" spans="1:7" x14ac:dyDescent="0.2">
      <c r="A13" t="s">
        <v>76</v>
      </c>
      <c r="B13" t="s">
        <v>73</v>
      </c>
      <c r="C13" t="s">
        <v>63</v>
      </c>
      <c r="D13" t="s">
        <v>65</v>
      </c>
      <c r="E13" t="s">
        <v>99</v>
      </c>
      <c r="F13" t="s">
        <v>100</v>
      </c>
      <c r="G13">
        <v>2</v>
      </c>
    </row>
    <row r="14" spans="1:7" x14ac:dyDescent="0.2">
      <c r="A14" t="s">
        <v>76</v>
      </c>
      <c r="B14" t="s">
        <v>73</v>
      </c>
      <c r="C14" t="s">
        <v>63</v>
      </c>
      <c r="D14" t="s">
        <v>65</v>
      </c>
      <c r="E14" t="s">
        <v>101</v>
      </c>
      <c r="F14" t="s">
        <v>102</v>
      </c>
      <c r="G14">
        <v>1</v>
      </c>
    </row>
    <row r="15" spans="1:7" x14ac:dyDescent="0.2">
      <c r="A15" t="s">
        <v>76</v>
      </c>
      <c r="B15" t="s">
        <v>73</v>
      </c>
      <c r="C15" t="s">
        <v>63</v>
      </c>
      <c r="D15" t="s">
        <v>65</v>
      </c>
      <c r="E15" t="s">
        <v>103</v>
      </c>
      <c r="F15" t="s">
        <v>104</v>
      </c>
      <c r="G15">
        <v>1</v>
      </c>
    </row>
    <row r="16" spans="1:7" x14ac:dyDescent="0.2">
      <c r="A16" t="s">
        <v>77</v>
      </c>
      <c r="B16" t="s">
        <v>73</v>
      </c>
      <c r="C16" t="s">
        <v>63</v>
      </c>
      <c r="D16" t="s">
        <v>65</v>
      </c>
      <c r="E16" t="s">
        <v>105</v>
      </c>
      <c r="F16" t="s">
        <v>106</v>
      </c>
      <c r="G16">
        <v>1</v>
      </c>
    </row>
    <row r="17" spans="1:7" x14ac:dyDescent="0.2">
      <c r="A17" t="s">
        <v>72</v>
      </c>
      <c r="B17" t="s">
        <v>71</v>
      </c>
      <c r="C17" t="s">
        <v>63</v>
      </c>
      <c r="D17" t="s">
        <v>65</v>
      </c>
      <c r="E17" t="s">
        <v>107</v>
      </c>
      <c r="F17" t="s">
        <v>104</v>
      </c>
      <c r="G17">
        <v>1</v>
      </c>
    </row>
    <row r="18" spans="1:7" x14ac:dyDescent="0.2">
      <c r="A18" t="s">
        <v>72</v>
      </c>
      <c r="B18" t="s">
        <v>71</v>
      </c>
      <c r="C18" t="s">
        <v>63</v>
      </c>
      <c r="D18" t="s">
        <v>65</v>
      </c>
      <c r="E18" t="s">
        <v>108</v>
      </c>
      <c r="F18" t="s">
        <v>109</v>
      </c>
      <c r="G18">
        <v>1</v>
      </c>
    </row>
    <row r="19" spans="1:7" x14ac:dyDescent="0.2">
      <c r="A19" t="s">
        <v>72</v>
      </c>
      <c r="B19" t="s">
        <v>71</v>
      </c>
      <c r="C19" t="s">
        <v>63</v>
      </c>
      <c r="D19" t="s">
        <v>65</v>
      </c>
      <c r="E19" t="s">
        <v>110</v>
      </c>
      <c r="F19" t="s">
        <v>111</v>
      </c>
      <c r="G19">
        <v>1</v>
      </c>
    </row>
    <row r="20" spans="1:7" x14ac:dyDescent="0.2">
      <c r="A20" t="s">
        <v>72</v>
      </c>
      <c r="B20" t="s">
        <v>71</v>
      </c>
      <c r="C20" t="s">
        <v>63</v>
      </c>
      <c r="D20" t="s">
        <v>65</v>
      </c>
      <c r="E20" t="s">
        <v>93</v>
      </c>
      <c r="F20" t="s">
        <v>94</v>
      </c>
      <c r="G20">
        <v>1</v>
      </c>
    </row>
    <row r="21" spans="1:7" x14ac:dyDescent="0.2">
      <c r="A21" t="s">
        <v>72</v>
      </c>
      <c r="B21" t="s">
        <v>71</v>
      </c>
      <c r="C21" t="s">
        <v>63</v>
      </c>
      <c r="D21" t="s">
        <v>65</v>
      </c>
      <c r="E21" t="s">
        <v>112</v>
      </c>
      <c r="F21" t="s">
        <v>113</v>
      </c>
      <c r="G21">
        <v>1</v>
      </c>
    </row>
    <row r="22" spans="1:7" x14ac:dyDescent="0.2">
      <c r="A22" t="s">
        <v>72</v>
      </c>
      <c r="B22" t="s">
        <v>71</v>
      </c>
      <c r="C22" t="s">
        <v>63</v>
      </c>
      <c r="D22" t="s">
        <v>65</v>
      </c>
      <c r="E22" t="s">
        <v>114</v>
      </c>
      <c r="F22" t="s">
        <v>115</v>
      </c>
      <c r="G22">
        <v>1</v>
      </c>
    </row>
    <row r="23" spans="1:7" x14ac:dyDescent="0.2">
      <c r="A23" t="s">
        <v>72</v>
      </c>
      <c r="B23" t="s">
        <v>71</v>
      </c>
      <c r="C23" t="s">
        <v>63</v>
      </c>
      <c r="D23" t="s">
        <v>65</v>
      </c>
      <c r="E23" t="s">
        <v>116</v>
      </c>
      <c r="F23" t="s">
        <v>117</v>
      </c>
      <c r="G23">
        <v>2</v>
      </c>
    </row>
    <row r="24" spans="1:7" x14ac:dyDescent="0.2">
      <c r="A24" t="s">
        <v>72</v>
      </c>
      <c r="B24" t="s">
        <v>71</v>
      </c>
      <c r="C24" t="s">
        <v>63</v>
      </c>
      <c r="D24" t="s">
        <v>65</v>
      </c>
      <c r="E24" t="s">
        <v>118</v>
      </c>
      <c r="F24" t="s">
        <v>119</v>
      </c>
      <c r="G24">
        <v>1</v>
      </c>
    </row>
    <row r="25" spans="1:7" x14ac:dyDescent="0.2">
      <c r="A25" t="s">
        <v>72</v>
      </c>
      <c r="B25" t="s">
        <v>71</v>
      </c>
      <c r="C25" t="s">
        <v>63</v>
      </c>
      <c r="D25" t="s">
        <v>65</v>
      </c>
      <c r="E25" t="s">
        <v>95</v>
      </c>
      <c r="F25" t="s">
        <v>96</v>
      </c>
      <c r="G25">
        <v>2</v>
      </c>
    </row>
    <row r="26" spans="1:7" x14ac:dyDescent="0.2">
      <c r="A26" t="s">
        <v>72</v>
      </c>
      <c r="B26" t="s">
        <v>71</v>
      </c>
      <c r="C26" t="s">
        <v>63</v>
      </c>
      <c r="D26" t="s">
        <v>65</v>
      </c>
      <c r="E26" t="s">
        <v>120</v>
      </c>
      <c r="F26" t="s">
        <v>121</v>
      </c>
      <c r="G26">
        <v>1</v>
      </c>
    </row>
    <row r="27" spans="1:7" x14ac:dyDescent="0.2">
      <c r="A27" t="s">
        <v>72</v>
      </c>
      <c r="B27" t="s">
        <v>71</v>
      </c>
      <c r="C27" t="s">
        <v>63</v>
      </c>
      <c r="D27" t="s">
        <v>65</v>
      </c>
      <c r="E27" t="s">
        <v>122</v>
      </c>
      <c r="F27" t="s">
        <v>123</v>
      </c>
      <c r="G27">
        <v>1</v>
      </c>
    </row>
    <row r="28" spans="1:7" x14ac:dyDescent="0.2">
      <c r="A28" t="s">
        <v>72</v>
      </c>
      <c r="B28" t="s">
        <v>71</v>
      </c>
      <c r="C28" t="s">
        <v>63</v>
      </c>
      <c r="D28" t="s">
        <v>65</v>
      </c>
      <c r="E28" t="s">
        <v>124</v>
      </c>
      <c r="F28" t="s">
        <v>125</v>
      </c>
      <c r="G28">
        <v>1</v>
      </c>
    </row>
    <row r="29" spans="1:7" x14ac:dyDescent="0.2">
      <c r="A29" t="s">
        <v>72</v>
      </c>
      <c r="B29" t="s">
        <v>71</v>
      </c>
      <c r="C29" t="s">
        <v>63</v>
      </c>
      <c r="D29" t="s">
        <v>65</v>
      </c>
      <c r="E29" t="s">
        <v>126</v>
      </c>
      <c r="F29" t="s">
        <v>127</v>
      </c>
      <c r="G29">
        <v>1</v>
      </c>
    </row>
    <row r="30" spans="1:7" x14ac:dyDescent="0.2">
      <c r="A30" t="s">
        <v>72</v>
      </c>
      <c r="B30" t="s">
        <v>71</v>
      </c>
      <c r="C30" t="s">
        <v>63</v>
      </c>
      <c r="D30" t="s">
        <v>65</v>
      </c>
      <c r="E30" t="s">
        <v>128</v>
      </c>
      <c r="F30" t="s">
        <v>129</v>
      </c>
      <c r="G30">
        <v>1</v>
      </c>
    </row>
    <row r="31" spans="1:7" x14ac:dyDescent="0.2">
      <c r="A31" t="s">
        <v>72</v>
      </c>
      <c r="B31" t="s">
        <v>71</v>
      </c>
      <c r="C31" t="s">
        <v>63</v>
      </c>
      <c r="D31" t="s">
        <v>65</v>
      </c>
      <c r="E31" t="s">
        <v>130</v>
      </c>
      <c r="F31" t="s">
        <v>131</v>
      </c>
      <c r="G31">
        <v>1</v>
      </c>
    </row>
    <row r="32" spans="1:7" x14ac:dyDescent="0.2">
      <c r="A32" t="s">
        <v>72</v>
      </c>
      <c r="B32" t="s">
        <v>71</v>
      </c>
      <c r="C32" t="s">
        <v>63</v>
      </c>
      <c r="D32" t="s">
        <v>65</v>
      </c>
      <c r="E32" t="s">
        <v>132</v>
      </c>
      <c r="F32" t="s">
        <v>133</v>
      </c>
      <c r="G32">
        <v>1</v>
      </c>
    </row>
    <row r="33" spans="1:7" x14ac:dyDescent="0.2">
      <c r="A33" t="s">
        <v>72</v>
      </c>
      <c r="B33" t="s">
        <v>71</v>
      </c>
      <c r="C33" t="s">
        <v>63</v>
      </c>
      <c r="D33" t="s">
        <v>65</v>
      </c>
      <c r="E33" t="s">
        <v>134</v>
      </c>
      <c r="F33" t="s">
        <v>135</v>
      </c>
      <c r="G33">
        <v>1</v>
      </c>
    </row>
    <row r="34" spans="1:7" x14ac:dyDescent="0.2">
      <c r="A34" t="s">
        <v>72</v>
      </c>
      <c r="B34" t="s">
        <v>71</v>
      </c>
      <c r="C34" t="s">
        <v>63</v>
      </c>
      <c r="D34" t="s">
        <v>65</v>
      </c>
      <c r="E34" t="s">
        <v>136</v>
      </c>
      <c r="F34" t="s">
        <v>137</v>
      </c>
      <c r="G34">
        <v>1</v>
      </c>
    </row>
    <row r="35" spans="1:7" x14ac:dyDescent="0.2">
      <c r="A35" t="s">
        <v>72</v>
      </c>
      <c r="B35" t="s">
        <v>71</v>
      </c>
      <c r="C35" t="s">
        <v>63</v>
      </c>
      <c r="D35" t="s">
        <v>65</v>
      </c>
      <c r="E35" t="s">
        <v>138</v>
      </c>
      <c r="F35" t="s">
        <v>139</v>
      </c>
      <c r="G35">
        <v>1</v>
      </c>
    </row>
    <row r="36" spans="1:7" x14ac:dyDescent="0.2">
      <c r="A36" t="s">
        <v>72</v>
      </c>
      <c r="B36" t="s">
        <v>71</v>
      </c>
      <c r="C36" t="s">
        <v>63</v>
      </c>
      <c r="D36" t="s">
        <v>65</v>
      </c>
      <c r="E36" t="s">
        <v>140</v>
      </c>
      <c r="F36" t="s">
        <v>141</v>
      </c>
      <c r="G36">
        <v>1</v>
      </c>
    </row>
    <row r="37" spans="1:7" x14ac:dyDescent="0.2">
      <c r="A37" t="s">
        <v>72</v>
      </c>
      <c r="B37" t="s">
        <v>71</v>
      </c>
      <c r="C37" t="s">
        <v>63</v>
      </c>
      <c r="D37" t="s">
        <v>65</v>
      </c>
      <c r="E37" t="s">
        <v>142</v>
      </c>
      <c r="F37" t="s">
        <v>143</v>
      </c>
      <c r="G37">
        <v>1</v>
      </c>
    </row>
    <row r="38" spans="1:7" x14ac:dyDescent="0.2">
      <c r="A38" t="s">
        <v>72</v>
      </c>
      <c r="B38" t="s">
        <v>71</v>
      </c>
      <c r="C38" t="s">
        <v>63</v>
      </c>
      <c r="D38" t="s">
        <v>65</v>
      </c>
      <c r="E38" t="s">
        <v>144</v>
      </c>
      <c r="F38" t="s">
        <v>145</v>
      </c>
      <c r="G38">
        <v>1</v>
      </c>
    </row>
    <row r="39" spans="1:7" x14ac:dyDescent="0.2">
      <c r="A39" t="s">
        <v>72</v>
      </c>
      <c r="B39" t="s">
        <v>71</v>
      </c>
      <c r="C39" t="s">
        <v>63</v>
      </c>
      <c r="D39" t="s">
        <v>65</v>
      </c>
      <c r="E39" t="s">
        <v>146</v>
      </c>
      <c r="F39" t="s">
        <v>147</v>
      </c>
      <c r="G39">
        <v>1</v>
      </c>
    </row>
    <row r="40" spans="1:7" x14ac:dyDescent="0.2">
      <c r="A40" t="s">
        <v>72</v>
      </c>
      <c r="B40" t="s">
        <v>71</v>
      </c>
      <c r="C40" t="s">
        <v>63</v>
      </c>
      <c r="D40" t="s">
        <v>65</v>
      </c>
      <c r="E40" t="s">
        <v>148</v>
      </c>
      <c r="F40" t="s">
        <v>149</v>
      </c>
      <c r="G40">
        <v>1</v>
      </c>
    </row>
    <row r="41" spans="1:7" x14ac:dyDescent="0.2">
      <c r="A41" t="s">
        <v>72</v>
      </c>
      <c r="B41" t="s">
        <v>71</v>
      </c>
      <c r="C41" t="s">
        <v>63</v>
      </c>
      <c r="D41" t="s">
        <v>65</v>
      </c>
      <c r="E41" t="s">
        <v>150</v>
      </c>
      <c r="F41" t="s">
        <v>151</v>
      </c>
      <c r="G41">
        <v>1</v>
      </c>
    </row>
    <row r="42" spans="1:7" x14ac:dyDescent="0.2">
      <c r="A42" t="s">
        <v>72</v>
      </c>
      <c r="B42" t="s">
        <v>71</v>
      </c>
      <c r="C42" t="s">
        <v>63</v>
      </c>
      <c r="D42" t="s">
        <v>65</v>
      </c>
      <c r="E42" t="s">
        <v>152</v>
      </c>
      <c r="F42" t="s">
        <v>137</v>
      </c>
      <c r="G42">
        <v>1</v>
      </c>
    </row>
    <row r="43" spans="1:7" x14ac:dyDescent="0.2">
      <c r="A43" t="s">
        <v>72</v>
      </c>
      <c r="B43" t="s">
        <v>71</v>
      </c>
      <c r="C43" t="s">
        <v>63</v>
      </c>
      <c r="D43" t="s">
        <v>65</v>
      </c>
      <c r="E43" t="s">
        <v>153</v>
      </c>
      <c r="F43" t="s">
        <v>154</v>
      </c>
      <c r="G43">
        <v>1</v>
      </c>
    </row>
    <row r="44" spans="1:7" x14ac:dyDescent="0.2">
      <c r="A44" t="s">
        <v>72</v>
      </c>
      <c r="B44" t="s">
        <v>71</v>
      </c>
      <c r="C44" t="s">
        <v>63</v>
      </c>
      <c r="D44" t="s">
        <v>65</v>
      </c>
      <c r="E44" t="s">
        <v>155</v>
      </c>
      <c r="F44" t="s">
        <v>156</v>
      </c>
      <c r="G44">
        <v>2</v>
      </c>
    </row>
    <row r="45" spans="1:7" x14ac:dyDescent="0.2">
      <c r="A45" t="s">
        <v>72</v>
      </c>
      <c r="B45" t="s">
        <v>71</v>
      </c>
      <c r="C45" t="s">
        <v>63</v>
      </c>
      <c r="D45" t="s">
        <v>65</v>
      </c>
      <c r="E45" t="s">
        <v>157</v>
      </c>
      <c r="F45" t="s">
        <v>158</v>
      </c>
      <c r="G45">
        <v>1</v>
      </c>
    </row>
    <row r="46" spans="1:7" x14ac:dyDescent="0.2">
      <c r="A46" t="s">
        <v>72</v>
      </c>
      <c r="B46" t="s">
        <v>71</v>
      </c>
      <c r="C46" t="s">
        <v>63</v>
      </c>
      <c r="D46" t="s">
        <v>65</v>
      </c>
      <c r="E46" t="s">
        <v>159</v>
      </c>
      <c r="F46" t="s">
        <v>160</v>
      </c>
      <c r="G46">
        <v>2</v>
      </c>
    </row>
    <row r="47" spans="1:7" x14ac:dyDescent="0.2">
      <c r="A47" t="s">
        <v>78</v>
      </c>
      <c r="B47" t="s">
        <v>73</v>
      </c>
      <c r="C47" t="s">
        <v>63</v>
      </c>
      <c r="D47" t="s">
        <v>65</v>
      </c>
      <c r="E47" t="s">
        <v>161</v>
      </c>
      <c r="F47" t="s">
        <v>162</v>
      </c>
      <c r="G47">
        <v>1</v>
      </c>
    </row>
    <row r="48" spans="1:7" x14ac:dyDescent="0.2">
      <c r="A48" t="s">
        <v>78</v>
      </c>
      <c r="B48" t="s">
        <v>73</v>
      </c>
      <c r="C48" t="s">
        <v>63</v>
      </c>
      <c r="D48" t="s">
        <v>65</v>
      </c>
      <c r="E48" t="s">
        <v>163</v>
      </c>
      <c r="F48" t="s">
        <v>94</v>
      </c>
      <c r="G48">
        <v>1</v>
      </c>
    </row>
    <row r="49" spans="1:7" x14ac:dyDescent="0.2">
      <c r="A49" t="s">
        <v>78</v>
      </c>
      <c r="B49" t="s">
        <v>73</v>
      </c>
      <c r="C49" t="s">
        <v>63</v>
      </c>
      <c r="D49" t="s">
        <v>65</v>
      </c>
      <c r="E49" t="s">
        <v>146</v>
      </c>
      <c r="F49" t="s">
        <v>147</v>
      </c>
      <c r="G49">
        <v>1</v>
      </c>
    </row>
    <row r="50" spans="1:7" x14ac:dyDescent="0.2">
      <c r="A50" t="s">
        <v>78</v>
      </c>
      <c r="B50" t="s">
        <v>73</v>
      </c>
      <c r="C50" t="s">
        <v>63</v>
      </c>
      <c r="D50" t="s">
        <v>65</v>
      </c>
      <c r="E50" t="s">
        <v>164</v>
      </c>
      <c r="F50" t="s">
        <v>165</v>
      </c>
      <c r="G50">
        <v>2</v>
      </c>
    </row>
    <row r="51" spans="1:7" x14ac:dyDescent="0.2">
      <c r="A51" t="s">
        <v>78</v>
      </c>
      <c r="B51" t="s">
        <v>73</v>
      </c>
      <c r="C51" t="s">
        <v>63</v>
      </c>
      <c r="D51" t="s">
        <v>65</v>
      </c>
      <c r="E51" t="s">
        <v>89</v>
      </c>
      <c r="F51" t="s">
        <v>90</v>
      </c>
      <c r="G51">
        <v>1</v>
      </c>
    </row>
    <row r="52" spans="1:7" x14ac:dyDescent="0.2">
      <c r="A52" t="s">
        <v>78</v>
      </c>
      <c r="B52" t="s">
        <v>73</v>
      </c>
      <c r="C52" t="s">
        <v>63</v>
      </c>
      <c r="D52" t="s">
        <v>65</v>
      </c>
      <c r="E52" t="s">
        <v>166</v>
      </c>
      <c r="F52" t="s">
        <v>167</v>
      </c>
      <c r="G52">
        <v>2</v>
      </c>
    </row>
    <row r="53" spans="1:7" x14ac:dyDescent="0.2">
      <c r="A53" t="s">
        <v>78</v>
      </c>
      <c r="B53" t="s">
        <v>73</v>
      </c>
      <c r="C53" t="s">
        <v>63</v>
      </c>
      <c r="D53" t="s">
        <v>65</v>
      </c>
      <c r="E53" t="s">
        <v>168</v>
      </c>
      <c r="F53" t="s">
        <v>169</v>
      </c>
      <c r="G53">
        <v>7</v>
      </c>
    </row>
    <row r="54" spans="1:7" x14ac:dyDescent="0.2">
      <c r="A54" t="s">
        <v>78</v>
      </c>
      <c r="B54" t="s">
        <v>73</v>
      </c>
      <c r="C54" t="s">
        <v>63</v>
      </c>
      <c r="D54" t="s">
        <v>65</v>
      </c>
      <c r="E54" t="s">
        <v>170</v>
      </c>
      <c r="F54" t="s">
        <v>171</v>
      </c>
      <c r="G54">
        <v>1</v>
      </c>
    </row>
    <row r="55" spans="1:7" x14ac:dyDescent="0.2">
      <c r="A55" t="s">
        <v>78</v>
      </c>
      <c r="B55" t="s">
        <v>73</v>
      </c>
      <c r="C55" t="s">
        <v>63</v>
      </c>
      <c r="D55" t="s">
        <v>65</v>
      </c>
      <c r="E55" t="s">
        <v>172</v>
      </c>
      <c r="F55" t="s">
        <v>173</v>
      </c>
      <c r="G55">
        <v>1</v>
      </c>
    </row>
    <row r="56" spans="1:7" x14ac:dyDescent="0.2">
      <c r="A56" t="s">
        <v>78</v>
      </c>
      <c r="B56" t="s">
        <v>73</v>
      </c>
      <c r="C56" t="s">
        <v>63</v>
      </c>
      <c r="D56" t="s">
        <v>65</v>
      </c>
      <c r="E56" t="s">
        <v>174</v>
      </c>
      <c r="F56" t="s">
        <v>175</v>
      </c>
      <c r="G56">
        <v>5</v>
      </c>
    </row>
    <row r="57" spans="1:7" x14ac:dyDescent="0.2">
      <c r="A57" t="s">
        <v>78</v>
      </c>
      <c r="B57" t="s">
        <v>73</v>
      </c>
      <c r="C57" t="s">
        <v>63</v>
      </c>
      <c r="D57" t="s">
        <v>65</v>
      </c>
      <c r="E57" t="s">
        <v>152</v>
      </c>
      <c r="F57" t="s">
        <v>137</v>
      </c>
      <c r="G57">
        <v>1</v>
      </c>
    </row>
    <row r="58" spans="1:7" x14ac:dyDescent="0.2">
      <c r="A58" t="s">
        <v>78</v>
      </c>
      <c r="B58" t="s">
        <v>73</v>
      </c>
      <c r="C58" t="s">
        <v>63</v>
      </c>
      <c r="D58" t="s">
        <v>65</v>
      </c>
      <c r="E58" t="s">
        <v>103</v>
      </c>
      <c r="F58" t="s">
        <v>104</v>
      </c>
      <c r="G58">
        <v>1</v>
      </c>
    </row>
    <row r="59" spans="1:7" x14ac:dyDescent="0.2">
      <c r="A59" t="s">
        <v>78</v>
      </c>
      <c r="B59" t="s">
        <v>73</v>
      </c>
      <c r="C59" t="s">
        <v>63</v>
      </c>
      <c r="D59" t="s">
        <v>65</v>
      </c>
      <c r="E59" t="s">
        <v>176</v>
      </c>
      <c r="F59" t="s">
        <v>177</v>
      </c>
      <c r="G59">
        <v>1</v>
      </c>
    </row>
    <row r="60" spans="1:7" x14ac:dyDescent="0.2">
      <c r="A60" t="s">
        <v>78</v>
      </c>
      <c r="B60" t="s">
        <v>73</v>
      </c>
      <c r="C60" t="s">
        <v>63</v>
      </c>
      <c r="D60" t="s">
        <v>65</v>
      </c>
      <c r="E60" t="s">
        <v>178</v>
      </c>
      <c r="F60" t="s">
        <v>179</v>
      </c>
      <c r="G60">
        <v>1</v>
      </c>
    </row>
    <row r="61" spans="1:7" x14ac:dyDescent="0.2">
      <c r="A61" t="s">
        <v>78</v>
      </c>
      <c r="B61" t="s">
        <v>73</v>
      </c>
      <c r="C61" t="s">
        <v>63</v>
      </c>
      <c r="D61" t="s">
        <v>65</v>
      </c>
      <c r="E61" t="s">
        <v>180</v>
      </c>
      <c r="F61" t="s">
        <v>181</v>
      </c>
      <c r="G61">
        <v>1</v>
      </c>
    </row>
    <row r="62" spans="1:7" x14ac:dyDescent="0.2">
      <c r="A62" t="s">
        <v>78</v>
      </c>
      <c r="B62" t="s">
        <v>73</v>
      </c>
      <c r="C62" t="s">
        <v>63</v>
      </c>
      <c r="D62" t="s">
        <v>65</v>
      </c>
      <c r="E62" t="s">
        <v>182</v>
      </c>
      <c r="F62" t="s">
        <v>183</v>
      </c>
      <c r="G62">
        <v>1</v>
      </c>
    </row>
    <row r="63" spans="1:7" x14ac:dyDescent="0.2">
      <c r="A63" t="s">
        <v>78</v>
      </c>
      <c r="B63" t="s">
        <v>73</v>
      </c>
      <c r="C63" t="s">
        <v>63</v>
      </c>
      <c r="D63" t="s">
        <v>65</v>
      </c>
      <c r="E63" t="s">
        <v>184</v>
      </c>
      <c r="F63" t="s">
        <v>185</v>
      </c>
      <c r="G63">
        <v>1</v>
      </c>
    </row>
    <row r="64" spans="1:7" x14ac:dyDescent="0.2">
      <c r="A64" t="s">
        <v>78</v>
      </c>
      <c r="B64" t="s">
        <v>73</v>
      </c>
      <c r="C64" t="s">
        <v>63</v>
      </c>
      <c r="D64" t="s">
        <v>65</v>
      </c>
      <c r="E64" t="s">
        <v>186</v>
      </c>
      <c r="F64" t="s">
        <v>187</v>
      </c>
      <c r="G64">
        <v>1</v>
      </c>
    </row>
    <row r="65" spans="1:7" x14ac:dyDescent="0.2">
      <c r="A65" t="s">
        <v>78</v>
      </c>
      <c r="B65" t="s">
        <v>73</v>
      </c>
      <c r="C65" t="s">
        <v>63</v>
      </c>
      <c r="D65" t="s">
        <v>65</v>
      </c>
      <c r="E65" t="s">
        <v>188</v>
      </c>
      <c r="F65" t="s">
        <v>189</v>
      </c>
      <c r="G65">
        <v>1</v>
      </c>
    </row>
    <row r="66" spans="1:7" x14ac:dyDescent="0.2">
      <c r="A66" t="s">
        <v>78</v>
      </c>
      <c r="B66" t="s">
        <v>73</v>
      </c>
      <c r="C66" t="s">
        <v>63</v>
      </c>
      <c r="D66" t="s">
        <v>65</v>
      </c>
      <c r="E66" t="s">
        <v>190</v>
      </c>
      <c r="F66" t="s">
        <v>191</v>
      </c>
      <c r="G66">
        <v>1</v>
      </c>
    </row>
    <row r="67" spans="1:7" x14ac:dyDescent="0.2">
      <c r="A67" t="s">
        <v>78</v>
      </c>
      <c r="B67" t="s">
        <v>73</v>
      </c>
      <c r="C67" t="s">
        <v>63</v>
      </c>
      <c r="D67" t="s">
        <v>65</v>
      </c>
      <c r="E67" t="s">
        <v>192</v>
      </c>
      <c r="F67" t="s">
        <v>193</v>
      </c>
      <c r="G67">
        <v>1</v>
      </c>
    </row>
    <row r="68" spans="1:7" x14ac:dyDescent="0.2">
      <c r="A68" t="s">
        <v>78</v>
      </c>
      <c r="B68" t="s">
        <v>73</v>
      </c>
      <c r="C68" t="s">
        <v>63</v>
      </c>
      <c r="D68" t="s">
        <v>65</v>
      </c>
      <c r="E68" t="s">
        <v>194</v>
      </c>
      <c r="F68" t="s">
        <v>195</v>
      </c>
      <c r="G68">
        <v>1</v>
      </c>
    </row>
    <row r="69" spans="1:7" x14ac:dyDescent="0.2">
      <c r="A69" t="s">
        <v>78</v>
      </c>
      <c r="B69" t="s">
        <v>73</v>
      </c>
      <c r="C69" t="s">
        <v>63</v>
      </c>
      <c r="D69" t="s">
        <v>65</v>
      </c>
      <c r="E69" t="s">
        <v>91</v>
      </c>
      <c r="F69" t="s">
        <v>92</v>
      </c>
      <c r="G69">
        <v>1</v>
      </c>
    </row>
    <row r="70" spans="1:7" x14ac:dyDescent="0.2">
      <c r="A70" t="s">
        <v>78</v>
      </c>
      <c r="B70" t="s">
        <v>73</v>
      </c>
      <c r="C70" t="s">
        <v>63</v>
      </c>
      <c r="D70" t="s">
        <v>65</v>
      </c>
      <c r="E70" t="s">
        <v>196</v>
      </c>
      <c r="F70" t="s">
        <v>197</v>
      </c>
      <c r="G70">
        <v>1</v>
      </c>
    </row>
    <row r="71" spans="1:7" x14ac:dyDescent="0.2">
      <c r="A71" t="s">
        <v>78</v>
      </c>
      <c r="B71" t="s">
        <v>73</v>
      </c>
      <c r="C71" t="s">
        <v>63</v>
      </c>
      <c r="D71" t="s">
        <v>65</v>
      </c>
      <c r="E71" t="s">
        <v>198</v>
      </c>
      <c r="F71" t="s">
        <v>199</v>
      </c>
      <c r="G71">
        <v>2</v>
      </c>
    </row>
    <row r="72" spans="1:7" x14ac:dyDescent="0.2">
      <c r="A72" t="s">
        <v>78</v>
      </c>
      <c r="B72" t="s">
        <v>73</v>
      </c>
      <c r="C72" t="s">
        <v>63</v>
      </c>
      <c r="D72" t="s">
        <v>65</v>
      </c>
      <c r="E72" t="s">
        <v>200</v>
      </c>
      <c r="F72" t="s">
        <v>201</v>
      </c>
      <c r="G72">
        <v>1</v>
      </c>
    </row>
    <row r="73" spans="1:7" x14ac:dyDescent="0.2">
      <c r="A73" t="s">
        <v>78</v>
      </c>
      <c r="B73" t="s">
        <v>73</v>
      </c>
      <c r="C73" t="s">
        <v>63</v>
      </c>
      <c r="D73" t="s">
        <v>65</v>
      </c>
      <c r="E73" t="s">
        <v>202</v>
      </c>
      <c r="F73" t="s">
        <v>203</v>
      </c>
      <c r="G73">
        <v>1</v>
      </c>
    </row>
    <row r="74" spans="1:7" x14ac:dyDescent="0.2">
      <c r="A74" t="s">
        <v>78</v>
      </c>
      <c r="B74" t="s">
        <v>73</v>
      </c>
      <c r="C74" t="s">
        <v>63</v>
      </c>
      <c r="D74" t="s">
        <v>65</v>
      </c>
      <c r="E74" t="s">
        <v>204</v>
      </c>
      <c r="F74" t="s">
        <v>205</v>
      </c>
      <c r="G74">
        <v>1</v>
      </c>
    </row>
    <row r="75" spans="1:7" x14ac:dyDescent="0.2">
      <c r="A75" t="s">
        <v>78</v>
      </c>
      <c r="B75" t="s">
        <v>73</v>
      </c>
      <c r="C75" t="s">
        <v>63</v>
      </c>
      <c r="D75" t="s">
        <v>65</v>
      </c>
      <c r="E75" t="s">
        <v>206</v>
      </c>
      <c r="F75" t="s">
        <v>207</v>
      </c>
      <c r="G75">
        <v>1</v>
      </c>
    </row>
    <row r="76" spans="1:7" x14ac:dyDescent="0.2">
      <c r="A76" t="s">
        <v>78</v>
      </c>
      <c r="B76" t="s">
        <v>73</v>
      </c>
      <c r="C76" t="s">
        <v>63</v>
      </c>
      <c r="D76" t="s">
        <v>65</v>
      </c>
      <c r="E76" t="s">
        <v>208</v>
      </c>
      <c r="F76" t="s">
        <v>209</v>
      </c>
      <c r="G76">
        <v>1</v>
      </c>
    </row>
    <row r="77" spans="1:7" x14ac:dyDescent="0.2">
      <c r="A77" t="s">
        <v>78</v>
      </c>
      <c r="B77" t="s">
        <v>73</v>
      </c>
      <c r="C77" t="s">
        <v>63</v>
      </c>
      <c r="D77" t="s">
        <v>65</v>
      </c>
      <c r="E77" t="s">
        <v>210</v>
      </c>
      <c r="F77" t="s">
        <v>211</v>
      </c>
      <c r="G77">
        <v>1</v>
      </c>
    </row>
    <row r="78" spans="1:7" x14ac:dyDescent="0.2">
      <c r="A78" t="s">
        <v>78</v>
      </c>
      <c r="B78" t="s">
        <v>73</v>
      </c>
      <c r="C78" t="s">
        <v>63</v>
      </c>
      <c r="D78" t="s">
        <v>65</v>
      </c>
      <c r="E78" t="s">
        <v>212</v>
      </c>
      <c r="F78" t="s">
        <v>213</v>
      </c>
      <c r="G78">
        <v>1</v>
      </c>
    </row>
    <row r="79" spans="1:7" x14ac:dyDescent="0.2">
      <c r="A79" t="s">
        <v>78</v>
      </c>
      <c r="B79" t="s">
        <v>73</v>
      </c>
      <c r="C79" t="s">
        <v>63</v>
      </c>
      <c r="D79" t="s">
        <v>65</v>
      </c>
      <c r="E79" t="s">
        <v>214</v>
      </c>
      <c r="F79" t="s">
        <v>215</v>
      </c>
      <c r="G79">
        <v>1</v>
      </c>
    </row>
    <row r="80" spans="1:7" x14ac:dyDescent="0.2">
      <c r="A80" t="s">
        <v>78</v>
      </c>
      <c r="B80" t="s">
        <v>73</v>
      </c>
      <c r="C80" t="s">
        <v>63</v>
      </c>
      <c r="D80" t="s">
        <v>65</v>
      </c>
      <c r="E80" t="s">
        <v>216</v>
      </c>
      <c r="F80" t="s">
        <v>143</v>
      </c>
      <c r="G80">
        <v>1</v>
      </c>
    </row>
    <row r="81" spans="1:7" x14ac:dyDescent="0.2">
      <c r="A81" t="s">
        <v>78</v>
      </c>
      <c r="B81" t="s">
        <v>73</v>
      </c>
      <c r="C81" t="s">
        <v>63</v>
      </c>
      <c r="D81" t="s">
        <v>65</v>
      </c>
      <c r="E81" t="s">
        <v>217</v>
      </c>
      <c r="F81" t="s">
        <v>218</v>
      </c>
      <c r="G81">
        <v>1</v>
      </c>
    </row>
    <row r="82" spans="1:7" x14ac:dyDescent="0.2">
      <c r="A82" t="s">
        <v>78</v>
      </c>
      <c r="B82" t="s">
        <v>73</v>
      </c>
      <c r="C82" t="s">
        <v>63</v>
      </c>
      <c r="D82" t="s">
        <v>65</v>
      </c>
      <c r="E82" t="s">
        <v>219</v>
      </c>
      <c r="F82" t="s">
        <v>220</v>
      </c>
      <c r="G82">
        <v>1</v>
      </c>
    </row>
    <row r="83" spans="1:7" x14ac:dyDescent="0.2">
      <c r="A83" t="s">
        <v>78</v>
      </c>
      <c r="B83" t="s">
        <v>73</v>
      </c>
      <c r="C83" t="s">
        <v>63</v>
      </c>
      <c r="D83" t="s">
        <v>65</v>
      </c>
      <c r="E83" t="s">
        <v>221</v>
      </c>
      <c r="F83" t="s">
        <v>222</v>
      </c>
      <c r="G83">
        <v>1</v>
      </c>
    </row>
    <row r="84" spans="1:7" x14ac:dyDescent="0.2">
      <c r="A84" t="s">
        <v>78</v>
      </c>
      <c r="B84" t="s">
        <v>73</v>
      </c>
      <c r="C84" t="s">
        <v>63</v>
      </c>
      <c r="D84" t="s">
        <v>65</v>
      </c>
      <c r="E84" t="s">
        <v>223</v>
      </c>
      <c r="F84" t="s">
        <v>224</v>
      </c>
      <c r="G84">
        <v>10</v>
      </c>
    </row>
    <row r="85" spans="1:7" x14ac:dyDescent="0.2">
      <c r="A85" t="s">
        <v>78</v>
      </c>
      <c r="B85" t="s">
        <v>73</v>
      </c>
      <c r="C85" t="s">
        <v>63</v>
      </c>
      <c r="D85" t="s">
        <v>65</v>
      </c>
      <c r="E85" t="s">
        <v>118</v>
      </c>
      <c r="F85" t="s">
        <v>119</v>
      </c>
      <c r="G85">
        <v>1</v>
      </c>
    </row>
    <row r="86" spans="1:7" x14ac:dyDescent="0.2">
      <c r="A86" t="s">
        <v>78</v>
      </c>
      <c r="B86" t="s">
        <v>73</v>
      </c>
      <c r="C86" t="s">
        <v>63</v>
      </c>
      <c r="D86" t="s">
        <v>65</v>
      </c>
      <c r="E86" t="s">
        <v>225</v>
      </c>
      <c r="F86" t="s">
        <v>226</v>
      </c>
      <c r="G86">
        <v>3</v>
      </c>
    </row>
    <row r="87" spans="1:7" x14ac:dyDescent="0.2">
      <c r="A87" t="s">
        <v>78</v>
      </c>
      <c r="B87" t="s">
        <v>73</v>
      </c>
      <c r="C87" t="s">
        <v>63</v>
      </c>
      <c r="D87" t="s">
        <v>65</v>
      </c>
      <c r="E87" t="s">
        <v>134</v>
      </c>
      <c r="F87" t="s">
        <v>135</v>
      </c>
      <c r="G87">
        <v>1</v>
      </c>
    </row>
    <row r="88" spans="1:7" x14ac:dyDescent="0.2">
      <c r="A88" t="s">
        <v>78</v>
      </c>
      <c r="B88" t="s">
        <v>73</v>
      </c>
      <c r="C88" t="s">
        <v>63</v>
      </c>
      <c r="D88" t="s">
        <v>65</v>
      </c>
      <c r="E88" t="s">
        <v>120</v>
      </c>
      <c r="F88" t="s">
        <v>121</v>
      </c>
      <c r="G88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1A21-0F4A-4DC6-8D27-5DD6EE84BAF3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sheetData>
    <row r="1" spans="1:17" x14ac:dyDescent="0.2">
      <c r="A1" s="15" t="s">
        <v>20</v>
      </c>
      <c r="B1" s="15" t="s">
        <v>21</v>
      </c>
      <c r="C1" s="16" t="s">
        <v>1</v>
      </c>
      <c r="D1" s="16" t="s">
        <v>0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32</v>
      </c>
      <c r="P1" s="15" t="s">
        <v>6</v>
      </c>
      <c r="Q1" s="21" t="s">
        <v>33</v>
      </c>
    </row>
    <row r="3" spans="1:17" x14ac:dyDescent="0.2">
      <c r="A3" t="s">
        <v>67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9222-7521-47C0-929B-F5A99BC42F85}">
  <sheetPr codeName="Sheet7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22"/>
    <col min="2" max="2" width="15.375" style="22" customWidth="1"/>
    <col min="3" max="15" width="9" style="22"/>
    <col min="16" max="16" width="16.625" style="22" customWidth="1"/>
    <col min="17" max="16384" width="9" style="22"/>
  </cols>
  <sheetData>
    <row r="1" spans="1:17" x14ac:dyDescent="0.35">
      <c r="A1" s="15" t="s">
        <v>20</v>
      </c>
      <c r="B1" s="15" t="s">
        <v>21</v>
      </c>
      <c r="C1" s="16" t="s">
        <v>1</v>
      </c>
      <c r="D1" s="16" t="s">
        <v>0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32</v>
      </c>
      <c r="P1" s="15" t="s">
        <v>6</v>
      </c>
      <c r="Q1" s="21" t="s">
        <v>33</v>
      </c>
    </row>
    <row r="3" spans="1:17" x14ac:dyDescent="0.35">
      <c r="A3" s="22" t="s">
        <v>67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8DE5-913D-4D75-93B4-1816B48F3D2A}">
  <sheetPr codeName="Sheet8"/>
  <dimension ref="A1:P2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5.625" customWidth="1"/>
    <col min="2" max="2" width="11" style="31" customWidth="1"/>
    <col min="3" max="3" width="9" customWidth="1"/>
    <col min="4" max="4" width="17.875" customWidth="1"/>
    <col min="5" max="5" width="9" customWidth="1"/>
    <col min="6" max="6" width="34.75" customWidth="1"/>
    <col min="7" max="7" width="25.12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22.5" customWidth="1"/>
    <col min="13" max="13" width="13.875" customWidth="1"/>
    <col min="14" max="14" width="14.125" customWidth="1"/>
    <col min="15" max="15" width="15.375" customWidth="1"/>
    <col min="16" max="16" width="18.125" customWidth="1"/>
  </cols>
  <sheetData>
    <row r="1" spans="1:16" ht="43.5" customHeight="1" x14ac:dyDescent="0.2">
      <c r="A1" s="23" t="s">
        <v>47</v>
      </c>
      <c r="B1" s="24" t="s">
        <v>48</v>
      </c>
      <c r="C1" s="25" t="s">
        <v>49</v>
      </c>
      <c r="D1" s="26" t="s">
        <v>50</v>
      </c>
      <c r="E1" s="25" t="s">
        <v>51</v>
      </c>
      <c r="F1" s="27" t="s">
        <v>52</v>
      </c>
      <c r="G1" s="27" t="s">
        <v>53</v>
      </c>
      <c r="H1" s="28" t="s">
        <v>54</v>
      </c>
      <c r="I1" s="29" t="s">
        <v>55</v>
      </c>
      <c r="J1" s="29" t="s">
        <v>56</v>
      </c>
      <c r="K1" s="28" t="s">
        <v>57</v>
      </c>
      <c r="L1" s="27" t="s">
        <v>58</v>
      </c>
      <c r="M1" s="27" t="s">
        <v>59</v>
      </c>
      <c r="N1" s="30" t="s">
        <v>60</v>
      </c>
      <c r="O1" s="27" t="s">
        <v>61</v>
      </c>
      <c r="P1" s="28" t="s">
        <v>62</v>
      </c>
    </row>
    <row r="2" spans="1:16" x14ac:dyDescent="0.2">
      <c r="A2" t="s">
        <v>227</v>
      </c>
      <c r="B2" s="31">
        <v>653</v>
      </c>
      <c r="C2" t="s">
        <v>34</v>
      </c>
      <c r="F2" t="s">
        <v>228</v>
      </c>
      <c r="G2" t="s">
        <v>229</v>
      </c>
      <c r="H2" t="s">
        <v>63</v>
      </c>
      <c r="I2" t="s">
        <v>63</v>
      </c>
      <c r="J2" t="s">
        <v>65</v>
      </c>
      <c r="K2" t="s">
        <v>230</v>
      </c>
      <c r="L2" t="s">
        <v>231</v>
      </c>
      <c r="M2">
        <v>1</v>
      </c>
      <c r="N2">
        <v>202409</v>
      </c>
      <c r="O2" s="47">
        <v>45539.603333333333</v>
      </c>
      <c r="P2" t="s">
        <v>232</v>
      </c>
    </row>
  </sheetData>
  <phoneticPr fontId="2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monthly bill</vt:lpstr>
      <vt:lpstr>Accessories discount</vt:lpstr>
      <vt:lpstr>spare parts fee + service fee</vt:lpstr>
      <vt:lpstr>Maintenance list</vt:lpstr>
      <vt:lpstr>Service prohibition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Lena.Li(李思瑶)</dc:creator>
  <cp:lastModifiedBy>Lena.Li(李思瑶)</cp:lastModifiedBy>
  <dcterms:created xsi:type="dcterms:W3CDTF">2024-10-24T02:36:04Z</dcterms:created>
  <dcterms:modified xsi:type="dcterms:W3CDTF">2024-10-24T02:38:28Z</dcterms:modified>
</cp:coreProperties>
</file>