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海外农机\农机结算\单位月结账单\"/>
    </mc:Choice>
  </mc:AlternateContent>
  <xr:revisionPtr revIDLastSave="0" documentId="8_{E1B5C356-5617-411C-9192-5C2C66816ED6}" xr6:coauthVersionLast="36" xr6:coauthVersionMax="36" xr10:uidLastSave="{00000000-0000-0000-0000-000000000000}"/>
  <bookViews>
    <workbookView xWindow="0" yWindow="0" windowWidth="28800" windowHeight="12285" xr2:uid="{6ECF1786-0730-4D1A-9059-920227EA8EC0}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incentive labor fee" sheetId="7" r:id="rId5"/>
    <sheet name="tariff compensation" sheetId="8" r:id="rId6"/>
    <sheet name="Maintenance list" sheetId="9" r:id="rId7"/>
    <sheet name="service red-line deduction" sheetId="10" r:id="rId8"/>
    <sheet name="bad parts deduction" sheetId="11" r:id="rId9"/>
    <sheet name="other compensation" sheetId="12" r:id="rId10"/>
    <sheet name="DOA to CM" sheetId="13" r:id="rId11"/>
    <sheet name="pre-payment balance" sheetId="14" r:id="rId12"/>
  </sheets>
  <definedNames>
    <definedName name="_xlnm._FilterDatabase" localSheetId="10" hidden="1">'DOA to CM'!$A$1:$O$1</definedName>
    <definedName name="_xlnm._FilterDatabase" localSheetId="4" hidden="1">'incentive labor fee'!$A$1:$L$1</definedName>
    <definedName name="_xlnm._FilterDatabase" localSheetId="6" hidden="1">'Maintenance list'!$A$1:$J$1</definedName>
    <definedName name="_xlnm._FilterDatabase" localSheetId="11" hidden="1">'pre-payment balance'!$A$1:$L$1</definedName>
    <definedName name="_xlnm._FilterDatabase" localSheetId="3" hidden="1">'service fee'!$A$1:$Q$1</definedName>
    <definedName name="_xlnm._FilterDatabase" localSheetId="2" hidden="1">'spare parts fee'!$A$1:$R$1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3" l="1"/>
  <c r="E18" i="3" s="1"/>
  <c r="E14" i="3"/>
  <c r="E13" i="3"/>
  <c r="E12" i="3"/>
  <c r="E11" i="3"/>
  <c r="E10" i="3"/>
  <c r="E9" i="3"/>
  <c r="E8" i="3"/>
  <c r="E7" i="3"/>
  <c r="E5" i="3"/>
  <c r="E6" i="3" s="1"/>
  <c r="E15" i="3" l="1"/>
  <c r="E16" i="3" s="1"/>
</calcChain>
</file>

<file path=xl/sharedStrings.xml><?xml version="1.0" encoding="utf-8"?>
<sst xmlns="http://schemas.openxmlformats.org/spreadsheetml/2006/main" count="3441" uniqueCount="539">
  <si>
    <t>Distributor Name</t>
    <phoneticPr fontId="2" type="noConversion"/>
  </si>
  <si>
    <t>Distributor Account</t>
    <phoneticPr fontId="2" type="noConversion"/>
  </si>
  <si>
    <t>incentive labor fee</t>
    <phoneticPr fontId="2" type="noConversion"/>
  </si>
  <si>
    <t>tariff compensation</t>
    <phoneticPr fontId="2" type="noConversion"/>
  </si>
  <si>
    <t>service red-line deduction</t>
    <phoneticPr fontId="2" type="noConversion"/>
  </si>
  <si>
    <t>bad parts deduction</t>
    <phoneticPr fontId="2" type="noConversion"/>
  </si>
  <si>
    <t>other compensation</t>
    <phoneticPr fontId="2" type="noConversion"/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</si>
  <si>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Jun</t>
    </r>
    <phoneticPr fontId="2" type="noConversion"/>
  </si>
  <si>
    <t>Dealer</t>
  </si>
  <si>
    <t>Dealer Account：</t>
  </si>
  <si>
    <t>Credit Trading</t>
  </si>
  <si>
    <t>Amount</t>
  </si>
  <si>
    <t>Remarks</t>
    <phoneticPr fontId="2" type="noConversion"/>
  </si>
  <si>
    <t>Expenditure item</t>
  </si>
  <si>
    <t>spare parts order</t>
    <phoneticPr fontId="2" type="noConversion"/>
  </si>
  <si>
    <t>Total Expenditure</t>
  </si>
  <si>
    <t>Income item</t>
  </si>
  <si>
    <t>spare parts fee of warranty cases</t>
    <phoneticPr fontId="2" type="noConversion"/>
  </si>
  <si>
    <t>service fee of warranty cases</t>
    <phoneticPr fontId="2" type="noConversion"/>
  </si>
  <si>
    <t>battery/DOA cases</t>
    <phoneticPr fontId="2" type="noConversion"/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</si>
  <si>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</si>
  <si>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</si>
  <si>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</si>
  <si>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</si>
  <si>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</si>
  <si>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</si>
  <si>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</si>
  <si>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</si>
  <si>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</si>
  <si>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Dealer Name</t>
    <phoneticPr fontId="2" type="noConversion"/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</si>
  <si>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</si>
  <si>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</si>
  <si>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</si>
  <si>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</si>
  <si>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</si>
  <si>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</si>
  <si>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</si>
  <si>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</si>
  <si>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</si>
  <si>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</si>
  <si>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Remarks</t>
  </si>
  <si>
    <t>Month</t>
  </si>
  <si>
    <t>Quota adjustment</t>
  </si>
  <si>
    <t>Manual adjustment</t>
  </si>
  <si>
    <t>USD</t>
  </si>
  <si>
    <t>.</t>
    <phoneticPr fontId="2" type="noConversion"/>
  </si>
  <si>
    <t>deduction</t>
  </si>
  <si>
    <t>Month</t>
    <phoneticPr fontId="2" type="noConversion"/>
  </si>
  <si>
    <t>Increase</t>
  </si>
  <si>
    <t>incentive labor fee</t>
  </si>
  <si>
    <r>
      <rPr>
        <b/>
        <sz val="11"/>
        <color theme="0"/>
        <rFont val="微软雅黑"/>
        <family val="2"/>
        <charset val="134"/>
      </rPr>
      <t>案例编号</t>
    </r>
    <r>
      <rPr>
        <b/>
        <sz val="11"/>
        <color theme="0"/>
        <rFont val="Arial"/>
        <family val="2"/>
      </rPr>
      <t>Case Number</t>
    </r>
  </si>
  <si>
    <r>
      <rPr>
        <b/>
        <sz val="11"/>
        <color theme="0"/>
        <rFont val="微软雅黑"/>
        <family val="2"/>
        <charset val="134"/>
      </rPr>
      <t>代理商名称</t>
    </r>
    <r>
      <rPr>
        <b/>
        <sz val="11"/>
        <color theme="0"/>
        <rFont val="Arial"/>
        <family val="2"/>
      </rPr>
      <t>Dealer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</si>
  <si>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上级代理商名称</t>
    </r>
    <r>
      <rPr>
        <b/>
        <sz val="11"/>
        <color theme="0"/>
        <rFont val="Arial"/>
        <family val="2"/>
      </rPr>
      <t>Distributor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</si>
  <si>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上级代理商账号</t>
    </r>
    <r>
      <rPr>
        <b/>
        <sz val="11"/>
        <color theme="0"/>
        <rFont val="Arial"/>
        <family val="2"/>
      </rPr>
      <t>Distributor Account</t>
    </r>
    <phoneticPr fontId="2" type="noConversion"/>
  </si>
  <si>
    <r>
      <rPr>
        <b/>
        <sz val="11"/>
        <color theme="0"/>
        <rFont val="微软雅黑"/>
        <family val="2"/>
        <charset val="134"/>
      </rPr>
      <t>物料编码</t>
    </r>
    <r>
      <rPr>
        <b/>
        <sz val="11"/>
        <color theme="0"/>
        <rFont val="Arial"/>
        <family val="2"/>
      </rPr>
      <t>Material code</t>
    </r>
  </si>
  <si>
    <r>
      <rPr>
        <b/>
        <sz val="11"/>
        <color theme="0"/>
        <rFont val="微软雅黑"/>
        <family val="2"/>
        <charset val="134"/>
      </rPr>
      <t>物料名称</t>
    </r>
    <r>
      <rPr>
        <b/>
        <sz val="11"/>
        <color theme="0"/>
        <rFont val="Arial"/>
        <family val="2"/>
      </rPr>
      <t>Material name</t>
    </r>
  </si>
  <si>
    <r>
      <rPr>
        <b/>
        <sz val="11"/>
        <color theme="0"/>
        <rFont val="微软雅黑"/>
        <family val="2"/>
        <charset val="134"/>
      </rPr>
      <t>数量</t>
    </r>
    <r>
      <rPr>
        <b/>
        <sz val="11"/>
        <color theme="0"/>
        <rFont val="Arial"/>
        <family val="2"/>
      </rPr>
      <t>Quantity</t>
    </r>
  </si>
  <si>
    <r>
      <rPr>
        <b/>
        <sz val="11"/>
        <color theme="0"/>
        <rFont val="黑体"/>
        <family val="3"/>
        <charset val="134"/>
      </rPr>
      <t>币种</t>
    </r>
    <r>
      <rPr>
        <b/>
        <sz val="11"/>
        <color theme="0"/>
        <rFont val="Arial"/>
        <family val="2"/>
      </rPr>
      <t>Currency</t>
    </r>
    <phoneticPr fontId="2" type="noConversion"/>
  </si>
  <si>
    <r>
      <rPr>
        <b/>
        <sz val="11"/>
        <color theme="0"/>
        <rFont val="黑体"/>
        <family val="3"/>
        <charset val="134"/>
      </rPr>
      <t>物料单价</t>
    </r>
    <r>
      <rPr>
        <b/>
        <sz val="11"/>
        <color theme="0"/>
        <rFont val="Arial"/>
        <family val="2"/>
      </rPr>
      <t>Material unit price</t>
    </r>
    <phoneticPr fontId="2" type="noConversion"/>
  </si>
  <si>
    <r>
      <rPr>
        <b/>
        <sz val="11"/>
        <color theme="0"/>
        <rFont val="黑体"/>
        <family val="3"/>
        <charset val="134"/>
      </rPr>
      <t>物料总价</t>
    </r>
    <r>
      <rPr>
        <b/>
        <sz val="11"/>
        <color theme="0"/>
        <rFont val="Arial"/>
        <family val="2"/>
      </rPr>
      <t>Total price of materials</t>
    </r>
    <phoneticPr fontId="2" type="noConversion"/>
  </si>
  <si>
    <t>FQAO250627000006</t>
  </si>
  <si>
    <t>other</t>
  </si>
  <si>
    <t>FQAO250627000005</t>
  </si>
  <si>
    <t>plus-minus</t>
    <phoneticPr fontId="2" type="noConversion"/>
  </si>
  <si>
    <r>
      <rPr>
        <b/>
        <sz val="11"/>
        <color rgb="FFFFFFFF"/>
        <rFont val="微软雅黑"/>
        <family val="2"/>
        <charset val="134"/>
      </rPr>
      <t>转售后</t>
    </r>
    <r>
      <rPr>
        <b/>
        <sz val="11"/>
        <color rgb="FFFFFFFF"/>
        <rFont val="Arial"/>
        <family val="2"/>
      </rPr>
      <t>Cedit
After-sale credit</t>
    </r>
    <phoneticPr fontId="2" type="noConversion"/>
  </si>
  <si>
    <r>
      <rPr>
        <b/>
        <sz val="11"/>
        <color rgb="FFFFFFFF"/>
        <rFont val="微软雅黑"/>
        <family val="2"/>
        <charset val="134"/>
      </rPr>
      <t>金额</t>
    </r>
    <r>
      <rPr>
        <b/>
        <sz val="11"/>
        <color rgb="FFFFFFFF"/>
        <rFont val="Arial"/>
        <family val="2"/>
      </rPr>
      <t>/Amount</t>
    </r>
  </si>
  <si>
    <r>
      <rPr>
        <b/>
        <sz val="11"/>
        <color rgb="FFFFFFFF"/>
        <rFont val="微软雅黑"/>
        <family val="2"/>
        <charset val="134"/>
      </rPr>
      <t>币种</t>
    </r>
  </si>
  <si>
    <r>
      <rPr>
        <b/>
        <sz val="11"/>
        <color rgb="FFFFFFFF"/>
        <rFont val="微软雅黑"/>
        <family val="2"/>
        <charset val="134"/>
      </rPr>
      <t xml:space="preserve">其他说明
</t>
    </r>
    <r>
      <rPr>
        <b/>
        <sz val="11"/>
        <color rgb="FFFFFFFF"/>
        <rFont val="Arial"/>
        <family val="2"/>
      </rPr>
      <t>Supplement</t>
    </r>
    <phoneticPr fontId="2" type="noConversion"/>
  </si>
  <si>
    <r>
      <rPr>
        <b/>
        <sz val="11"/>
        <color rgb="FFFFFFFF"/>
        <rFont val="微软雅黑"/>
        <family val="2"/>
        <charset val="134"/>
      </rPr>
      <t xml:space="preserve">原始咨询案例
</t>
    </r>
    <r>
      <rPr>
        <b/>
        <sz val="11"/>
        <color rgb="FFFFFFFF"/>
        <rFont val="Arial"/>
        <family val="2"/>
      </rPr>
      <t>Original Technical Support Case</t>
    </r>
    <phoneticPr fontId="2" type="noConversion"/>
  </si>
  <si>
    <r>
      <t>DJI</t>
    </r>
    <r>
      <rPr>
        <b/>
        <sz val="11"/>
        <color rgb="FFFFFFFF"/>
        <rFont val="微软雅黑"/>
        <family val="2"/>
        <charset val="134"/>
      </rPr>
      <t xml:space="preserve">换货案例
</t>
    </r>
    <r>
      <rPr>
        <b/>
        <sz val="11"/>
        <color rgb="FFFFFFFF"/>
        <rFont val="Arial"/>
        <family val="2"/>
      </rPr>
      <t>DJI DOA Case</t>
    </r>
    <phoneticPr fontId="2" type="noConversion"/>
  </si>
  <si>
    <r>
      <rPr>
        <b/>
        <sz val="11"/>
        <color rgb="FFFFFFFF"/>
        <rFont val="微软雅黑"/>
        <family val="2"/>
        <charset val="134"/>
      </rPr>
      <t>客户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Distributor/Dealer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</si>
  <si>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</t>
    </r>
    <r>
      <rPr>
        <b/>
        <sz val="11"/>
        <color rgb="FFFF0000"/>
        <rFont val="Arial"/>
        <family val="2"/>
      </rPr>
      <t>(Distributor Name)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</si>
  <si>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上级代理商账号</t>
    </r>
    <r>
      <rPr>
        <b/>
        <sz val="11"/>
        <color rgb="FFFF0000"/>
        <rFont val="Arial"/>
        <family val="2"/>
      </rPr>
      <t>(Distributor Account)</t>
    </r>
    <phoneticPr fontId="2" type="noConversion"/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</si>
  <si>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 xml:space="preserve"> ID (</t>
    </r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)
Product ID</t>
    </r>
  </si>
  <si>
    <r>
      <rPr>
        <b/>
        <sz val="11"/>
        <color rgb="FFFFFFFF"/>
        <rFont val="微软雅黑"/>
        <family val="2"/>
        <charset val="134"/>
      </rPr>
      <t xml:space="preserve">产品
</t>
    </r>
    <r>
      <rPr>
        <b/>
        <sz val="11"/>
        <color rgb="FFFFFFFF"/>
        <rFont val="Arial"/>
        <family val="2"/>
      </rPr>
      <t xml:space="preserve">Product </t>
    </r>
  </si>
  <si>
    <r>
      <rPr>
        <b/>
        <sz val="11"/>
        <color rgb="FFFFFFFF"/>
        <rFont val="微软雅黑"/>
        <family val="2"/>
        <charset val="134"/>
      </rPr>
      <t xml:space="preserve">数量
</t>
    </r>
    <r>
      <rPr>
        <b/>
        <sz val="11"/>
        <color rgb="FFFFFFFF"/>
        <rFont val="Arial"/>
        <family val="2"/>
      </rPr>
      <t>Quantity</t>
    </r>
  </si>
  <si>
    <r>
      <rPr>
        <b/>
        <sz val="11"/>
        <color rgb="FFFFFFFF"/>
        <rFont val="微软雅黑"/>
        <family val="2"/>
        <charset val="134"/>
      </rPr>
      <t xml:space="preserve">月份
</t>
    </r>
    <r>
      <rPr>
        <b/>
        <sz val="11"/>
        <color rgb="FFFFFFFF"/>
        <rFont val="Arial"/>
        <family val="2"/>
      </rPr>
      <t>Month</t>
    </r>
  </si>
  <si>
    <r>
      <rPr>
        <b/>
        <sz val="11"/>
        <color rgb="FFFFFFFF"/>
        <rFont val="微软雅黑"/>
        <family val="2"/>
        <charset val="134"/>
      </rPr>
      <t>完成时间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发货单</t>
    </r>
    <r>
      <rPr>
        <b/>
        <sz val="11"/>
        <color rgb="FFFFFFFF"/>
        <rFont val="Arial"/>
        <family val="2"/>
      </rPr>
      <t>)
Date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</si>
  <si>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SN</t>
    </r>
    <r>
      <rPr>
        <b/>
        <sz val="11"/>
        <color rgb="FFFFFFFF"/>
        <rFont val="微软雅黑"/>
        <family val="2"/>
        <charset val="134"/>
      </rPr>
      <t>码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Product SN</t>
    </r>
  </si>
  <si>
    <t>售后credit（After-sale credit）</t>
  </si>
  <si>
    <r>
      <rPr>
        <b/>
        <sz val="11"/>
        <color theme="0"/>
        <rFont val="宋体"/>
        <family val="3"/>
        <charset val="134"/>
      </rPr>
      <t>订单日期（</t>
    </r>
    <r>
      <rPr>
        <b/>
        <sz val="11"/>
        <color theme="0"/>
        <rFont val="Arial"/>
        <family val="2"/>
      </rPr>
      <t>order date</t>
    </r>
    <r>
      <rPr>
        <b/>
        <sz val="11"/>
        <color theme="0"/>
        <rFont val="宋体"/>
        <family val="3"/>
        <charset val="134"/>
      </rPr>
      <t>）</t>
    </r>
    <phoneticPr fontId="2" type="noConversion"/>
  </si>
  <si>
    <t>案例号（Case Number）</t>
  </si>
  <si>
    <r>
      <rPr>
        <b/>
        <sz val="11"/>
        <color rgb="FFFF0000"/>
        <rFont val="微软雅黑"/>
        <family val="2"/>
        <charset val="134"/>
      </rPr>
      <t>代理商名称</t>
    </r>
    <r>
      <rPr>
        <b/>
        <sz val="11"/>
        <color rgb="FFFF0000"/>
        <rFont val="Arial"/>
        <family val="2"/>
      </rPr>
      <t>Distributor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</si>
  <si>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代理商账号</t>
    </r>
    <r>
      <rPr>
        <b/>
        <sz val="11"/>
        <color rgb="FFFF0000"/>
        <rFont val="Arial"/>
        <family val="2"/>
      </rPr>
      <t>Distributor Account</t>
    </r>
    <phoneticPr fontId="2" type="noConversion"/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</si>
  <si>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</si>
  <si>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</si>
  <si>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</si>
  <si>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</si>
  <si>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</si>
  <si>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</si>
  <si>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</si>
  <si>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family val="3"/>
        <charset val="134"/>
      </rPr>
      <t>其他说明</t>
    </r>
    <r>
      <rPr>
        <b/>
        <sz val="11"/>
        <color theme="0"/>
        <rFont val="Arial"/>
        <family val="2"/>
      </rPr>
      <t>Supplement</t>
    </r>
    <phoneticPr fontId="2" type="noConversion"/>
  </si>
  <si>
    <t>Huada Agricola Comercial LTDA</t>
  </si>
  <si>
    <t>HUADA-agras</t>
  </si>
  <si>
    <t>HUADA-agras</t>
    <phoneticPr fontId="2" type="noConversion"/>
  </si>
  <si>
    <t>This item is not involved this time</t>
  </si>
  <si>
    <t>FQFO250630000530</t>
  </si>
  <si>
    <t>Horizont Drones</t>
  </si>
  <si>
    <t>Local repair-in warranty</t>
  </si>
  <si>
    <t>FWRC250627000150</t>
  </si>
  <si>
    <t>Repair spare parts fee</t>
  </si>
  <si>
    <t>Automatically generate</t>
  </si>
  <si>
    <t>FQFO250630000397</t>
  </si>
  <si>
    <t>FWRC250628000173</t>
  </si>
  <si>
    <t>FQFO250630000391</t>
  </si>
  <si>
    <t>FWRC250628000178</t>
  </si>
  <si>
    <t>FQFO250630000369</t>
  </si>
  <si>
    <t>FWRC250628000181</t>
  </si>
  <si>
    <t>FQFO250630000357</t>
  </si>
  <si>
    <t>FWRC250628000183</t>
  </si>
  <si>
    <t>FQFO250630000259</t>
  </si>
  <si>
    <t>DNT - Drone Norte -Uruara</t>
  </si>
  <si>
    <t>FWRC250626000287</t>
  </si>
  <si>
    <t>FQFO250627000733</t>
  </si>
  <si>
    <t>FWRC250627000341</t>
  </si>
  <si>
    <t>FQFO250627000729</t>
  </si>
  <si>
    <t>FWRC250627000342</t>
  </si>
  <si>
    <t>FQFO250627000715</t>
  </si>
  <si>
    <t>FWRC250627000346</t>
  </si>
  <si>
    <t>FQFO250627000686</t>
  </si>
  <si>
    <t>VETTORIZE DRONES</t>
  </si>
  <si>
    <t>FWRC250627000344</t>
  </si>
  <si>
    <t>FQFO250627000395</t>
  </si>
  <si>
    <t>PARAÍSO DOS DRONES</t>
  </si>
  <si>
    <t>FWRC250424000239</t>
  </si>
  <si>
    <t>FQFO250627000393</t>
  </si>
  <si>
    <t>FWRC250531000116</t>
  </si>
  <si>
    <t>FQFO250626000441</t>
  </si>
  <si>
    <t>FWRC250625000238</t>
  </si>
  <si>
    <t>FQFO250626000427</t>
  </si>
  <si>
    <t>FWRC250626000248</t>
  </si>
  <si>
    <t>FQFO250626000415</t>
  </si>
  <si>
    <t>FWRC250626000257</t>
  </si>
  <si>
    <t>FQFO250626000377</t>
  </si>
  <si>
    <t>FWRC250625000206</t>
  </si>
  <si>
    <t>FQFO250626000295</t>
  </si>
  <si>
    <t>FWRC250417000154</t>
  </si>
  <si>
    <t>FQFO250626000247</t>
  </si>
  <si>
    <t>FWRC250625000222</t>
  </si>
  <si>
    <t>FQFO250626000243</t>
  </si>
  <si>
    <t>FWRC250625000220</t>
  </si>
  <si>
    <t>FQFO250626000203</t>
  </si>
  <si>
    <t>FWRC250625000229</t>
  </si>
  <si>
    <t>FQFO250626000001</t>
  </si>
  <si>
    <t>FWRC250625000214</t>
  </si>
  <si>
    <t>FQFO250625000357</t>
  </si>
  <si>
    <t>FWRC250624000247</t>
  </si>
  <si>
    <t>FQFO250625000335</t>
  </si>
  <si>
    <t>FWRC250624000258</t>
  </si>
  <si>
    <t>FQFO250625000275</t>
  </si>
  <si>
    <t>FWRC250624000264</t>
  </si>
  <si>
    <t>FQFO250619000289</t>
  </si>
  <si>
    <t>FWRC250618000310</t>
  </si>
  <si>
    <t>FQFO250619000279</t>
  </si>
  <si>
    <t>FWRC250618000311</t>
  </si>
  <si>
    <t>FQFO250618000344</t>
  </si>
  <si>
    <t>FWRC250617000197</t>
  </si>
  <si>
    <t>FQFO250617000089</t>
  </si>
  <si>
    <t>FWRC250610000232</t>
  </si>
  <si>
    <t>FQFO250616000443</t>
  </si>
  <si>
    <t>FWRC250614000084</t>
  </si>
  <si>
    <t>FQFO250616000217</t>
  </si>
  <si>
    <t>Mercadão dos Drones</t>
  </si>
  <si>
    <t>FWRC250613000192</t>
  </si>
  <si>
    <t>FQFO250613000111</t>
  </si>
  <si>
    <t>PRECILIANO &amp; LOPES LTDA</t>
  </si>
  <si>
    <t>FWRC250613000223</t>
  </si>
  <si>
    <t>FQFO250609000233</t>
  </si>
  <si>
    <t>FWRC250606000169</t>
  </si>
  <si>
    <t>FQFO250606000228</t>
  </si>
  <si>
    <t>CASA DO DRONE</t>
  </si>
  <si>
    <t>FWRC250605000197</t>
  </si>
  <si>
    <t>FQFO250606000176</t>
  </si>
  <si>
    <t>FWRC250604000218</t>
  </si>
  <si>
    <t>FQFO250606000170</t>
  </si>
  <si>
    <t>FWRC250606000223</t>
  </si>
  <si>
    <t>FQFO250604000212</t>
  </si>
  <si>
    <t>SMC - SOLUCOES EM ENGENHARIA EIRELI</t>
  </si>
  <si>
    <t>FWRC250604000192</t>
  </si>
  <si>
    <t>FQFO250630000532</t>
  </si>
  <si>
    <t>Repair service fee</t>
  </si>
  <si>
    <t>FQFO250630000398</t>
  </si>
  <si>
    <t>FQFO250630000392</t>
  </si>
  <si>
    <t>FQFO250630000370</t>
  </si>
  <si>
    <t>FQFO250630000358</t>
  </si>
  <si>
    <t>FQFO250630000260</t>
  </si>
  <si>
    <t>FQFO250627000734</t>
  </si>
  <si>
    <t>FQFO250627000730</t>
  </si>
  <si>
    <t>FQFO250627000716</t>
  </si>
  <si>
    <t>FQFO250627000687</t>
  </si>
  <si>
    <t>FQFO250627000396</t>
  </si>
  <si>
    <t>FQFO250627000394</t>
  </si>
  <si>
    <t>FQFO250626000442</t>
  </si>
  <si>
    <t>FQFO250626000428</t>
  </si>
  <si>
    <t>FQFO250626000416</t>
  </si>
  <si>
    <t>FQFO250626000378</t>
  </si>
  <si>
    <t>FQFO250626000296</t>
  </si>
  <si>
    <t>FQFO250626000248</t>
  </si>
  <si>
    <t>FQFO250626000244</t>
  </si>
  <si>
    <t>FQFO250626000204</t>
  </si>
  <si>
    <t>FQFO250626000002</t>
  </si>
  <si>
    <t>FQFO250625000358</t>
  </si>
  <si>
    <t>FQFO250625000336</t>
  </si>
  <si>
    <t>FQFO250625000276</t>
  </si>
  <si>
    <t>FQFO250619000290</t>
  </si>
  <si>
    <t>FQFO250619000280</t>
  </si>
  <si>
    <t>FQFO250618000345</t>
  </si>
  <si>
    <t>FQFO250617000090</t>
  </si>
  <si>
    <t>FQFO250616000444</t>
  </si>
  <si>
    <t>FQFO250616000218</t>
  </si>
  <si>
    <t>FQFO250613000112</t>
  </si>
  <si>
    <t>FQFO250609000234</t>
  </si>
  <si>
    <t>FQFO250606000229</t>
  </si>
  <si>
    <t>FQFO250606000177</t>
  </si>
  <si>
    <t>FQFO250606000171</t>
  </si>
  <si>
    <t>FQFO250604000213</t>
  </si>
  <si>
    <t>FWRC250430000096</t>
  </si>
  <si>
    <t>FWRC250512000121</t>
  </si>
  <si>
    <t>FWRC250430000201</t>
  </si>
  <si>
    <t>FWRC250529000139</t>
  </si>
  <si>
    <t>FWRC250515000347</t>
  </si>
  <si>
    <t>Fialho e Sarti Agrotecnologia</t>
  </si>
  <si>
    <t>FWRC250527000301</t>
  </si>
  <si>
    <t>FWRC250524000263</t>
  </si>
  <si>
    <t>FWRC250516000276</t>
  </si>
  <si>
    <t>FWRC250409000171</t>
  </si>
  <si>
    <t>FWRC250515000342</t>
  </si>
  <si>
    <t>FWRC250507000202</t>
  </si>
  <si>
    <t>FWRC250502000041</t>
  </si>
  <si>
    <t>FWRC250519000231</t>
  </si>
  <si>
    <t>FWRC250513000192</t>
  </si>
  <si>
    <t>FWRC250519000211</t>
  </si>
  <si>
    <t>FWRC250515000339</t>
  </si>
  <si>
    <t>FWRC250509000163</t>
  </si>
  <si>
    <t>FWRC250415000225</t>
  </si>
  <si>
    <t>FWRC250418000166</t>
  </si>
  <si>
    <t>FWRC250404000150</t>
  </si>
  <si>
    <t>FWRC250429000207</t>
  </si>
  <si>
    <t>FWRC250411000139</t>
  </si>
  <si>
    <t>FWRC250411000257</t>
  </si>
  <si>
    <t>FWRC250331000165</t>
  </si>
  <si>
    <t>FWRC250430000212</t>
  </si>
  <si>
    <t>FWRC250426000115</t>
  </si>
  <si>
    <t>FWRC250423000212</t>
  </si>
  <si>
    <t>FWRC250415000228</t>
  </si>
  <si>
    <t>FWRC250328000181</t>
  </si>
  <si>
    <t>FWRC250328000233</t>
  </si>
  <si>
    <t>FWRC250326000190</t>
  </si>
  <si>
    <t>FWRC250327000159</t>
  </si>
  <si>
    <t>FWRC250321000120</t>
  </si>
  <si>
    <t>FWRC250313000139</t>
  </si>
  <si>
    <t>FWRC250312000274</t>
  </si>
  <si>
    <t>FWRC250311000346</t>
  </si>
  <si>
    <t>FWRC250306000323</t>
  </si>
  <si>
    <t>FWRC250220000266</t>
  </si>
  <si>
    <t>FWRC250213000195</t>
  </si>
  <si>
    <t>FWRC250329000085</t>
  </si>
  <si>
    <t>FWRC250326000215</t>
  </si>
  <si>
    <t>FWRC250324000173</t>
  </si>
  <si>
    <t>FWRC250324000167</t>
  </si>
  <si>
    <t>FWRC250324000164</t>
  </si>
  <si>
    <t>FWRC250327000177</t>
  </si>
  <si>
    <t>FWRC250307000270</t>
  </si>
  <si>
    <t>FWRC250307000267</t>
  </si>
  <si>
    <t>FWRC250306000336</t>
  </si>
  <si>
    <t>FWRC250326000187</t>
  </si>
  <si>
    <t>FWRC250111000262</t>
  </si>
  <si>
    <t>FWRC250111000274</t>
  </si>
  <si>
    <t>FWRC250110000234</t>
  </si>
  <si>
    <t>FWRC250108000166</t>
  </si>
  <si>
    <t>FWRC250108000274</t>
  </si>
  <si>
    <t>FWRC250107000330</t>
  </si>
  <si>
    <t>FWRC250106000295</t>
  </si>
  <si>
    <t>FWRC250103000140</t>
  </si>
  <si>
    <t>FWRC250102000307</t>
  </si>
  <si>
    <t>WRC241231000233</t>
  </si>
  <si>
    <t>FWRC250113000243</t>
  </si>
  <si>
    <t>FWRC250226000214</t>
  </si>
  <si>
    <t>FWRC250221000260</t>
  </si>
  <si>
    <t>FWRC250214000357</t>
  </si>
  <si>
    <t>FWRC250213000309</t>
  </si>
  <si>
    <t>FWRC250131000083</t>
  </si>
  <si>
    <t>FWRC250130000122</t>
  </si>
  <si>
    <t>FWRC250130000107</t>
  </si>
  <si>
    <t>FWRC250130000096</t>
  </si>
  <si>
    <t>FWRC250130000093</t>
  </si>
  <si>
    <t>FWRC250130000145</t>
  </si>
  <si>
    <t>FWRC250130000141</t>
  </si>
  <si>
    <t>FWRC250130000130</t>
  </si>
  <si>
    <t>FWRC250127000191</t>
  </si>
  <si>
    <t>FWRC250127000188</t>
  </si>
  <si>
    <t>FWRC250124000175</t>
  </si>
  <si>
    <t>FWRC250220000262</t>
  </si>
  <si>
    <t>FWRC250210000259</t>
  </si>
  <si>
    <t>FWRC250207000213</t>
  </si>
  <si>
    <t>FWRC250206000168</t>
  </si>
  <si>
    <t>FWRC250204000264</t>
  </si>
  <si>
    <t>FWRC250203000216</t>
  </si>
  <si>
    <t>FWRC250203000210</t>
  </si>
  <si>
    <t>FWRC250201000098</t>
  </si>
  <si>
    <t>FWRC250201000091</t>
  </si>
  <si>
    <t>FWRC250128000128</t>
  </si>
  <si>
    <t>FWRC250128000126</t>
  </si>
  <si>
    <t>FWRC250128000198</t>
  </si>
  <si>
    <t>FWRC250128000194</t>
  </si>
  <si>
    <t>FWRC250127000186</t>
  </si>
  <si>
    <t>WRC241125000317</t>
  </si>
  <si>
    <t>FWRC250227000143</t>
  </si>
  <si>
    <t>FWRC250225000196</t>
  </si>
  <si>
    <t>FWRC250212000154</t>
  </si>
  <si>
    <t>FWRC250222000288</t>
  </si>
  <si>
    <t>FWRC250213000295</t>
  </si>
  <si>
    <t>WRC241217000381</t>
  </si>
  <si>
    <t>WRC241213000328</t>
  </si>
  <si>
    <t>WRC241210000011</t>
  </si>
  <si>
    <t>WRC241204000011</t>
  </si>
  <si>
    <t>WRC241224000268</t>
  </si>
  <si>
    <t>WRC241212000011</t>
  </si>
  <si>
    <t>WRC241205000331</t>
  </si>
  <si>
    <t>WRC241129000225</t>
  </si>
  <si>
    <t>WRC241213000331</t>
  </si>
  <si>
    <t>WRC241213000007</t>
  </si>
  <si>
    <t>WRC241205000010</t>
  </si>
  <si>
    <t>WRC241204000300</t>
  </si>
  <si>
    <t>WRC241218000369</t>
  </si>
  <si>
    <t>WRC241216000278</t>
  </si>
  <si>
    <t>tariff compensation</t>
  </si>
  <si>
    <t>RURAL DRONE</t>
  </si>
  <si>
    <t>FWRC250603000182</t>
  </si>
  <si>
    <t>FWRC250129000151</t>
  </si>
  <si>
    <t>AgroTerra</t>
  </si>
  <si>
    <t>FWRC250517000267</t>
  </si>
  <si>
    <t>SAD SAGA AGRO DRONES TECNOLOGIA E P. A LIMITADA</t>
  </si>
  <si>
    <t>FWRC250331000175</t>
  </si>
  <si>
    <t>BC.AG.SS000700.01</t>
  </si>
  <si>
    <t>【T50/T25】电调模块</t>
  </si>
  <si>
    <t>BC.AG.SS000675.01</t>
  </si>
  <si>
    <t>【T50/T25】射频模块</t>
  </si>
  <si>
    <t>BC.AG.SS000673.01</t>
  </si>
  <si>
    <t>【T50】称重模块</t>
  </si>
  <si>
    <t>YC.JG.ZS003725.02</t>
  </si>
  <si>
    <t>【T50/T25】脚架线夹</t>
  </si>
  <si>
    <t>YC.JG.JS000036.06</t>
  </si>
  <si>
    <t>【T25】机臂水管</t>
  </si>
  <si>
    <t>YC.JG.ZS003553.02</t>
  </si>
  <si>
    <t>【T25】反桨（CW）</t>
  </si>
  <si>
    <t>YC.JG.ZS003400.08</t>
  </si>
  <si>
    <t>【T25】喷杆外壳</t>
  </si>
  <si>
    <t>BC.AG.SS000752.01</t>
  </si>
  <si>
    <t>【T50/T25】喷杆螺母</t>
  </si>
  <si>
    <t>YC.JG.QX003012.03</t>
  </si>
  <si>
    <t>【T50/T25】锁紧扣手柄</t>
  </si>
  <si>
    <t>YC.JG.JS000037.07</t>
  </si>
  <si>
    <t>【T25】喷杆波纹管</t>
  </si>
  <si>
    <t>YC.JG.ZS003558.04</t>
  </si>
  <si>
    <t>【T50/T25】脚垫</t>
  </si>
  <si>
    <t>YC.JG.XW000110.02</t>
  </si>
  <si>
    <t>【T50/T25】脚架横杆（后）</t>
  </si>
  <si>
    <t>YC.JG.BJ002409.04</t>
  </si>
  <si>
    <t>【T50/T25】E形卡簧（外径 6mm）</t>
  </si>
  <si>
    <t>YC.JG.ZS003552.02</t>
  </si>
  <si>
    <t>【T25】正桨（CCW）</t>
  </si>
  <si>
    <t>YC.JG.BJ001760.06</t>
  </si>
  <si>
    <t>【T25】脚架铝管</t>
  </si>
  <si>
    <t>BC.AG.SS000838.01</t>
  </si>
  <si>
    <t>【T50/T25】航电模块L</t>
  </si>
  <si>
    <t>YC.JG.ZS003468.06</t>
  </si>
  <si>
    <t>【T50/T25】脚架三通</t>
  </si>
  <si>
    <t>BC.AG.SS000705.01</t>
  </si>
  <si>
    <t>【T25】M4机臂（右后）</t>
  </si>
  <si>
    <t>YC.JG.LD000045.02</t>
  </si>
  <si>
    <t>【T25】机臂固定螺栓</t>
  </si>
  <si>
    <t>YC.XC.DD000579.05</t>
  </si>
  <si>
    <t>【T25】M1&amp;M2机臂电调复合线A</t>
  </si>
  <si>
    <t>YC.JG.ZS003464.04</t>
  </si>
  <si>
    <t>【T50/T25】脚架固定件（右前）</t>
  </si>
  <si>
    <t>BC.AG.SS000701.02</t>
  </si>
  <si>
    <t>【T50/T25】锁紧卡扣组件</t>
  </si>
  <si>
    <t>YC.JG.QX002088.03</t>
  </si>
  <si>
    <t>【T50/T25】锁紧扣连杆</t>
  </si>
  <si>
    <t>YC.JG.QX003014.01</t>
  </si>
  <si>
    <t>【T50/T25】卡扣转轴</t>
  </si>
  <si>
    <t>YC.JG.ZS003389.05</t>
  </si>
  <si>
    <t>【T50/T25】前壳顶盖</t>
  </si>
  <si>
    <t>YC.JG.YZ000672.04</t>
  </si>
  <si>
    <t>【T50/T25】前雷达底座</t>
  </si>
  <si>
    <t>CP.AG.00000579.01</t>
  </si>
  <si>
    <t>【T40充电器】T40 DC-DC电源模块（HJ）（不含输出线）</t>
  </si>
  <si>
    <t>YC.JG.ZS003466.07</t>
  </si>
  <si>
    <t>【T50/T25】脚架固定件（左后）</t>
  </si>
  <si>
    <t>YC.JG.FM000092.03</t>
  </si>
  <si>
    <t>【T50/T25】离心喷头手拧螺母</t>
  </si>
  <si>
    <t>YC.XC.DD000574.03</t>
  </si>
  <si>
    <t>【T25】M3&amp;M4机臂电调复合线</t>
  </si>
  <si>
    <t>YC.XC.XX001014.06</t>
  </si>
  <si>
    <t>【T50/T25】FPV信号线</t>
  </si>
  <si>
    <t>YC.JG.ZS003465.04</t>
  </si>
  <si>
    <t>【T50/T25】脚架固定件（左前）</t>
  </si>
  <si>
    <t>YC.JG.ZS003400.09</t>
  </si>
  <si>
    <t>YC.JG.MQ001323.01</t>
  </si>
  <si>
    <t>【小播撒】特氟龙贴片</t>
  </si>
  <si>
    <t>YC.XC.XX001109.02</t>
  </si>
  <si>
    <t>【T50/T25】离心喷头转接线</t>
  </si>
  <si>
    <t>BC.AG.SS000939.02.F</t>
  </si>
  <si>
    <t>【T50/T25】前雷达模块</t>
  </si>
  <si>
    <t>YC.JG.FP000027.03</t>
  </si>
  <si>
    <t>【T25】电机保护罩</t>
  </si>
  <si>
    <t>YC.JG.ZS003467.05</t>
  </si>
  <si>
    <t>【T50/T25】脚架固定件（右后）</t>
  </si>
  <si>
    <t>YC.JG.ZS005019.03</t>
  </si>
  <si>
    <t>【T50】下反桨（L-CW）（白）</t>
  </si>
  <si>
    <t>YC.JG.ZS003466.05</t>
  </si>
  <si>
    <t>YC.JG.CS000016.06</t>
  </si>
  <si>
    <t>【T50】水箱（40L）</t>
  </si>
  <si>
    <t>YC.JG.ZS005018.03</t>
  </si>
  <si>
    <t>【T50】下正桨（L-CCW）（白）</t>
  </si>
  <si>
    <t>BC.AG.SS000697.01</t>
  </si>
  <si>
    <t>【T50】M2机臂（左前）</t>
  </si>
  <si>
    <t>YC.JG.XW000111.03</t>
  </si>
  <si>
    <t>【T50】脚架横杆（前）</t>
  </si>
  <si>
    <t>YC.JG.ZS003460.01</t>
  </si>
  <si>
    <t>【T50/T25】水管螺母（M15）</t>
  </si>
  <si>
    <t>YC.JG.ZS000984.04</t>
  </si>
  <si>
    <t>【T50/T25】流量计支架</t>
  </si>
  <si>
    <t>BC.AG.SS000940.02.F</t>
  </si>
  <si>
    <t>【T50/T25】后雷达模块</t>
  </si>
  <si>
    <t>YC.JG.JS000030.05</t>
  </si>
  <si>
    <t>【T50】机臂水管</t>
  </si>
  <si>
    <t>YC.JG.ZS005016.03</t>
  </si>
  <si>
    <t>【T50】上正桨（U-CCW）（白）</t>
  </si>
  <si>
    <t>BC.AG.SS000699.01</t>
  </si>
  <si>
    <t>【T50】M4机臂（右后）</t>
  </si>
  <si>
    <t>YC.JG.ZS003492.05</t>
  </si>
  <si>
    <t>【T50/T25】雷达右支撑</t>
  </si>
  <si>
    <t>YC.JG.ZS005017.03</t>
  </si>
  <si>
    <t>【T50】上反桨（U-CW）（白）</t>
  </si>
  <si>
    <t>YC.JG.ZS003399.09</t>
  </si>
  <si>
    <t>【T50】喷杆外壳（后）</t>
  </si>
  <si>
    <t>YC.JG.ZS003493.04</t>
  </si>
  <si>
    <t>【T50/T25】雷达左支撑</t>
  </si>
  <si>
    <t>YC.JG.BJ001821.06</t>
  </si>
  <si>
    <t>【T50】脚架铝管</t>
  </si>
  <si>
    <t>YC.JG.ZS002232.06</t>
  </si>
  <si>
    <t>【T50/T25】水箱三通</t>
  </si>
  <si>
    <t>BC.AG.SS000471.01</t>
  </si>
  <si>
    <t>【T50/T25】水箱液位计</t>
  </si>
  <si>
    <t>YC.JG.ZS003465.07</t>
  </si>
  <si>
    <t>YC.JG.JS000031.05</t>
  </si>
  <si>
    <t>【T50】喷杆波纹管（后）</t>
  </si>
  <si>
    <t>YC.JG.ZS003392.02</t>
  </si>
  <si>
    <t>【T50/T25】叶轮泵支架</t>
  </si>
  <si>
    <t>BC.AG.SS000701.01</t>
  </si>
  <si>
    <t>YC.JG.ZS003443.08</t>
  </si>
  <si>
    <t>【T50/T25】后壳下盖</t>
  </si>
  <si>
    <t>YC.JG.JS000032.02</t>
  </si>
  <si>
    <t>【T50/T25】流量计入水口管</t>
  </si>
  <si>
    <t>YC.JG.ZS003397.05</t>
  </si>
  <si>
    <t>【T50/T25】后壳主体</t>
  </si>
  <si>
    <t>YC.JG.ZS002291.09</t>
  </si>
  <si>
    <t>【T25】喷杆固定座</t>
  </si>
  <si>
    <t>YC.JG.ZS003417.08</t>
  </si>
  <si>
    <t>【T50/T25】叶轮泵隔离套</t>
  </si>
  <si>
    <t>YC.JG.ZS002235.08</t>
  </si>
  <si>
    <t>【T50/T25】快拆滤网</t>
  </si>
  <si>
    <t>YC.JG.ZS003467.07</t>
  </si>
  <si>
    <t>YC.JG.ZS002429.05</t>
  </si>
  <si>
    <t>【T50/T25】50目滤网</t>
  </si>
  <si>
    <t>YC.JG.ZS003492.04</t>
  </si>
  <si>
    <t>BC.AG.SS000835.01</t>
  </si>
  <si>
    <t>DB1560 智能飞行电池上盖组件</t>
  </si>
  <si>
    <t>BC.AG.SS000668.02</t>
  </si>
  <si>
    <t>【T50】10033动力电机</t>
  </si>
  <si>
    <t>BC.AG.SS000677.01</t>
  </si>
  <si>
    <t>【T50/T25】补光灯组件</t>
  </si>
  <si>
    <t>YC.JG.ZS001965.05</t>
  </si>
  <si>
    <t>下正桨（L-CCW）（白）</t>
  </si>
  <si>
    <t>BC.AG.SS000681.02</t>
  </si>
  <si>
    <t>【T50/T25】FPV模块</t>
  </si>
  <si>
    <t>YC.JG.ZS001964.05</t>
  </si>
  <si>
    <t>上反桨（U-CW）</t>
  </si>
  <si>
    <t>YC.XC.XX001002.04</t>
  </si>
  <si>
    <t>【T50/T25】喷洒一分四信号线</t>
  </si>
  <si>
    <t>YC.JG.ZS003464.07</t>
  </si>
  <si>
    <t>BC.AG.SS000706.02</t>
  </si>
  <si>
    <t>【T25】10028动力电机</t>
  </si>
  <si>
    <t>YC.JG.MQ001294.01</t>
  </si>
  <si>
    <t>【T50/T25】航电射频导热垫</t>
  </si>
  <si>
    <t>YC.JG.MY001046.01</t>
  </si>
  <si>
    <t>【T50/T25】航电密封圈</t>
  </si>
  <si>
    <t>BC.AG.SS000617.01</t>
  </si>
  <si>
    <t>【T40/T20P】航电模块L</t>
  </si>
  <si>
    <t>YC.SJ.WS002423.02</t>
  </si>
  <si>
    <t>【T50/T25】水箱盖箍环</t>
  </si>
  <si>
    <t>YC.JG.CS000017.08</t>
  </si>
  <si>
    <t>【T25】水箱（20L）</t>
  </si>
  <si>
    <t>YC.JG.ZS002251.03</t>
  </si>
  <si>
    <t>【T50/T25】水箱盖</t>
  </si>
  <si>
    <t>BC.AG.SS000703.01</t>
  </si>
  <si>
    <t>【T25】M2机臂（左前）</t>
  </si>
  <si>
    <t>FQFO250627000886</t>
  </si>
  <si>
    <t>MS Drones,FWRC250415000221 Penalties for abnormal local maintenance cases，S-25-06-27-02</t>
  </si>
  <si>
    <t>FQFO250627000329</t>
  </si>
  <si>
    <t>Horizont Drones,Abnormal case of bad parts scrapping，S-25-06-27-01</t>
  </si>
  <si>
    <t>FQFO250627000325</t>
  </si>
  <si>
    <t>SMC - SOLUCOES EM ENGENHARIA EIRELI,Abnormal case of bad parts scrapping，S-25-06-27-01</t>
  </si>
  <si>
    <t>FQFO250627000321</t>
  </si>
  <si>
    <t>Mercadão dos Drones,Abnormal case of bad parts scrapping，S-25-06-27-01</t>
  </si>
  <si>
    <t>FQFO250627000313</t>
  </si>
  <si>
    <t>DRONE NORTE,Abnormal case of bad parts scrapping，S-25-06-27-01</t>
  </si>
  <si>
    <t>FQFO250627000317</t>
  </si>
  <si>
    <t>FQFO250627000309</t>
  </si>
  <si>
    <t>Huada Agricola Comercial LTDA,Abnormal case of bad parts scrapping，S-25-06-27-01</t>
  </si>
  <si>
    <t>FQFO250627000305</t>
  </si>
  <si>
    <t>FQFO250627000301</t>
  </si>
  <si>
    <t>FQFO250627000296</t>
  </si>
  <si>
    <t>FQFO250627000291</t>
  </si>
  <si>
    <t>FQFO250627000286</t>
  </si>
  <si>
    <t>FQFO250627000281</t>
  </si>
  <si>
    <t>FQFO250627000276</t>
  </si>
  <si>
    <t>FQFO250627000270</t>
  </si>
  <si>
    <t>FQFO250627000263</t>
  </si>
  <si>
    <t>MS Drones,Abnormal case of bad parts scrapping，S-25-06-27-01</t>
  </si>
  <si>
    <t>FQFO250627000256</t>
  </si>
  <si>
    <t>FQFO250627000249</t>
  </si>
  <si>
    <t>FQFO250627000242</t>
  </si>
  <si>
    <t>FQFO250627000235</t>
  </si>
  <si>
    <t>FQFO250627000226</t>
  </si>
  <si>
    <t>FQFO250627000217</t>
  </si>
  <si>
    <t>FQFO250627000207</t>
  </si>
  <si>
    <t>FQFO250627000197</t>
  </si>
  <si>
    <t>FQFO250627000185</t>
  </si>
  <si>
    <t>FQFO250627000170</t>
  </si>
  <si>
    <t>FQFO250627000148</t>
  </si>
  <si>
    <t>CAS-22837720-T6F8X4</t>
  </si>
  <si>
    <t>CAS-23284557-T6J6B6</t>
  </si>
  <si>
    <t>AGROGEO COMERCIO E SERVICOS DE ENG E CONSULT FLORESTAL LTDA</t>
  </si>
  <si>
    <t>CP.AG.00000784.02</t>
  </si>
  <si>
    <t>DB800 智能飞行电池</t>
  </si>
  <si>
    <t>65UPM61DA202CH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</si>
</sst>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2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微软雅黑"/>
      <family val="2"/>
      <charset val="134"/>
    </font>
    <font>
      <b/>
      <sz val="11"/>
      <color theme="0"/>
      <name val="黑体"/>
      <family val="3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62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4" fontId="6" fillId="0" borderId="1" xfId="0" applyNumberFormat="1" applyFont="1" applyFill="1" applyBorder="1" applyAlignment="1" applyProtection="1">
      <alignment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7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0" fillId="0" borderId="0" xfId="0" applyNumberFormat="1"/>
    <xf numFmtId="0" fontId="17" fillId="0" borderId="0" xfId="0" applyFont="1"/>
    <xf numFmtId="22" fontId="17" fillId="0" borderId="0" xfId="0" applyNumberFormat="1" applyFont="1"/>
    <xf numFmtId="0" fontId="18" fillId="8" borderId="0" xfId="0" applyNumberFormat="1" applyFont="1" applyFill="1" applyBorder="1" applyAlignment="1">
      <alignment horizontal="center" vertical="center" wrapText="1"/>
    </xf>
    <xf numFmtId="0" fontId="18" fillId="2" borderId="0" xfId="0" applyNumberFormat="1" applyFont="1" applyFill="1" applyBorder="1" applyAlignment="1">
      <alignment horizontal="center" vertical="center" wrapText="1"/>
    </xf>
    <xf numFmtId="176" fontId="16" fillId="0" borderId="0" xfId="0" applyNumberFormat="1" applyFont="1"/>
    <xf numFmtId="0" fontId="3" fillId="0" borderId="0" xfId="0" applyFont="1"/>
    <xf numFmtId="0" fontId="21" fillId="9" borderId="0" xfId="0" applyFont="1" applyFill="1" applyBorder="1" applyAlignment="1">
      <alignment horizontal="center" vertical="center" wrapText="1"/>
    </xf>
    <xf numFmtId="177" fontId="21" fillId="9" borderId="0" xfId="0" applyNumberFormat="1" applyFont="1" applyFill="1" applyBorder="1" applyAlignment="1">
      <alignment horizontal="right" vertical="center"/>
    </xf>
    <xf numFmtId="0" fontId="21" fillId="9" borderId="0" xfId="0" applyFont="1" applyFill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 wrapText="1"/>
    </xf>
    <xf numFmtId="0" fontId="23" fillId="9" borderId="0" xfId="0" applyFont="1" applyFill="1" applyBorder="1" applyAlignment="1">
      <alignment horizontal="center" vertical="center" wrapText="1"/>
    </xf>
    <xf numFmtId="0" fontId="21" fillId="10" borderId="0" xfId="0" applyFont="1" applyFill="1" applyBorder="1" applyAlignment="1">
      <alignment horizontal="center" vertical="center"/>
    </xf>
    <xf numFmtId="178" fontId="21" fillId="10" borderId="0" xfId="0" applyNumberFormat="1" applyFont="1" applyFill="1" applyBorder="1" applyAlignment="1">
      <alignment horizontal="center" vertical="center"/>
    </xf>
    <xf numFmtId="14" fontId="21" fillId="10" borderId="0" xfId="0" applyNumberFormat="1" applyFont="1" applyFill="1" applyBorder="1" applyAlignment="1">
      <alignment horizontal="center" vertical="center"/>
    </xf>
    <xf numFmtId="177" fontId="25" fillId="0" borderId="0" xfId="0" applyNumberFormat="1" applyFont="1" applyAlignment="1">
      <alignment horizontal="right" vertical="center"/>
    </xf>
    <xf numFmtId="14" fontId="0" fillId="0" borderId="0" xfId="0" applyNumberFormat="1"/>
    <xf numFmtId="0" fontId="5" fillId="5" borderId="6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13" fillId="6" borderId="6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B197AB88-4D76-438C-9549-EA59788B71DC}"/>
    <cellStyle name="常规 4 2 2" xfId="2" xr:uid="{8EABD93E-767D-42AB-9BFD-A3556DC467AC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BEE7-1B5D-4D13-BE38-FBF8F8134202}">
  <sheetPr codeName="Sheet4"/>
  <dimension ref="B1:F18"/>
  <sheetViews>
    <sheetView showGridLines="0" tabSelected="1" zoomScale="85" zoomScaleNormal="85" workbookViewId="0">
      <selection activeCell="F22" sqref="F22"/>
    </sheetView>
  </sheetViews>
  <sheetFormatPr defaultColWidth="9" defaultRowHeight="14.25" x14ac:dyDescent="0.2"/>
  <cols>
    <col min="1" max="1" width="3.375" style="3" customWidth="1"/>
    <col min="2" max="2" width="24.625" style="3" customWidth="1"/>
    <col min="3" max="3" width="8.875" style="3" customWidth="1"/>
    <col min="4" max="4" width="32.875" style="3" customWidth="1"/>
    <col min="5" max="5" width="40" style="3" customWidth="1"/>
    <col min="6" max="6" width="58.75" style="3" customWidth="1"/>
    <col min="7" max="7" width="17.75" style="3" customWidth="1"/>
    <col min="8" max="16384" width="9" style="3"/>
  </cols>
  <sheetData>
    <row r="1" spans="2:6" ht="13.5" customHeight="1" x14ac:dyDescent="0.2"/>
    <row r="2" spans="2:6" ht="46.5" customHeight="1" x14ac:dyDescent="0.2">
      <c r="B2" s="49" t="s">
        <v>7</v>
      </c>
      <c r="C2" s="50"/>
      <c r="D2" s="50"/>
      <c r="E2" s="50"/>
      <c r="F2" s="51"/>
    </row>
    <row r="3" spans="2:6" ht="18.75" customHeight="1" x14ac:dyDescent="0.2">
      <c r="B3" s="4" t="s">
        <v>8</v>
      </c>
      <c r="C3" s="52" t="s">
        <v>92</v>
      </c>
      <c r="D3" s="53"/>
      <c r="E3" s="4" t="s">
        <v>9</v>
      </c>
      <c r="F3" s="5" t="s">
        <v>94</v>
      </c>
    </row>
    <row r="4" spans="2:6" ht="18" x14ac:dyDescent="0.2">
      <c r="B4" s="54" t="s">
        <v>10</v>
      </c>
      <c r="C4" s="55"/>
      <c r="D4" s="56"/>
      <c r="E4" s="6" t="s">
        <v>11</v>
      </c>
      <c r="F4" s="7" t="s">
        <v>12</v>
      </c>
    </row>
    <row r="5" spans="2:6" ht="16.899999999999999" customHeight="1" x14ac:dyDescent="0.2">
      <c r="B5" s="8" t="s">
        <v>13</v>
      </c>
      <c r="C5" s="9">
        <v>1</v>
      </c>
      <c r="D5" s="10" t="s">
        <v>14</v>
      </c>
      <c r="E5" s="11">
        <f>SUMIF('Accessories discount'!C:C,F3,'Accessories discount'!M:M)</f>
        <v>0</v>
      </c>
      <c r="F5" s="12"/>
    </row>
    <row r="6" spans="2:6" ht="16.899999999999999" customHeight="1" x14ac:dyDescent="0.2">
      <c r="B6" s="57" t="s">
        <v>15</v>
      </c>
      <c r="C6" s="58"/>
      <c r="D6" s="59"/>
      <c r="E6" s="11">
        <f>E5</f>
        <v>0</v>
      </c>
      <c r="F6" s="13"/>
    </row>
    <row r="7" spans="2:6" ht="16.899999999999999" customHeight="1" x14ac:dyDescent="0.2">
      <c r="B7" s="60" t="s">
        <v>16</v>
      </c>
      <c r="C7" s="14">
        <v>1</v>
      </c>
      <c r="D7" s="10" t="s">
        <v>17</v>
      </c>
      <c r="E7" s="11">
        <f>SUMIF('spare parts fee'!C:C,'monthly bill'!F3,'spare parts fee'!M:M)</f>
        <v>15561.37</v>
      </c>
      <c r="F7" s="13"/>
    </row>
    <row r="8" spans="2:6" ht="16.899999999999999" customHeight="1" x14ac:dyDescent="0.2">
      <c r="B8" s="60"/>
      <c r="C8" s="14">
        <v>2</v>
      </c>
      <c r="D8" s="10" t="s">
        <v>18</v>
      </c>
      <c r="E8" s="15">
        <f>SUMIF('service fee'!C:C,'monthly bill'!F3,'service fee'!M:M)</f>
        <v>441</v>
      </c>
      <c r="F8" s="13"/>
    </row>
    <row r="9" spans="2:6" ht="16.899999999999999" customHeight="1" x14ac:dyDescent="0.2">
      <c r="B9" s="60"/>
      <c r="C9" s="14">
        <v>3</v>
      </c>
      <c r="D9" s="10" t="s">
        <v>2</v>
      </c>
      <c r="E9" s="15">
        <f>SUMIF('incentive labor fee'!A:A,'monthly bill'!F3,'incentive labor fee'!J:J)</f>
        <v>638.7999999999995</v>
      </c>
      <c r="F9" s="13"/>
    </row>
    <row r="10" spans="2:6" ht="16.899999999999999" customHeight="1" x14ac:dyDescent="0.2">
      <c r="B10" s="60"/>
      <c r="C10" s="14">
        <v>4</v>
      </c>
      <c r="D10" s="10" t="s">
        <v>3</v>
      </c>
      <c r="E10" s="15">
        <f>SUMIF('tariff compensation'!A:A,'monthly bill'!F3,'tariff compensation'!J:J)</f>
        <v>7585.0000000000018</v>
      </c>
      <c r="F10" s="13"/>
    </row>
    <row r="11" spans="2:6" ht="16.899999999999999" customHeight="1" x14ac:dyDescent="0.2">
      <c r="B11" s="60"/>
      <c r="C11" s="14">
        <v>5</v>
      </c>
      <c r="D11" s="10" t="s">
        <v>4</v>
      </c>
      <c r="E11" s="15">
        <f>SUMIF('service red-line deduction'!C:C,'monthly bill'!F3,'service red-line deduction'!M:M)</f>
        <v>-9.8000000000000007</v>
      </c>
      <c r="F11" s="13"/>
    </row>
    <row r="12" spans="2:6" ht="16.899999999999999" customHeight="1" x14ac:dyDescent="0.2">
      <c r="B12" s="60"/>
      <c r="C12" s="14">
        <v>6</v>
      </c>
      <c r="D12" s="10" t="s">
        <v>5</v>
      </c>
      <c r="E12" s="15">
        <f>SUMIF('bad parts deduction'!C:C,'monthly bill'!F3,'bad parts deduction'!M:M)</f>
        <v>-8669.7800000000007</v>
      </c>
      <c r="F12" s="13"/>
    </row>
    <row r="13" spans="2:6" ht="16.899999999999999" customHeight="1" x14ac:dyDescent="0.2">
      <c r="B13" s="60"/>
      <c r="C13" s="14">
        <v>7</v>
      </c>
      <c r="D13" s="10" t="s">
        <v>6</v>
      </c>
      <c r="E13" s="15">
        <f>SUMIF('other compensation'!C:C,'monthly bill'!F3,'other compensation'!M:M)</f>
        <v>0</v>
      </c>
      <c r="F13" s="13"/>
    </row>
    <row r="14" spans="2:6" ht="16.899999999999999" customHeight="1" x14ac:dyDescent="0.2">
      <c r="B14" s="60"/>
      <c r="C14" s="14">
        <v>8</v>
      </c>
      <c r="D14" s="10" t="s">
        <v>19</v>
      </c>
      <c r="E14" s="15">
        <f>SUMIF('DOA to CM'!I:I,'monthly bill'!F3,'DOA to CM'!B:B)</f>
        <v>713</v>
      </c>
      <c r="F14" s="13"/>
    </row>
    <row r="15" spans="2:6" ht="16.899999999999999" customHeight="1" x14ac:dyDescent="0.2">
      <c r="B15" s="57" t="s">
        <v>20</v>
      </c>
      <c r="C15" s="58"/>
      <c r="D15" s="59"/>
      <c r="E15" s="15">
        <f>E7+E8+E9+E11+E12+E13+E14+E10</f>
        <v>16259.590000000004</v>
      </c>
      <c r="F15" s="13"/>
    </row>
    <row r="16" spans="2:6" ht="16.5" x14ac:dyDescent="0.2">
      <c r="B16" s="43" t="s">
        <v>21</v>
      </c>
      <c r="C16" s="44"/>
      <c r="D16" s="45"/>
      <c r="E16" s="16">
        <f>E15+E6</f>
        <v>16259.590000000004</v>
      </c>
      <c r="F16" s="13" t="s">
        <v>22</v>
      </c>
    </row>
    <row r="17" spans="2:6" s="21" customFormat="1" ht="16.5" x14ac:dyDescent="0.2">
      <c r="B17" s="17" t="s">
        <v>23</v>
      </c>
      <c r="C17" s="18">
        <v>1</v>
      </c>
      <c r="D17" s="19" t="s">
        <v>24</v>
      </c>
      <c r="E17" s="2">
        <f>SUMIF('pre-payment balance'!D:D,F3,'pre-payment balance'!K:K)</f>
        <v>0</v>
      </c>
      <c r="F17" s="20"/>
    </row>
    <row r="18" spans="2:6" s="21" customFormat="1" ht="16.5" x14ac:dyDescent="0.2">
      <c r="B18" s="46" t="s">
        <v>25</v>
      </c>
      <c r="C18" s="47"/>
      <c r="D18" s="48"/>
      <c r="E18" s="22">
        <f>E17</f>
        <v>0</v>
      </c>
      <c r="F18" s="1" t="s">
        <v>26</v>
      </c>
    </row>
  </sheetData>
  <mergeCells count="8">
    <mergeCell ref="B16:D16"/>
    <mergeCell ref="B18:D18"/>
    <mergeCell ref="B2:F2"/>
    <mergeCell ref="C3:D3"/>
    <mergeCell ref="B4:D4"/>
    <mergeCell ref="B6:D6"/>
    <mergeCell ref="B7:B14"/>
    <mergeCell ref="B15:D1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0EEB-351B-4CAE-AC45-C5947E8CA8F3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6"/>
  </cols>
  <sheetData>
    <row r="1" spans="1:17" ht="15" x14ac:dyDescent="0.2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40</v>
      </c>
      <c r="Q1" s="25" t="s">
        <v>41</v>
      </c>
    </row>
    <row r="3" spans="1:17" x14ac:dyDescent="0.2">
      <c r="A3" t="s">
        <v>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AF2F-EB5D-4D59-90B1-8F0C372BED04}">
  <sheetPr codeName="Sheet6"/>
  <dimension ref="A1:R37"/>
  <sheetViews>
    <sheetView zoomScale="85" zoomScaleNormal="85" workbookViewId="0">
      <pane ySplit="1" topLeftCell="A2" activePane="bottomLeft" state="frozen"/>
      <selection pane="bottomLeft" activeCell="C4811" sqref="C4811:D4811"/>
    </sheetView>
  </sheetViews>
  <sheetFormatPr defaultColWidth="9" defaultRowHeight="14.25" x14ac:dyDescent="0.2"/>
  <cols>
    <col min="1" max="1" width="20.125" bestFit="1" customWidth="1"/>
    <col min="2" max="2" width="17.75" customWidth="1"/>
    <col min="3" max="3" width="15.75" customWidth="1"/>
    <col min="4" max="4" width="17.75" customWidth="1"/>
    <col min="5" max="5" width="17.875" customWidth="1"/>
    <col min="6" max="6" width="16.125" customWidth="1"/>
    <col min="7" max="7" width="20.875" bestFit="1" customWidth="1"/>
    <col min="8" max="8" width="21.25" bestFit="1" customWidth="1"/>
    <col min="9" max="9" width="15.5" customWidth="1"/>
    <col min="12" max="12" width="16.625" customWidth="1"/>
    <col min="13" max="13" width="15.375" customWidth="1"/>
    <col min="14" max="14" width="9.5" customWidth="1"/>
    <col min="16" max="16" width="9" customWidth="1"/>
    <col min="17" max="17" width="7.875" bestFit="1" customWidth="1"/>
  </cols>
  <sheetData>
    <row r="1" spans="1:18" ht="15" x14ac:dyDescent="0.2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40</v>
      </c>
      <c r="Q1" s="25" t="s">
        <v>41</v>
      </c>
      <c r="R1" s="25" t="s">
        <v>45</v>
      </c>
    </row>
    <row r="2" spans="1:18" x14ac:dyDescent="0.2">
      <c r="A2" t="s">
        <v>96</v>
      </c>
      <c r="B2" s="61">
        <v>45838.900821759256</v>
      </c>
      <c r="C2" t="s">
        <v>93</v>
      </c>
      <c r="D2" t="s">
        <v>92</v>
      </c>
      <c r="E2" t="s">
        <v>97</v>
      </c>
      <c r="F2" t="s">
        <v>98</v>
      </c>
      <c r="G2" t="s">
        <v>99</v>
      </c>
      <c r="H2" t="s">
        <v>100</v>
      </c>
      <c r="I2" t="s">
        <v>48</v>
      </c>
      <c r="J2" t="s">
        <v>101</v>
      </c>
      <c r="K2" t="s">
        <v>44</v>
      </c>
      <c r="L2">
        <v>424.68</v>
      </c>
      <c r="M2">
        <v>424.68</v>
      </c>
      <c r="N2">
        <v>72459.11</v>
      </c>
      <c r="Q2">
        <v>202506</v>
      </c>
      <c r="R2" t="s">
        <v>93</v>
      </c>
    </row>
    <row r="3" spans="1:18" x14ac:dyDescent="0.2">
      <c r="A3" t="s">
        <v>102</v>
      </c>
      <c r="B3" s="61">
        <v>45838.891087962962</v>
      </c>
      <c r="C3" t="s">
        <v>93</v>
      </c>
      <c r="D3" t="s">
        <v>92</v>
      </c>
      <c r="F3" t="s">
        <v>98</v>
      </c>
      <c r="G3" t="s">
        <v>103</v>
      </c>
      <c r="H3" t="s">
        <v>100</v>
      </c>
      <c r="I3" t="s">
        <v>48</v>
      </c>
      <c r="J3" t="s">
        <v>101</v>
      </c>
      <c r="K3" t="s">
        <v>44</v>
      </c>
      <c r="L3">
        <v>358</v>
      </c>
      <c r="M3">
        <v>358</v>
      </c>
      <c r="N3">
        <v>72027.429999999993</v>
      </c>
      <c r="Q3">
        <v>202506</v>
      </c>
      <c r="R3" t="s">
        <v>93</v>
      </c>
    </row>
    <row r="4" spans="1:18" x14ac:dyDescent="0.2">
      <c r="A4" t="s">
        <v>104</v>
      </c>
      <c r="B4" s="61">
        <v>45838.890393518515</v>
      </c>
      <c r="C4" t="s">
        <v>93</v>
      </c>
      <c r="D4" t="s">
        <v>92</v>
      </c>
      <c r="F4" t="s">
        <v>98</v>
      </c>
      <c r="G4" t="s">
        <v>105</v>
      </c>
      <c r="H4" t="s">
        <v>100</v>
      </c>
      <c r="I4" t="s">
        <v>48</v>
      </c>
      <c r="J4" t="s">
        <v>101</v>
      </c>
      <c r="K4" t="s">
        <v>44</v>
      </c>
      <c r="L4">
        <v>358</v>
      </c>
      <c r="M4">
        <v>358</v>
      </c>
      <c r="N4">
        <v>71662.429999999993</v>
      </c>
      <c r="Q4">
        <v>202506</v>
      </c>
      <c r="R4" t="s">
        <v>93</v>
      </c>
    </row>
    <row r="5" spans="1:18" x14ac:dyDescent="0.2">
      <c r="A5" t="s">
        <v>106</v>
      </c>
      <c r="B5" s="61">
        <v>45838.888969907406</v>
      </c>
      <c r="C5" t="s">
        <v>93</v>
      </c>
      <c r="D5" t="s">
        <v>92</v>
      </c>
      <c r="F5" t="s">
        <v>98</v>
      </c>
      <c r="G5" t="s">
        <v>107</v>
      </c>
      <c r="H5" t="s">
        <v>100</v>
      </c>
      <c r="I5" t="s">
        <v>48</v>
      </c>
      <c r="J5" t="s">
        <v>101</v>
      </c>
      <c r="K5" t="s">
        <v>44</v>
      </c>
      <c r="L5">
        <v>358</v>
      </c>
      <c r="M5">
        <v>358</v>
      </c>
      <c r="N5">
        <v>71297.429999999993</v>
      </c>
      <c r="Q5">
        <v>202506</v>
      </c>
      <c r="R5" t="s">
        <v>93</v>
      </c>
    </row>
    <row r="6" spans="1:18" x14ac:dyDescent="0.2">
      <c r="A6" t="s">
        <v>108</v>
      </c>
      <c r="B6" s="61">
        <v>45838.888333333336</v>
      </c>
      <c r="C6" t="s">
        <v>93</v>
      </c>
      <c r="D6" t="s">
        <v>92</v>
      </c>
      <c r="F6" t="s">
        <v>98</v>
      </c>
      <c r="G6" t="s">
        <v>109</v>
      </c>
      <c r="H6" t="s">
        <v>100</v>
      </c>
      <c r="I6" t="s">
        <v>48</v>
      </c>
      <c r="J6" t="s">
        <v>101</v>
      </c>
      <c r="K6" t="s">
        <v>44</v>
      </c>
      <c r="L6">
        <v>358</v>
      </c>
      <c r="M6">
        <v>358</v>
      </c>
      <c r="N6">
        <v>70932.429999999993</v>
      </c>
      <c r="Q6">
        <v>202506</v>
      </c>
      <c r="R6" t="s">
        <v>93</v>
      </c>
    </row>
    <row r="7" spans="1:18" x14ac:dyDescent="0.2">
      <c r="A7" t="s">
        <v>110</v>
      </c>
      <c r="B7" s="61">
        <v>45838.880150462966</v>
      </c>
      <c r="C7" t="s">
        <v>93</v>
      </c>
      <c r="D7" t="s">
        <v>92</v>
      </c>
      <c r="E7" t="s">
        <v>111</v>
      </c>
      <c r="F7" t="s">
        <v>98</v>
      </c>
      <c r="G7" t="s">
        <v>112</v>
      </c>
      <c r="H7" t="s">
        <v>100</v>
      </c>
      <c r="I7" t="s">
        <v>48</v>
      </c>
      <c r="J7" t="s">
        <v>101</v>
      </c>
      <c r="K7" t="s">
        <v>44</v>
      </c>
      <c r="L7">
        <v>591</v>
      </c>
      <c r="M7">
        <v>591</v>
      </c>
      <c r="N7">
        <v>70547.429999999993</v>
      </c>
      <c r="Q7">
        <v>202506</v>
      </c>
      <c r="R7" t="s">
        <v>93</v>
      </c>
    </row>
    <row r="8" spans="1:18" x14ac:dyDescent="0.2">
      <c r="A8" t="s">
        <v>113</v>
      </c>
      <c r="B8" s="61">
        <v>45835.844259259262</v>
      </c>
      <c r="C8" t="s">
        <v>93</v>
      </c>
      <c r="D8" t="s">
        <v>92</v>
      </c>
      <c r="E8" t="s">
        <v>111</v>
      </c>
      <c r="F8" t="s">
        <v>98</v>
      </c>
      <c r="G8" t="s">
        <v>114</v>
      </c>
      <c r="H8" t="s">
        <v>100</v>
      </c>
      <c r="I8" t="s">
        <v>48</v>
      </c>
      <c r="J8" t="s">
        <v>101</v>
      </c>
      <c r="K8" t="s">
        <v>44</v>
      </c>
      <c r="L8">
        <v>432</v>
      </c>
      <c r="M8">
        <v>432</v>
      </c>
      <c r="N8">
        <v>69939.23</v>
      </c>
      <c r="Q8">
        <v>202506</v>
      </c>
      <c r="R8" t="s">
        <v>93</v>
      </c>
    </row>
    <row r="9" spans="1:18" x14ac:dyDescent="0.2">
      <c r="A9" t="s">
        <v>115</v>
      </c>
      <c r="B9" s="61">
        <v>45835.8440625</v>
      </c>
      <c r="C9" t="s">
        <v>93</v>
      </c>
      <c r="D9" t="s">
        <v>92</v>
      </c>
      <c r="F9" t="s">
        <v>98</v>
      </c>
      <c r="G9" t="s">
        <v>116</v>
      </c>
      <c r="H9" t="s">
        <v>100</v>
      </c>
      <c r="I9" t="s">
        <v>48</v>
      </c>
      <c r="J9" t="s">
        <v>101</v>
      </c>
      <c r="K9" t="s">
        <v>44</v>
      </c>
      <c r="L9">
        <v>358</v>
      </c>
      <c r="M9">
        <v>358</v>
      </c>
      <c r="N9">
        <v>69500.23</v>
      </c>
      <c r="Q9">
        <v>202506</v>
      </c>
      <c r="R9" t="s">
        <v>93</v>
      </c>
    </row>
    <row r="10" spans="1:18" x14ac:dyDescent="0.2">
      <c r="A10" t="s">
        <v>117</v>
      </c>
      <c r="B10" s="61">
        <v>45835.843136574076</v>
      </c>
      <c r="C10" t="s">
        <v>93</v>
      </c>
      <c r="D10" t="s">
        <v>92</v>
      </c>
      <c r="F10" t="s">
        <v>98</v>
      </c>
      <c r="G10" t="s">
        <v>118</v>
      </c>
      <c r="H10" t="s">
        <v>100</v>
      </c>
      <c r="I10" t="s">
        <v>48</v>
      </c>
      <c r="J10" t="s">
        <v>101</v>
      </c>
      <c r="K10" t="s">
        <v>44</v>
      </c>
      <c r="L10">
        <v>358</v>
      </c>
      <c r="M10">
        <v>358</v>
      </c>
      <c r="N10">
        <v>69135.23</v>
      </c>
      <c r="Q10">
        <v>202506</v>
      </c>
      <c r="R10" t="s">
        <v>93</v>
      </c>
    </row>
    <row r="11" spans="1:18" x14ac:dyDescent="0.2">
      <c r="A11" t="s">
        <v>119</v>
      </c>
      <c r="B11" s="61">
        <v>45835.841666666667</v>
      </c>
      <c r="C11" t="s">
        <v>93</v>
      </c>
      <c r="D11" t="s">
        <v>92</v>
      </c>
      <c r="E11" t="s">
        <v>120</v>
      </c>
      <c r="F11" t="s">
        <v>98</v>
      </c>
      <c r="G11" t="s">
        <v>121</v>
      </c>
      <c r="H11" t="s">
        <v>100</v>
      </c>
      <c r="I11" t="s">
        <v>48</v>
      </c>
      <c r="J11" t="s">
        <v>101</v>
      </c>
      <c r="K11" t="s">
        <v>44</v>
      </c>
      <c r="L11">
        <v>679.08</v>
      </c>
      <c r="M11">
        <v>679.08</v>
      </c>
      <c r="N11">
        <v>68770.23</v>
      </c>
      <c r="Q11">
        <v>202506</v>
      </c>
      <c r="R11" t="s">
        <v>93</v>
      </c>
    </row>
    <row r="12" spans="1:18" x14ac:dyDescent="0.2">
      <c r="A12" t="s">
        <v>122</v>
      </c>
      <c r="B12" s="61">
        <v>45835.812326388892</v>
      </c>
      <c r="C12" t="s">
        <v>93</v>
      </c>
      <c r="D12" t="s">
        <v>92</v>
      </c>
      <c r="E12" t="s">
        <v>123</v>
      </c>
      <c r="F12" t="s">
        <v>98</v>
      </c>
      <c r="G12" t="s">
        <v>124</v>
      </c>
      <c r="H12" t="s">
        <v>100</v>
      </c>
      <c r="I12" t="s">
        <v>48</v>
      </c>
      <c r="J12" t="s">
        <v>101</v>
      </c>
      <c r="K12" t="s">
        <v>44</v>
      </c>
      <c r="L12">
        <v>1232.6600000000001</v>
      </c>
      <c r="M12">
        <v>1232.6600000000001</v>
      </c>
      <c r="N12">
        <v>68064.149999999994</v>
      </c>
      <c r="Q12">
        <v>202506</v>
      </c>
      <c r="R12" t="s">
        <v>93</v>
      </c>
    </row>
    <row r="13" spans="1:18" x14ac:dyDescent="0.2">
      <c r="A13" t="s">
        <v>125</v>
      </c>
      <c r="B13" s="61">
        <v>45835.812303240738</v>
      </c>
      <c r="C13" t="s">
        <v>93</v>
      </c>
      <c r="D13" t="s">
        <v>92</v>
      </c>
      <c r="E13" t="s">
        <v>123</v>
      </c>
      <c r="F13" t="s">
        <v>98</v>
      </c>
      <c r="G13" t="s">
        <v>126</v>
      </c>
      <c r="H13" t="s">
        <v>100</v>
      </c>
      <c r="I13" t="s">
        <v>48</v>
      </c>
      <c r="J13" t="s">
        <v>101</v>
      </c>
      <c r="K13" t="s">
        <v>44</v>
      </c>
      <c r="L13">
        <v>840.03</v>
      </c>
      <c r="M13">
        <v>840.03</v>
      </c>
      <c r="N13">
        <v>66804.490000000005</v>
      </c>
      <c r="Q13">
        <v>202506</v>
      </c>
      <c r="R13" t="s">
        <v>93</v>
      </c>
    </row>
    <row r="14" spans="1:18" x14ac:dyDescent="0.2">
      <c r="A14" t="s">
        <v>127</v>
      </c>
      <c r="B14" s="61">
        <v>45834.902870370373</v>
      </c>
      <c r="C14" t="s">
        <v>93</v>
      </c>
      <c r="D14" t="s">
        <v>92</v>
      </c>
      <c r="F14" t="s">
        <v>98</v>
      </c>
      <c r="G14" t="s">
        <v>128</v>
      </c>
      <c r="H14" t="s">
        <v>100</v>
      </c>
      <c r="I14" t="s">
        <v>48</v>
      </c>
      <c r="J14" t="s">
        <v>101</v>
      </c>
      <c r="K14" t="s">
        <v>44</v>
      </c>
      <c r="L14">
        <v>358</v>
      </c>
      <c r="M14">
        <v>358</v>
      </c>
      <c r="N14">
        <v>74627.240000000005</v>
      </c>
      <c r="Q14">
        <v>202506</v>
      </c>
      <c r="R14" t="s">
        <v>93</v>
      </c>
    </row>
    <row r="15" spans="1:18" x14ac:dyDescent="0.2">
      <c r="A15" t="s">
        <v>129</v>
      </c>
      <c r="B15" s="61">
        <v>45834.901273148149</v>
      </c>
      <c r="C15" t="s">
        <v>93</v>
      </c>
      <c r="D15" t="s">
        <v>92</v>
      </c>
      <c r="F15" t="s">
        <v>98</v>
      </c>
      <c r="G15" t="s">
        <v>130</v>
      </c>
      <c r="H15" t="s">
        <v>100</v>
      </c>
      <c r="I15" t="s">
        <v>48</v>
      </c>
      <c r="J15" t="s">
        <v>101</v>
      </c>
      <c r="K15" t="s">
        <v>44</v>
      </c>
      <c r="L15">
        <v>358</v>
      </c>
      <c r="M15">
        <v>358</v>
      </c>
      <c r="N15">
        <v>74262.240000000005</v>
      </c>
      <c r="Q15">
        <v>202506</v>
      </c>
      <c r="R15" t="s">
        <v>93</v>
      </c>
    </row>
    <row r="16" spans="1:18" x14ac:dyDescent="0.2">
      <c r="A16" t="s">
        <v>131</v>
      </c>
      <c r="B16" s="61">
        <v>45834.900196759256</v>
      </c>
      <c r="C16" t="s">
        <v>93</v>
      </c>
      <c r="D16" t="s">
        <v>92</v>
      </c>
      <c r="F16" t="s">
        <v>98</v>
      </c>
      <c r="G16" t="s">
        <v>132</v>
      </c>
      <c r="H16" t="s">
        <v>100</v>
      </c>
      <c r="I16" t="s">
        <v>48</v>
      </c>
      <c r="J16" t="s">
        <v>101</v>
      </c>
      <c r="K16" t="s">
        <v>44</v>
      </c>
      <c r="L16">
        <v>358</v>
      </c>
      <c r="M16">
        <v>358</v>
      </c>
      <c r="N16">
        <v>73897.240000000005</v>
      </c>
      <c r="Q16">
        <v>202506</v>
      </c>
      <c r="R16" t="s">
        <v>93</v>
      </c>
    </row>
    <row r="17" spans="1:18" x14ac:dyDescent="0.2">
      <c r="A17" t="s">
        <v>133</v>
      </c>
      <c r="B17" s="61">
        <v>45834.896990740737</v>
      </c>
      <c r="C17" t="s">
        <v>93</v>
      </c>
      <c r="D17" t="s">
        <v>92</v>
      </c>
      <c r="F17" t="s">
        <v>98</v>
      </c>
      <c r="G17" t="s">
        <v>134</v>
      </c>
      <c r="H17" t="s">
        <v>100</v>
      </c>
      <c r="I17" t="s">
        <v>48</v>
      </c>
      <c r="J17" t="s">
        <v>101</v>
      </c>
      <c r="K17" t="s">
        <v>44</v>
      </c>
      <c r="L17">
        <v>358</v>
      </c>
      <c r="M17">
        <v>358</v>
      </c>
      <c r="N17">
        <v>73532.240000000005</v>
      </c>
      <c r="Q17">
        <v>202506</v>
      </c>
      <c r="R17" t="s">
        <v>93</v>
      </c>
    </row>
    <row r="18" spans="1:18" x14ac:dyDescent="0.2">
      <c r="A18" t="s">
        <v>135</v>
      </c>
      <c r="B18" s="61">
        <v>45834.888159722221</v>
      </c>
      <c r="C18" t="s">
        <v>93</v>
      </c>
      <c r="D18" t="s">
        <v>92</v>
      </c>
      <c r="E18" t="s">
        <v>123</v>
      </c>
      <c r="F18" t="s">
        <v>98</v>
      </c>
      <c r="G18" t="s">
        <v>136</v>
      </c>
      <c r="H18" t="s">
        <v>100</v>
      </c>
      <c r="I18" t="s">
        <v>48</v>
      </c>
      <c r="J18" t="s">
        <v>101</v>
      </c>
      <c r="K18" t="s">
        <v>44</v>
      </c>
      <c r="L18">
        <v>1239.47</v>
      </c>
      <c r="M18">
        <v>1239.47</v>
      </c>
      <c r="N18">
        <v>73158.240000000005</v>
      </c>
      <c r="Q18">
        <v>202506</v>
      </c>
      <c r="R18" t="s">
        <v>93</v>
      </c>
    </row>
    <row r="19" spans="1:18" x14ac:dyDescent="0.2">
      <c r="A19" t="s">
        <v>137</v>
      </c>
      <c r="B19" s="61">
        <v>45834.883750000001</v>
      </c>
      <c r="C19" t="s">
        <v>93</v>
      </c>
      <c r="D19" t="s">
        <v>92</v>
      </c>
      <c r="E19" t="s">
        <v>111</v>
      </c>
      <c r="F19" t="s">
        <v>98</v>
      </c>
      <c r="G19" t="s">
        <v>138</v>
      </c>
      <c r="H19" t="s">
        <v>100</v>
      </c>
      <c r="I19" t="s">
        <v>48</v>
      </c>
      <c r="J19" t="s">
        <v>101</v>
      </c>
      <c r="K19" t="s">
        <v>44</v>
      </c>
      <c r="L19">
        <v>27</v>
      </c>
      <c r="M19">
        <v>27</v>
      </c>
      <c r="N19">
        <v>71911.77</v>
      </c>
      <c r="Q19">
        <v>202506</v>
      </c>
      <c r="R19" t="s">
        <v>93</v>
      </c>
    </row>
    <row r="20" spans="1:18" x14ac:dyDescent="0.2">
      <c r="A20" t="s">
        <v>139</v>
      </c>
      <c r="B20" s="61">
        <v>45834.883171296293</v>
      </c>
      <c r="C20" t="s">
        <v>93</v>
      </c>
      <c r="D20" t="s">
        <v>92</v>
      </c>
      <c r="F20" t="s">
        <v>98</v>
      </c>
      <c r="G20" t="s">
        <v>140</v>
      </c>
      <c r="H20" t="s">
        <v>100</v>
      </c>
      <c r="I20" t="s">
        <v>48</v>
      </c>
      <c r="J20" t="s">
        <v>101</v>
      </c>
      <c r="K20" t="s">
        <v>44</v>
      </c>
      <c r="L20">
        <v>358</v>
      </c>
      <c r="M20">
        <v>358</v>
      </c>
      <c r="N20">
        <v>71877.77</v>
      </c>
      <c r="Q20">
        <v>202506</v>
      </c>
      <c r="R20" t="s">
        <v>93</v>
      </c>
    </row>
    <row r="21" spans="1:18" x14ac:dyDescent="0.2">
      <c r="A21" t="s">
        <v>141</v>
      </c>
      <c r="B21" s="61">
        <v>45834.879490740743</v>
      </c>
      <c r="C21" t="s">
        <v>93</v>
      </c>
      <c r="D21" t="s">
        <v>92</v>
      </c>
      <c r="F21" t="s">
        <v>98</v>
      </c>
      <c r="G21" t="s">
        <v>142</v>
      </c>
      <c r="H21" t="s">
        <v>100</v>
      </c>
      <c r="I21" t="s">
        <v>48</v>
      </c>
      <c r="J21" t="s">
        <v>101</v>
      </c>
      <c r="K21" t="s">
        <v>44</v>
      </c>
      <c r="L21">
        <v>358</v>
      </c>
      <c r="M21">
        <v>358</v>
      </c>
      <c r="N21">
        <v>71512.77</v>
      </c>
      <c r="Q21">
        <v>202506</v>
      </c>
      <c r="R21" t="s">
        <v>93</v>
      </c>
    </row>
    <row r="22" spans="1:18" x14ac:dyDescent="0.2">
      <c r="A22" t="s">
        <v>143</v>
      </c>
      <c r="B22" s="61">
        <v>45834.439953703702</v>
      </c>
      <c r="C22" t="s">
        <v>93</v>
      </c>
      <c r="D22" t="s">
        <v>92</v>
      </c>
      <c r="F22" t="s">
        <v>98</v>
      </c>
      <c r="G22" t="s">
        <v>144</v>
      </c>
      <c r="H22" t="s">
        <v>100</v>
      </c>
      <c r="I22" t="s">
        <v>48</v>
      </c>
      <c r="J22" t="s">
        <v>101</v>
      </c>
      <c r="K22" t="s">
        <v>44</v>
      </c>
      <c r="L22">
        <v>358</v>
      </c>
      <c r="M22">
        <v>358</v>
      </c>
      <c r="N22">
        <v>71147.77</v>
      </c>
      <c r="Q22">
        <v>202506</v>
      </c>
      <c r="R22" t="s">
        <v>93</v>
      </c>
    </row>
    <row r="23" spans="1:18" x14ac:dyDescent="0.2">
      <c r="A23" t="s">
        <v>145</v>
      </c>
      <c r="B23" s="61">
        <v>45833.881539351853</v>
      </c>
      <c r="C23" t="s">
        <v>93</v>
      </c>
      <c r="D23" t="s">
        <v>92</v>
      </c>
      <c r="F23" t="s">
        <v>98</v>
      </c>
      <c r="G23" t="s">
        <v>146</v>
      </c>
      <c r="H23" t="s">
        <v>100</v>
      </c>
      <c r="I23" t="s">
        <v>48</v>
      </c>
      <c r="J23" t="s">
        <v>101</v>
      </c>
      <c r="K23" t="s">
        <v>44</v>
      </c>
      <c r="L23">
        <v>358</v>
      </c>
      <c r="M23">
        <v>358</v>
      </c>
      <c r="N23">
        <v>70782.77</v>
      </c>
      <c r="Q23">
        <v>202506</v>
      </c>
      <c r="R23" t="s">
        <v>93</v>
      </c>
    </row>
    <row r="24" spans="1:18" x14ac:dyDescent="0.2">
      <c r="A24" t="s">
        <v>147</v>
      </c>
      <c r="B24" s="61">
        <v>45833.879201388889</v>
      </c>
      <c r="C24" t="s">
        <v>93</v>
      </c>
      <c r="D24" t="s">
        <v>92</v>
      </c>
      <c r="F24" t="s">
        <v>98</v>
      </c>
      <c r="G24" t="s">
        <v>148</v>
      </c>
      <c r="H24" t="s">
        <v>100</v>
      </c>
      <c r="I24" t="s">
        <v>48</v>
      </c>
      <c r="J24" t="s">
        <v>101</v>
      </c>
      <c r="K24" t="s">
        <v>44</v>
      </c>
      <c r="L24">
        <v>358</v>
      </c>
      <c r="M24">
        <v>358</v>
      </c>
      <c r="N24">
        <v>70417.77</v>
      </c>
      <c r="Q24">
        <v>202506</v>
      </c>
      <c r="R24" t="s">
        <v>93</v>
      </c>
    </row>
    <row r="25" spans="1:18" x14ac:dyDescent="0.2">
      <c r="A25" t="s">
        <v>149</v>
      </c>
      <c r="B25" s="61">
        <v>45833.873344907406</v>
      </c>
      <c r="C25" t="s">
        <v>93</v>
      </c>
      <c r="D25" t="s">
        <v>92</v>
      </c>
      <c r="F25" t="s">
        <v>98</v>
      </c>
      <c r="G25" t="s">
        <v>150</v>
      </c>
      <c r="H25" t="s">
        <v>100</v>
      </c>
      <c r="I25" t="s">
        <v>48</v>
      </c>
      <c r="J25" t="s">
        <v>101</v>
      </c>
      <c r="K25" t="s">
        <v>44</v>
      </c>
      <c r="L25">
        <v>358</v>
      </c>
      <c r="M25">
        <v>358</v>
      </c>
      <c r="N25">
        <v>70052.77</v>
      </c>
      <c r="Q25">
        <v>202506</v>
      </c>
      <c r="R25" t="s">
        <v>93</v>
      </c>
    </row>
    <row r="26" spans="1:18" x14ac:dyDescent="0.2">
      <c r="A26" t="s">
        <v>151</v>
      </c>
      <c r="B26" s="61">
        <v>45827.869293981479</v>
      </c>
      <c r="C26" t="s">
        <v>93</v>
      </c>
      <c r="D26" t="s">
        <v>92</v>
      </c>
      <c r="E26" t="s">
        <v>97</v>
      </c>
      <c r="F26" t="s">
        <v>98</v>
      </c>
      <c r="G26" t="s">
        <v>152</v>
      </c>
      <c r="H26" t="s">
        <v>100</v>
      </c>
      <c r="I26" t="s">
        <v>48</v>
      </c>
      <c r="J26" t="s">
        <v>101</v>
      </c>
      <c r="K26" t="s">
        <v>44</v>
      </c>
      <c r="L26">
        <v>432.74</v>
      </c>
      <c r="M26">
        <v>432.74</v>
      </c>
      <c r="N26">
        <v>61746.59</v>
      </c>
      <c r="Q26">
        <v>202506</v>
      </c>
      <c r="R26" t="s">
        <v>93</v>
      </c>
    </row>
    <row r="27" spans="1:18" x14ac:dyDescent="0.2">
      <c r="A27" t="s">
        <v>153</v>
      </c>
      <c r="B27" s="61">
        <v>45827.868449074071</v>
      </c>
      <c r="C27" t="s">
        <v>93</v>
      </c>
      <c r="D27" t="s">
        <v>92</v>
      </c>
      <c r="E27" t="s">
        <v>97</v>
      </c>
      <c r="F27" t="s">
        <v>98</v>
      </c>
      <c r="G27" t="s">
        <v>154</v>
      </c>
      <c r="H27" t="s">
        <v>100</v>
      </c>
      <c r="I27" t="s">
        <v>48</v>
      </c>
      <c r="J27" t="s">
        <v>101</v>
      </c>
      <c r="K27" t="s">
        <v>44</v>
      </c>
      <c r="L27">
        <v>432.74</v>
      </c>
      <c r="M27">
        <v>432.74</v>
      </c>
      <c r="N27">
        <v>61286.85</v>
      </c>
      <c r="Q27">
        <v>202506</v>
      </c>
      <c r="R27" t="s">
        <v>93</v>
      </c>
    </row>
    <row r="28" spans="1:18" x14ac:dyDescent="0.2">
      <c r="A28" t="s">
        <v>155</v>
      </c>
      <c r="B28" s="61">
        <v>45826.865416666667</v>
      </c>
      <c r="C28" t="s">
        <v>93</v>
      </c>
      <c r="D28" t="s">
        <v>92</v>
      </c>
      <c r="F28" t="s">
        <v>98</v>
      </c>
      <c r="G28" t="s">
        <v>156</v>
      </c>
      <c r="H28" t="s">
        <v>100</v>
      </c>
      <c r="I28" t="s">
        <v>48</v>
      </c>
      <c r="J28" t="s">
        <v>101</v>
      </c>
      <c r="K28" t="s">
        <v>44</v>
      </c>
      <c r="L28">
        <v>378.69</v>
      </c>
      <c r="M28">
        <v>378.69</v>
      </c>
      <c r="N28">
        <v>60827.11</v>
      </c>
      <c r="Q28">
        <v>202506</v>
      </c>
      <c r="R28" t="s">
        <v>93</v>
      </c>
    </row>
    <row r="29" spans="1:18" x14ac:dyDescent="0.2">
      <c r="A29" t="s">
        <v>157</v>
      </c>
      <c r="B29" s="61">
        <v>45825.872777777775</v>
      </c>
      <c r="C29" t="s">
        <v>93</v>
      </c>
      <c r="D29" t="s">
        <v>92</v>
      </c>
      <c r="E29" t="s">
        <v>111</v>
      </c>
      <c r="F29" t="s">
        <v>98</v>
      </c>
      <c r="G29" t="s">
        <v>158</v>
      </c>
      <c r="H29" t="s">
        <v>100</v>
      </c>
      <c r="I29" t="s">
        <v>48</v>
      </c>
      <c r="J29" t="s">
        <v>101</v>
      </c>
      <c r="K29" t="s">
        <v>44</v>
      </c>
      <c r="L29">
        <v>510</v>
      </c>
      <c r="M29">
        <v>510</v>
      </c>
      <c r="N29">
        <v>60421.42</v>
      </c>
      <c r="Q29">
        <v>202506</v>
      </c>
      <c r="R29" t="s">
        <v>93</v>
      </c>
    </row>
    <row r="30" spans="1:18" x14ac:dyDescent="0.2">
      <c r="A30" t="s">
        <v>159</v>
      </c>
      <c r="B30" s="61">
        <v>45824.900266203702</v>
      </c>
      <c r="C30" t="s">
        <v>93</v>
      </c>
      <c r="D30" t="s">
        <v>92</v>
      </c>
      <c r="E30" t="s">
        <v>123</v>
      </c>
      <c r="F30" t="s">
        <v>98</v>
      </c>
      <c r="G30" t="s">
        <v>160</v>
      </c>
      <c r="H30" t="s">
        <v>100</v>
      </c>
      <c r="I30" t="s">
        <v>48</v>
      </c>
      <c r="J30" t="s">
        <v>101</v>
      </c>
      <c r="K30" t="s">
        <v>44</v>
      </c>
      <c r="L30">
        <v>432</v>
      </c>
      <c r="M30">
        <v>432</v>
      </c>
      <c r="N30">
        <v>59884.42</v>
      </c>
      <c r="Q30">
        <v>202506</v>
      </c>
      <c r="R30" t="s">
        <v>93</v>
      </c>
    </row>
    <row r="31" spans="1:18" x14ac:dyDescent="0.2">
      <c r="A31" t="s">
        <v>161</v>
      </c>
      <c r="B31" s="61">
        <v>45824.880960648145</v>
      </c>
      <c r="C31" t="s">
        <v>93</v>
      </c>
      <c r="D31" t="s">
        <v>92</v>
      </c>
      <c r="E31" t="s">
        <v>162</v>
      </c>
      <c r="F31" t="s">
        <v>98</v>
      </c>
      <c r="G31" t="s">
        <v>163</v>
      </c>
      <c r="H31" t="s">
        <v>100</v>
      </c>
      <c r="I31" t="s">
        <v>48</v>
      </c>
      <c r="J31" t="s">
        <v>101</v>
      </c>
      <c r="K31" t="s">
        <v>44</v>
      </c>
      <c r="L31">
        <v>264</v>
      </c>
      <c r="M31">
        <v>264</v>
      </c>
      <c r="N31">
        <v>59445.42</v>
      </c>
      <c r="Q31">
        <v>202506</v>
      </c>
      <c r="R31" t="s">
        <v>93</v>
      </c>
    </row>
    <row r="32" spans="1:18" x14ac:dyDescent="0.2">
      <c r="A32" t="s">
        <v>164</v>
      </c>
      <c r="B32" s="61">
        <v>45821.820150462961</v>
      </c>
      <c r="C32" t="s">
        <v>93</v>
      </c>
      <c r="D32" t="s">
        <v>92</v>
      </c>
      <c r="E32" t="s">
        <v>165</v>
      </c>
      <c r="F32" t="s">
        <v>98</v>
      </c>
      <c r="G32" t="s">
        <v>166</v>
      </c>
      <c r="H32" t="s">
        <v>100</v>
      </c>
      <c r="I32" t="s">
        <v>48</v>
      </c>
      <c r="J32" t="s">
        <v>101</v>
      </c>
      <c r="K32" t="s">
        <v>44</v>
      </c>
      <c r="L32">
        <v>18.28</v>
      </c>
      <c r="M32">
        <v>18.28</v>
      </c>
      <c r="N32">
        <v>59174.42</v>
      </c>
      <c r="Q32">
        <v>202506</v>
      </c>
      <c r="R32" t="s">
        <v>93</v>
      </c>
    </row>
    <row r="33" spans="1:18" x14ac:dyDescent="0.2">
      <c r="A33" t="s">
        <v>167</v>
      </c>
      <c r="B33" s="61">
        <v>45817.864733796298</v>
      </c>
      <c r="C33" t="s">
        <v>93</v>
      </c>
      <c r="D33" t="s">
        <v>92</v>
      </c>
      <c r="E33" t="s">
        <v>162</v>
      </c>
      <c r="F33" t="s">
        <v>98</v>
      </c>
      <c r="G33" t="s">
        <v>168</v>
      </c>
      <c r="H33" t="s">
        <v>100</v>
      </c>
      <c r="I33" t="s">
        <v>48</v>
      </c>
      <c r="J33" t="s">
        <v>101</v>
      </c>
      <c r="K33" t="s">
        <v>44</v>
      </c>
      <c r="L33">
        <v>570</v>
      </c>
      <c r="M33">
        <v>570</v>
      </c>
      <c r="N33">
        <v>59149.14</v>
      </c>
      <c r="Q33">
        <v>202506</v>
      </c>
      <c r="R33" t="s">
        <v>93</v>
      </c>
    </row>
    <row r="34" spans="1:18" x14ac:dyDescent="0.2">
      <c r="A34" t="s">
        <v>169</v>
      </c>
      <c r="B34" s="61">
        <v>45814.826747685183</v>
      </c>
      <c r="C34" t="s">
        <v>93</v>
      </c>
      <c r="D34" t="s">
        <v>92</v>
      </c>
      <c r="E34" t="s">
        <v>170</v>
      </c>
      <c r="F34" t="s">
        <v>98</v>
      </c>
      <c r="G34" t="s">
        <v>171</v>
      </c>
      <c r="H34" t="s">
        <v>100</v>
      </c>
      <c r="I34" t="s">
        <v>48</v>
      </c>
      <c r="J34" t="s">
        <v>101</v>
      </c>
      <c r="K34" t="s">
        <v>44</v>
      </c>
      <c r="L34">
        <v>576</v>
      </c>
      <c r="M34">
        <v>576</v>
      </c>
      <c r="N34">
        <v>58572.14</v>
      </c>
      <c r="Q34">
        <v>202506</v>
      </c>
      <c r="R34" t="s">
        <v>93</v>
      </c>
    </row>
    <row r="35" spans="1:18" x14ac:dyDescent="0.2">
      <c r="A35" t="s">
        <v>172</v>
      </c>
      <c r="B35" s="61">
        <v>45814.820914351854</v>
      </c>
      <c r="C35" t="s">
        <v>93</v>
      </c>
      <c r="D35" t="s">
        <v>92</v>
      </c>
      <c r="E35" t="s">
        <v>111</v>
      </c>
      <c r="F35" t="s">
        <v>98</v>
      </c>
      <c r="G35" t="s">
        <v>173</v>
      </c>
      <c r="H35" t="s">
        <v>100</v>
      </c>
      <c r="I35" t="s">
        <v>48</v>
      </c>
      <c r="J35" t="s">
        <v>101</v>
      </c>
      <c r="K35" t="s">
        <v>44</v>
      </c>
      <c r="L35">
        <v>432</v>
      </c>
      <c r="M35">
        <v>432</v>
      </c>
      <c r="N35">
        <v>57989.14</v>
      </c>
      <c r="Q35">
        <v>202506</v>
      </c>
      <c r="R35" t="s">
        <v>93</v>
      </c>
    </row>
    <row r="36" spans="1:18" x14ac:dyDescent="0.2">
      <c r="A36" t="s">
        <v>174</v>
      </c>
      <c r="B36" s="61">
        <v>45814.820648148147</v>
      </c>
      <c r="C36" t="s">
        <v>93</v>
      </c>
      <c r="D36" t="s">
        <v>92</v>
      </c>
      <c r="E36" t="s">
        <v>111</v>
      </c>
      <c r="F36" t="s">
        <v>98</v>
      </c>
      <c r="G36" t="s">
        <v>175</v>
      </c>
      <c r="H36" t="s">
        <v>100</v>
      </c>
      <c r="I36" t="s">
        <v>48</v>
      </c>
      <c r="J36" t="s">
        <v>101</v>
      </c>
      <c r="K36" t="s">
        <v>44</v>
      </c>
      <c r="L36">
        <v>294</v>
      </c>
      <c r="M36">
        <v>294</v>
      </c>
      <c r="N36">
        <v>57550.14</v>
      </c>
      <c r="Q36">
        <v>202506</v>
      </c>
      <c r="R36" t="s">
        <v>93</v>
      </c>
    </row>
    <row r="37" spans="1:18" x14ac:dyDescent="0.2">
      <c r="A37" t="s">
        <v>176</v>
      </c>
      <c r="B37" s="61">
        <v>45812.874965277777</v>
      </c>
      <c r="C37" t="s">
        <v>93</v>
      </c>
      <c r="D37" t="s">
        <v>92</v>
      </c>
      <c r="E37" t="s">
        <v>177</v>
      </c>
      <c r="F37" t="s">
        <v>98</v>
      </c>
      <c r="G37" t="s">
        <v>178</v>
      </c>
      <c r="H37" t="s">
        <v>100</v>
      </c>
      <c r="I37" t="s">
        <v>48</v>
      </c>
      <c r="J37" t="s">
        <v>101</v>
      </c>
      <c r="K37" t="s">
        <v>44</v>
      </c>
      <c r="L37">
        <v>27</v>
      </c>
      <c r="M37">
        <v>27</v>
      </c>
      <c r="N37">
        <v>57249.14</v>
      </c>
      <c r="Q37">
        <v>202506</v>
      </c>
      <c r="R37" t="s">
        <v>93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566D-C919-4FBF-9F5C-3A84B860D82C}">
  <sheetPr codeName="Sheet10"/>
  <dimension ref="A1:Q37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.75" bestFit="1" customWidth="1"/>
    <col min="2" max="2" width="19.625" customWidth="1"/>
    <col min="3" max="3" width="22.5" customWidth="1"/>
    <col min="4" max="4" width="37.375" customWidth="1"/>
    <col min="5" max="5" width="17.125" customWidth="1"/>
    <col min="12" max="12" width="9.375" bestFit="1" customWidth="1"/>
    <col min="13" max="13" width="10.5" bestFit="1" customWidth="1"/>
    <col min="14" max="14" width="10.625" bestFit="1" customWidth="1"/>
    <col min="17" max="17" width="9.375" bestFit="1" customWidth="1"/>
  </cols>
  <sheetData>
    <row r="1" spans="1:17" ht="15" x14ac:dyDescent="0.2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40</v>
      </c>
      <c r="Q1" s="25" t="s">
        <v>47</v>
      </c>
    </row>
    <row r="2" spans="1:17" x14ac:dyDescent="0.2">
      <c r="A2" t="s">
        <v>179</v>
      </c>
      <c r="B2" s="61">
        <v>45838.900821759256</v>
      </c>
      <c r="C2" t="s">
        <v>93</v>
      </c>
      <c r="D2" t="s">
        <v>92</v>
      </c>
      <c r="E2" t="s">
        <v>97</v>
      </c>
      <c r="F2" t="s">
        <v>98</v>
      </c>
      <c r="G2" t="s">
        <v>99</v>
      </c>
      <c r="H2" t="s">
        <v>180</v>
      </c>
      <c r="I2" t="s">
        <v>48</v>
      </c>
      <c r="J2" t="s">
        <v>101</v>
      </c>
      <c r="K2" t="s">
        <v>44</v>
      </c>
      <c r="L2">
        <v>7</v>
      </c>
      <c r="M2">
        <v>7</v>
      </c>
      <c r="N2">
        <v>72466.11</v>
      </c>
      <c r="Q2">
        <v>202506</v>
      </c>
    </row>
    <row r="3" spans="1:17" x14ac:dyDescent="0.2">
      <c r="A3" t="s">
        <v>181</v>
      </c>
      <c r="B3" s="61">
        <v>45838.891087962962</v>
      </c>
      <c r="C3" t="s">
        <v>93</v>
      </c>
      <c r="D3" t="s">
        <v>92</v>
      </c>
      <c r="F3" t="s">
        <v>98</v>
      </c>
      <c r="G3" t="s">
        <v>103</v>
      </c>
      <c r="H3" t="s">
        <v>180</v>
      </c>
      <c r="I3" t="s">
        <v>48</v>
      </c>
      <c r="J3" t="s">
        <v>101</v>
      </c>
      <c r="K3" t="s">
        <v>44</v>
      </c>
      <c r="L3">
        <v>7</v>
      </c>
      <c r="M3">
        <v>7</v>
      </c>
      <c r="N3">
        <v>72034.429999999993</v>
      </c>
      <c r="Q3">
        <v>202506</v>
      </c>
    </row>
    <row r="4" spans="1:17" x14ac:dyDescent="0.2">
      <c r="A4" t="s">
        <v>182</v>
      </c>
      <c r="B4" s="61">
        <v>45838.890393518515</v>
      </c>
      <c r="C4" t="s">
        <v>93</v>
      </c>
      <c r="D4" t="s">
        <v>92</v>
      </c>
      <c r="F4" t="s">
        <v>98</v>
      </c>
      <c r="G4" t="s">
        <v>105</v>
      </c>
      <c r="H4" t="s">
        <v>180</v>
      </c>
      <c r="I4" t="s">
        <v>48</v>
      </c>
      <c r="J4" t="s">
        <v>101</v>
      </c>
      <c r="K4" t="s">
        <v>44</v>
      </c>
      <c r="L4">
        <v>7</v>
      </c>
      <c r="M4">
        <v>7</v>
      </c>
      <c r="N4">
        <v>71669.429999999993</v>
      </c>
      <c r="Q4">
        <v>202506</v>
      </c>
    </row>
    <row r="5" spans="1:17" x14ac:dyDescent="0.2">
      <c r="A5" t="s">
        <v>183</v>
      </c>
      <c r="B5" s="61">
        <v>45838.888969907406</v>
      </c>
      <c r="C5" t="s">
        <v>93</v>
      </c>
      <c r="D5" t="s">
        <v>92</v>
      </c>
      <c r="F5" t="s">
        <v>98</v>
      </c>
      <c r="G5" t="s">
        <v>107</v>
      </c>
      <c r="H5" t="s">
        <v>180</v>
      </c>
      <c r="I5" t="s">
        <v>48</v>
      </c>
      <c r="J5" t="s">
        <v>101</v>
      </c>
      <c r="K5" t="s">
        <v>44</v>
      </c>
      <c r="L5">
        <v>7</v>
      </c>
      <c r="M5">
        <v>7</v>
      </c>
      <c r="N5">
        <v>71304.429999999993</v>
      </c>
      <c r="Q5">
        <v>202506</v>
      </c>
    </row>
    <row r="6" spans="1:17" x14ac:dyDescent="0.2">
      <c r="A6" t="s">
        <v>184</v>
      </c>
      <c r="B6" s="61">
        <v>45838.888333333336</v>
      </c>
      <c r="C6" t="s">
        <v>93</v>
      </c>
      <c r="D6" t="s">
        <v>92</v>
      </c>
      <c r="F6" t="s">
        <v>98</v>
      </c>
      <c r="G6" t="s">
        <v>109</v>
      </c>
      <c r="H6" t="s">
        <v>180</v>
      </c>
      <c r="I6" t="s">
        <v>48</v>
      </c>
      <c r="J6" t="s">
        <v>101</v>
      </c>
      <c r="K6" t="s">
        <v>44</v>
      </c>
      <c r="L6">
        <v>7</v>
      </c>
      <c r="M6">
        <v>7</v>
      </c>
      <c r="N6">
        <v>70939.429999999993</v>
      </c>
      <c r="Q6">
        <v>202506</v>
      </c>
    </row>
    <row r="7" spans="1:17" x14ac:dyDescent="0.2">
      <c r="A7" t="s">
        <v>185</v>
      </c>
      <c r="B7" s="61">
        <v>45838.880150462966</v>
      </c>
      <c r="C7" t="s">
        <v>93</v>
      </c>
      <c r="D7" t="s">
        <v>92</v>
      </c>
      <c r="E7" t="s">
        <v>111</v>
      </c>
      <c r="F7" t="s">
        <v>98</v>
      </c>
      <c r="G7" t="s">
        <v>112</v>
      </c>
      <c r="H7" t="s">
        <v>180</v>
      </c>
      <c r="I7" t="s">
        <v>48</v>
      </c>
      <c r="J7" t="s">
        <v>101</v>
      </c>
      <c r="K7" t="s">
        <v>44</v>
      </c>
      <c r="L7">
        <v>27</v>
      </c>
      <c r="M7">
        <v>27</v>
      </c>
      <c r="N7">
        <v>70574.429999999993</v>
      </c>
      <c r="Q7">
        <v>202506</v>
      </c>
    </row>
    <row r="8" spans="1:17" x14ac:dyDescent="0.2">
      <c r="A8" t="s">
        <v>186</v>
      </c>
      <c r="B8" s="61">
        <v>45835.844259259262</v>
      </c>
      <c r="C8" t="s">
        <v>93</v>
      </c>
      <c r="D8" t="s">
        <v>92</v>
      </c>
      <c r="E8" t="s">
        <v>111</v>
      </c>
      <c r="F8" t="s">
        <v>98</v>
      </c>
      <c r="G8" t="s">
        <v>114</v>
      </c>
      <c r="H8" t="s">
        <v>180</v>
      </c>
      <c r="I8" t="s">
        <v>48</v>
      </c>
      <c r="J8" t="s">
        <v>101</v>
      </c>
      <c r="K8" t="s">
        <v>44</v>
      </c>
      <c r="L8">
        <v>27</v>
      </c>
      <c r="M8">
        <v>27</v>
      </c>
      <c r="N8">
        <v>69966.23</v>
      </c>
      <c r="Q8">
        <v>202506</v>
      </c>
    </row>
    <row r="9" spans="1:17" x14ac:dyDescent="0.2">
      <c r="A9" t="s">
        <v>187</v>
      </c>
      <c r="B9" s="61">
        <v>45835.8440625</v>
      </c>
      <c r="C9" t="s">
        <v>93</v>
      </c>
      <c r="D9" t="s">
        <v>92</v>
      </c>
      <c r="F9" t="s">
        <v>98</v>
      </c>
      <c r="G9" t="s">
        <v>116</v>
      </c>
      <c r="H9" t="s">
        <v>180</v>
      </c>
      <c r="I9" t="s">
        <v>48</v>
      </c>
      <c r="J9" t="s">
        <v>101</v>
      </c>
      <c r="K9" t="s">
        <v>44</v>
      </c>
      <c r="L9">
        <v>7</v>
      </c>
      <c r="M9">
        <v>7</v>
      </c>
      <c r="N9">
        <v>69507.23</v>
      </c>
      <c r="Q9">
        <v>202506</v>
      </c>
    </row>
    <row r="10" spans="1:17" x14ac:dyDescent="0.2">
      <c r="A10" t="s">
        <v>188</v>
      </c>
      <c r="B10" s="61">
        <v>45835.843136574076</v>
      </c>
      <c r="C10" t="s">
        <v>93</v>
      </c>
      <c r="D10" t="s">
        <v>92</v>
      </c>
      <c r="F10" t="s">
        <v>98</v>
      </c>
      <c r="G10" t="s">
        <v>118</v>
      </c>
      <c r="H10" t="s">
        <v>180</v>
      </c>
      <c r="I10" t="s">
        <v>48</v>
      </c>
      <c r="J10" t="s">
        <v>101</v>
      </c>
      <c r="K10" t="s">
        <v>44</v>
      </c>
      <c r="L10">
        <v>7</v>
      </c>
      <c r="M10">
        <v>7</v>
      </c>
      <c r="N10">
        <v>69142.23</v>
      </c>
      <c r="Q10">
        <v>202506</v>
      </c>
    </row>
    <row r="11" spans="1:17" x14ac:dyDescent="0.2">
      <c r="A11" t="s">
        <v>189</v>
      </c>
      <c r="B11" s="61">
        <v>45835.841666666667</v>
      </c>
      <c r="C11" t="s">
        <v>93</v>
      </c>
      <c r="D11" t="s">
        <v>92</v>
      </c>
      <c r="E11" t="s">
        <v>120</v>
      </c>
      <c r="F11" t="s">
        <v>98</v>
      </c>
      <c r="G11" t="s">
        <v>121</v>
      </c>
      <c r="H11" t="s">
        <v>180</v>
      </c>
      <c r="I11" t="s">
        <v>48</v>
      </c>
      <c r="J11" t="s">
        <v>101</v>
      </c>
      <c r="K11" t="s">
        <v>44</v>
      </c>
      <c r="L11">
        <v>7</v>
      </c>
      <c r="M11">
        <v>7</v>
      </c>
      <c r="N11">
        <v>68777.23</v>
      </c>
      <c r="Q11">
        <v>202506</v>
      </c>
    </row>
    <row r="12" spans="1:17" x14ac:dyDescent="0.2">
      <c r="A12" t="s">
        <v>190</v>
      </c>
      <c r="B12" s="61">
        <v>45835.812326388892</v>
      </c>
      <c r="C12" t="s">
        <v>93</v>
      </c>
      <c r="D12" t="s">
        <v>92</v>
      </c>
      <c r="E12" t="s">
        <v>123</v>
      </c>
      <c r="F12" t="s">
        <v>98</v>
      </c>
      <c r="G12" t="s">
        <v>124</v>
      </c>
      <c r="H12" t="s">
        <v>180</v>
      </c>
      <c r="I12" t="s">
        <v>48</v>
      </c>
      <c r="J12" t="s">
        <v>101</v>
      </c>
      <c r="K12" t="s">
        <v>44</v>
      </c>
      <c r="L12">
        <v>27</v>
      </c>
      <c r="M12">
        <v>27</v>
      </c>
      <c r="N12">
        <v>68091.149999999994</v>
      </c>
      <c r="Q12">
        <v>202506</v>
      </c>
    </row>
    <row r="13" spans="1:17" x14ac:dyDescent="0.2">
      <c r="A13" t="s">
        <v>191</v>
      </c>
      <c r="B13" s="61">
        <v>45835.812303240738</v>
      </c>
      <c r="C13" t="s">
        <v>93</v>
      </c>
      <c r="D13" t="s">
        <v>92</v>
      </c>
      <c r="E13" t="s">
        <v>123</v>
      </c>
      <c r="F13" t="s">
        <v>98</v>
      </c>
      <c r="G13" t="s">
        <v>126</v>
      </c>
      <c r="H13" t="s">
        <v>180</v>
      </c>
      <c r="I13" t="s">
        <v>48</v>
      </c>
      <c r="J13" t="s">
        <v>101</v>
      </c>
      <c r="K13" t="s">
        <v>44</v>
      </c>
      <c r="L13">
        <v>27</v>
      </c>
      <c r="M13">
        <v>27</v>
      </c>
      <c r="N13">
        <v>66831.490000000005</v>
      </c>
      <c r="Q13">
        <v>202506</v>
      </c>
    </row>
    <row r="14" spans="1:17" x14ac:dyDescent="0.2">
      <c r="A14" t="s">
        <v>192</v>
      </c>
      <c r="B14" s="61">
        <v>45834.902870370373</v>
      </c>
      <c r="C14" t="s">
        <v>93</v>
      </c>
      <c r="D14" t="s">
        <v>92</v>
      </c>
      <c r="F14" t="s">
        <v>98</v>
      </c>
      <c r="G14" t="s">
        <v>128</v>
      </c>
      <c r="H14" t="s">
        <v>180</v>
      </c>
      <c r="I14" t="s">
        <v>48</v>
      </c>
      <c r="J14" t="s">
        <v>101</v>
      </c>
      <c r="K14" t="s">
        <v>44</v>
      </c>
      <c r="L14">
        <v>7</v>
      </c>
      <c r="M14">
        <v>7</v>
      </c>
      <c r="N14">
        <v>74634.240000000005</v>
      </c>
      <c r="Q14">
        <v>202506</v>
      </c>
    </row>
    <row r="15" spans="1:17" x14ac:dyDescent="0.2">
      <c r="A15" t="s">
        <v>193</v>
      </c>
      <c r="B15" s="61">
        <v>45834.901273148149</v>
      </c>
      <c r="C15" t="s">
        <v>93</v>
      </c>
      <c r="D15" t="s">
        <v>92</v>
      </c>
      <c r="F15" t="s">
        <v>98</v>
      </c>
      <c r="G15" t="s">
        <v>130</v>
      </c>
      <c r="H15" t="s">
        <v>180</v>
      </c>
      <c r="I15" t="s">
        <v>48</v>
      </c>
      <c r="J15" t="s">
        <v>101</v>
      </c>
      <c r="K15" t="s">
        <v>44</v>
      </c>
      <c r="L15">
        <v>7</v>
      </c>
      <c r="M15">
        <v>7</v>
      </c>
      <c r="N15">
        <v>74269.240000000005</v>
      </c>
      <c r="Q15">
        <v>202506</v>
      </c>
    </row>
    <row r="16" spans="1:17" x14ac:dyDescent="0.2">
      <c r="A16" t="s">
        <v>194</v>
      </c>
      <c r="B16" s="61">
        <v>45834.900196759256</v>
      </c>
      <c r="C16" t="s">
        <v>93</v>
      </c>
      <c r="D16" t="s">
        <v>92</v>
      </c>
      <c r="F16" t="s">
        <v>98</v>
      </c>
      <c r="G16" t="s">
        <v>132</v>
      </c>
      <c r="H16" t="s">
        <v>180</v>
      </c>
      <c r="I16" t="s">
        <v>48</v>
      </c>
      <c r="J16" t="s">
        <v>101</v>
      </c>
      <c r="K16" t="s">
        <v>44</v>
      </c>
      <c r="L16">
        <v>7</v>
      </c>
      <c r="M16">
        <v>7</v>
      </c>
      <c r="N16">
        <v>73904.240000000005</v>
      </c>
      <c r="Q16">
        <v>202506</v>
      </c>
    </row>
    <row r="17" spans="1:17" x14ac:dyDescent="0.2">
      <c r="A17" t="s">
        <v>195</v>
      </c>
      <c r="B17" s="61">
        <v>45834.896990740737</v>
      </c>
      <c r="C17" t="s">
        <v>93</v>
      </c>
      <c r="D17" t="s">
        <v>92</v>
      </c>
      <c r="F17" t="s">
        <v>98</v>
      </c>
      <c r="G17" t="s">
        <v>134</v>
      </c>
      <c r="H17" t="s">
        <v>180</v>
      </c>
      <c r="I17" t="s">
        <v>48</v>
      </c>
      <c r="J17" t="s">
        <v>101</v>
      </c>
      <c r="K17" t="s">
        <v>44</v>
      </c>
      <c r="L17">
        <v>7</v>
      </c>
      <c r="M17">
        <v>7</v>
      </c>
      <c r="N17">
        <v>73539.240000000005</v>
      </c>
      <c r="Q17">
        <v>202506</v>
      </c>
    </row>
    <row r="18" spans="1:17" x14ac:dyDescent="0.2">
      <c r="A18" t="s">
        <v>196</v>
      </c>
      <c r="B18" s="61">
        <v>45834.888159722221</v>
      </c>
      <c r="C18" t="s">
        <v>93</v>
      </c>
      <c r="D18" t="s">
        <v>92</v>
      </c>
      <c r="E18" t="s">
        <v>123</v>
      </c>
      <c r="F18" t="s">
        <v>98</v>
      </c>
      <c r="G18" t="s">
        <v>136</v>
      </c>
      <c r="H18" t="s">
        <v>180</v>
      </c>
      <c r="I18" t="s">
        <v>48</v>
      </c>
      <c r="J18" t="s">
        <v>101</v>
      </c>
      <c r="K18" t="s">
        <v>44</v>
      </c>
      <c r="L18">
        <v>16</v>
      </c>
      <c r="M18">
        <v>16</v>
      </c>
      <c r="N18">
        <v>73174.240000000005</v>
      </c>
      <c r="Q18">
        <v>202506</v>
      </c>
    </row>
    <row r="19" spans="1:17" x14ac:dyDescent="0.2">
      <c r="A19" t="s">
        <v>197</v>
      </c>
      <c r="B19" s="61">
        <v>45834.883750000001</v>
      </c>
      <c r="C19" t="s">
        <v>93</v>
      </c>
      <c r="D19" t="s">
        <v>92</v>
      </c>
      <c r="E19" t="s">
        <v>111</v>
      </c>
      <c r="F19" t="s">
        <v>98</v>
      </c>
      <c r="G19" t="s">
        <v>138</v>
      </c>
      <c r="H19" t="s">
        <v>180</v>
      </c>
      <c r="I19" t="s">
        <v>48</v>
      </c>
      <c r="J19" t="s">
        <v>101</v>
      </c>
      <c r="K19" t="s">
        <v>44</v>
      </c>
      <c r="L19">
        <v>7</v>
      </c>
      <c r="M19">
        <v>7</v>
      </c>
      <c r="N19">
        <v>71918.77</v>
      </c>
      <c r="Q19">
        <v>202506</v>
      </c>
    </row>
    <row r="20" spans="1:17" x14ac:dyDescent="0.2">
      <c r="A20" t="s">
        <v>198</v>
      </c>
      <c r="B20" s="61">
        <v>45834.883171296293</v>
      </c>
      <c r="C20" t="s">
        <v>93</v>
      </c>
      <c r="D20" t="s">
        <v>92</v>
      </c>
      <c r="F20" t="s">
        <v>98</v>
      </c>
      <c r="G20" t="s">
        <v>140</v>
      </c>
      <c r="H20" t="s">
        <v>180</v>
      </c>
      <c r="I20" t="s">
        <v>48</v>
      </c>
      <c r="J20" t="s">
        <v>101</v>
      </c>
      <c r="K20" t="s">
        <v>44</v>
      </c>
      <c r="L20">
        <v>7</v>
      </c>
      <c r="M20">
        <v>7</v>
      </c>
      <c r="N20">
        <v>71884.77</v>
      </c>
      <c r="Q20">
        <v>202506</v>
      </c>
    </row>
    <row r="21" spans="1:17" x14ac:dyDescent="0.2">
      <c r="A21" t="s">
        <v>199</v>
      </c>
      <c r="B21" s="61">
        <v>45834.879490740743</v>
      </c>
      <c r="C21" t="s">
        <v>93</v>
      </c>
      <c r="D21" t="s">
        <v>92</v>
      </c>
      <c r="F21" t="s">
        <v>98</v>
      </c>
      <c r="G21" t="s">
        <v>142</v>
      </c>
      <c r="H21" t="s">
        <v>180</v>
      </c>
      <c r="I21" t="s">
        <v>48</v>
      </c>
      <c r="J21" t="s">
        <v>101</v>
      </c>
      <c r="K21" t="s">
        <v>44</v>
      </c>
      <c r="L21">
        <v>7</v>
      </c>
      <c r="M21">
        <v>7</v>
      </c>
      <c r="N21">
        <v>71519.77</v>
      </c>
      <c r="Q21">
        <v>202506</v>
      </c>
    </row>
    <row r="22" spans="1:17" x14ac:dyDescent="0.2">
      <c r="A22" t="s">
        <v>200</v>
      </c>
      <c r="B22" s="61">
        <v>45834.439953703702</v>
      </c>
      <c r="C22" t="s">
        <v>93</v>
      </c>
      <c r="D22" t="s">
        <v>92</v>
      </c>
      <c r="F22" t="s">
        <v>98</v>
      </c>
      <c r="G22" t="s">
        <v>144</v>
      </c>
      <c r="H22" t="s">
        <v>180</v>
      </c>
      <c r="I22" t="s">
        <v>48</v>
      </c>
      <c r="J22" t="s">
        <v>101</v>
      </c>
      <c r="K22" t="s">
        <v>44</v>
      </c>
      <c r="L22">
        <v>7</v>
      </c>
      <c r="M22">
        <v>7</v>
      </c>
      <c r="N22">
        <v>71154.77</v>
      </c>
      <c r="Q22">
        <v>202506</v>
      </c>
    </row>
    <row r="23" spans="1:17" x14ac:dyDescent="0.2">
      <c r="A23" t="s">
        <v>201</v>
      </c>
      <c r="B23" s="61">
        <v>45833.881539351853</v>
      </c>
      <c r="C23" t="s">
        <v>93</v>
      </c>
      <c r="D23" t="s">
        <v>92</v>
      </c>
      <c r="F23" t="s">
        <v>98</v>
      </c>
      <c r="G23" t="s">
        <v>146</v>
      </c>
      <c r="H23" t="s">
        <v>180</v>
      </c>
      <c r="I23" t="s">
        <v>48</v>
      </c>
      <c r="J23" t="s">
        <v>101</v>
      </c>
      <c r="K23" t="s">
        <v>44</v>
      </c>
      <c r="L23">
        <v>7</v>
      </c>
      <c r="M23">
        <v>7</v>
      </c>
      <c r="N23">
        <v>70789.77</v>
      </c>
      <c r="Q23">
        <v>202506</v>
      </c>
    </row>
    <row r="24" spans="1:17" x14ac:dyDescent="0.2">
      <c r="A24" t="s">
        <v>202</v>
      </c>
      <c r="B24" s="61">
        <v>45833.879201388889</v>
      </c>
      <c r="C24" t="s">
        <v>93</v>
      </c>
      <c r="D24" t="s">
        <v>92</v>
      </c>
      <c r="F24" t="s">
        <v>98</v>
      </c>
      <c r="G24" t="s">
        <v>148</v>
      </c>
      <c r="H24" t="s">
        <v>180</v>
      </c>
      <c r="I24" t="s">
        <v>48</v>
      </c>
      <c r="J24" t="s">
        <v>101</v>
      </c>
      <c r="K24" t="s">
        <v>44</v>
      </c>
      <c r="L24">
        <v>7</v>
      </c>
      <c r="M24">
        <v>7</v>
      </c>
      <c r="N24">
        <v>70424.77</v>
      </c>
      <c r="Q24">
        <v>202506</v>
      </c>
    </row>
    <row r="25" spans="1:17" x14ac:dyDescent="0.2">
      <c r="A25" t="s">
        <v>203</v>
      </c>
      <c r="B25" s="61">
        <v>45833.873344907406</v>
      </c>
      <c r="C25" t="s">
        <v>93</v>
      </c>
      <c r="D25" t="s">
        <v>92</v>
      </c>
      <c r="F25" t="s">
        <v>98</v>
      </c>
      <c r="G25" t="s">
        <v>150</v>
      </c>
      <c r="H25" t="s">
        <v>180</v>
      </c>
      <c r="I25" t="s">
        <v>48</v>
      </c>
      <c r="J25" t="s">
        <v>101</v>
      </c>
      <c r="K25" t="s">
        <v>44</v>
      </c>
      <c r="L25">
        <v>7</v>
      </c>
      <c r="M25">
        <v>7</v>
      </c>
      <c r="N25">
        <v>70059.77</v>
      </c>
      <c r="Q25">
        <v>202506</v>
      </c>
    </row>
    <row r="26" spans="1:17" x14ac:dyDescent="0.2">
      <c r="A26" t="s">
        <v>204</v>
      </c>
      <c r="B26" s="61">
        <v>45827.869293981479</v>
      </c>
      <c r="C26" t="s">
        <v>93</v>
      </c>
      <c r="D26" t="s">
        <v>92</v>
      </c>
      <c r="E26" t="s">
        <v>97</v>
      </c>
      <c r="F26" t="s">
        <v>98</v>
      </c>
      <c r="G26" t="s">
        <v>152</v>
      </c>
      <c r="H26" t="s">
        <v>180</v>
      </c>
      <c r="I26" t="s">
        <v>48</v>
      </c>
      <c r="J26" t="s">
        <v>101</v>
      </c>
      <c r="K26" t="s">
        <v>44</v>
      </c>
      <c r="L26">
        <v>27</v>
      </c>
      <c r="M26">
        <v>27</v>
      </c>
      <c r="N26">
        <v>61773.59</v>
      </c>
      <c r="Q26">
        <v>202506</v>
      </c>
    </row>
    <row r="27" spans="1:17" x14ac:dyDescent="0.2">
      <c r="A27" t="s">
        <v>205</v>
      </c>
      <c r="B27" s="61">
        <v>45827.868449074071</v>
      </c>
      <c r="C27" t="s">
        <v>93</v>
      </c>
      <c r="D27" t="s">
        <v>92</v>
      </c>
      <c r="E27" t="s">
        <v>97</v>
      </c>
      <c r="F27" t="s">
        <v>98</v>
      </c>
      <c r="G27" t="s">
        <v>154</v>
      </c>
      <c r="H27" t="s">
        <v>180</v>
      </c>
      <c r="I27" t="s">
        <v>48</v>
      </c>
      <c r="J27" t="s">
        <v>101</v>
      </c>
      <c r="K27" t="s">
        <v>44</v>
      </c>
      <c r="L27">
        <v>27</v>
      </c>
      <c r="M27">
        <v>27</v>
      </c>
      <c r="N27">
        <v>61313.85</v>
      </c>
      <c r="Q27">
        <v>202506</v>
      </c>
    </row>
    <row r="28" spans="1:17" x14ac:dyDescent="0.2">
      <c r="A28" t="s">
        <v>206</v>
      </c>
      <c r="B28" s="61">
        <v>45826.865416666667</v>
      </c>
      <c r="C28" t="s">
        <v>93</v>
      </c>
      <c r="D28" t="s">
        <v>92</v>
      </c>
      <c r="F28" t="s">
        <v>98</v>
      </c>
      <c r="G28" t="s">
        <v>156</v>
      </c>
      <c r="H28" t="s">
        <v>180</v>
      </c>
      <c r="I28" t="s">
        <v>48</v>
      </c>
      <c r="J28" t="s">
        <v>101</v>
      </c>
      <c r="K28" t="s">
        <v>44</v>
      </c>
      <c r="L28">
        <v>27</v>
      </c>
      <c r="M28">
        <v>27</v>
      </c>
      <c r="N28">
        <v>60854.11</v>
      </c>
      <c r="Q28">
        <v>202506</v>
      </c>
    </row>
    <row r="29" spans="1:17" x14ac:dyDescent="0.2">
      <c r="A29" t="s">
        <v>207</v>
      </c>
      <c r="B29" s="61">
        <v>45825.872777777775</v>
      </c>
      <c r="C29" t="s">
        <v>93</v>
      </c>
      <c r="D29" t="s">
        <v>92</v>
      </c>
      <c r="E29" t="s">
        <v>111</v>
      </c>
      <c r="F29" t="s">
        <v>98</v>
      </c>
      <c r="G29" t="s">
        <v>158</v>
      </c>
      <c r="H29" t="s">
        <v>180</v>
      </c>
      <c r="I29" t="s">
        <v>48</v>
      </c>
      <c r="J29" t="s">
        <v>101</v>
      </c>
      <c r="K29" t="s">
        <v>44</v>
      </c>
      <c r="L29">
        <v>27</v>
      </c>
      <c r="M29">
        <v>27</v>
      </c>
      <c r="N29">
        <v>60448.42</v>
      </c>
      <c r="Q29">
        <v>202506</v>
      </c>
    </row>
    <row r="30" spans="1:17" x14ac:dyDescent="0.2">
      <c r="A30" t="s">
        <v>208</v>
      </c>
      <c r="B30" s="61">
        <v>45824.900266203702</v>
      </c>
      <c r="C30" t="s">
        <v>93</v>
      </c>
      <c r="D30" t="s">
        <v>92</v>
      </c>
      <c r="E30" t="s">
        <v>123</v>
      </c>
      <c r="F30" t="s">
        <v>98</v>
      </c>
      <c r="G30" t="s">
        <v>160</v>
      </c>
      <c r="H30" t="s">
        <v>180</v>
      </c>
      <c r="I30" t="s">
        <v>48</v>
      </c>
      <c r="J30" t="s">
        <v>101</v>
      </c>
      <c r="K30" t="s">
        <v>44</v>
      </c>
      <c r="L30">
        <v>27</v>
      </c>
      <c r="M30">
        <v>27</v>
      </c>
      <c r="N30">
        <v>59911.42</v>
      </c>
      <c r="Q30">
        <v>202506</v>
      </c>
    </row>
    <row r="31" spans="1:17" x14ac:dyDescent="0.2">
      <c r="A31" t="s">
        <v>209</v>
      </c>
      <c r="B31" s="61">
        <v>45824.880960648145</v>
      </c>
      <c r="C31" t="s">
        <v>93</v>
      </c>
      <c r="D31" t="s">
        <v>92</v>
      </c>
      <c r="E31" t="s">
        <v>162</v>
      </c>
      <c r="F31" t="s">
        <v>98</v>
      </c>
      <c r="G31" t="s">
        <v>163</v>
      </c>
      <c r="H31" t="s">
        <v>180</v>
      </c>
      <c r="I31" t="s">
        <v>48</v>
      </c>
      <c r="J31" t="s">
        <v>101</v>
      </c>
      <c r="K31" t="s">
        <v>44</v>
      </c>
      <c r="L31">
        <v>7</v>
      </c>
      <c r="M31">
        <v>7</v>
      </c>
      <c r="N31">
        <v>59452.42</v>
      </c>
      <c r="Q31">
        <v>202506</v>
      </c>
    </row>
    <row r="32" spans="1:17" x14ac:dyDescent="0.2">
      <c r="A32" t="s">
        <v>210</v>
      </c>
      <c r="B32" s="61">
        <v>45821.820150462961</v>
      </c>
      <c r="C32" t="s">
        <v>93</v>
      </c>
      <c r="D32" t="s">
        <v>92</v>
      </c>
      <c r="E32" t="s">
        <v>165</v>
      </c>
      <c r="F32" t="s">
        <v>98</v>
      </c>
      <c r="G32" t="s">
        <v>166</v>
      </c>
      <c r="H32" t="s">
        <v>180</v>
      </c>
      <c r="I32" t="s">
        <v>48</v>
      </c>
      <c r="J32" t="s">
        <v>101</v>
      </c>
      <c r="K32" t="s">
        <v>44</v>
      </c>
      <c r="L32">
        <v>7</v>
      </c>
      <c r="M32">
        <v>7</v>
      </c>
      <c r="N32">
        <v>59181.42</v>
      </c>
      <c r="Q32">
        <v>202506</v>
      </c>
    </row>
    <row r="33" spans="1:17" x14ac:dyDescent="0.2">
      <c r="A33" t="s">
        <v>211</v>
      </c>
      <c r="B33" s="61">
        <v>45817.864733796298</v>
      </c>
      <c r="C33" t="s">
        <v>93</v>
      </c>
      <c r="D33" t="s">
        <v>92</v>
      </c>
      <c r="E33" t="s">
        <v>162</v>
      </c>
      <c r="F33" t="s">
        <v>98</v>
      </c>
      <c r="G33" t="s">
        <v>168</v>
      </c>
      <c r="H33" t="s">
        <v>180</v>
      </c>
      <c r="I33" t="s">
        <v>48</v>
      </c>
      <c r="J33" t="s">
        <v>101</v>
      </c>
      <c r="K33" t="s">
        <v>44</v>
      </c>
      <c r="L33">
        <v>7</v>
      </c>
      <c r="M33">
        <v>7</v>
      </c>
      <c r="N33">
        <v>59156.14</v>
      </c>
      <c r="Q33">
        <v>202506</v>
      </c>
    </row>
    <row r="34" spans="1:17" x14ac:dyDescent="0.2">
      <c r="A34" t="s">
        <v>212</v>
      </c>
      <c r="B34" s="61">
        <v>45814.826747685183</v>
      </c>
      <c r="C34" t="s">
        <v>93</v>
      </c>
      <c r="D34" t="s">
        <v>92</v>
      </c>
      <c r="E34" t="s">
        <v>170</v>
      </c>
      <c r="F34" t="s">
        <v>98</v>
      </c>
      <c r="G34" t="s">
        <v>171</v>
      </c>
      <c r="H34" t="s">
        <v>180</v>
      </c>
      <c r="I34" t="s">
        <v>48</v>
      </c>
      <c r="J34" t="s">
        <v>101</v>
      </c>
      <c r="K34" t="s">
        <v>44</v>
      </c>
      <c r="L34">
        <v>7</v>
      </c>
      <c r="M34">
        <v>7</v>
      </c>
      <c r="N34">
        <v>58579.14</v>
      </c>
      <c r="Q34">
        <v>202506</v>
      </c>
    </row>
    <row r="35" spans="1:17" x14ac:dyDescent="0.2">
      <c r="A35" t="s">
        <v>213</v>
      </c>
      <c r="B35" s="61">
        <v>45814.820914351854</v>
      </c>
      <c r="C35" t="s">
        <v>93</v>
      </c>
      <c r="D35" t="s">
        <v>92</v>
      </c>
      <c r="E35" t="s">
        <v>111</v>
      </c>
      <c r="F35" t="s">
        <v>98</v>
      </c>
      <c r="G35" t="s">
        <v>173</v>
      </c>
      <c r="H35" t="s">
        <v>180</v>
      </c>
      <c r="I35" t="s">
        <v>48</v>
      </c>
      <c r="J35" t="s">
        <v>101</v>
      </c>
      <c r="K35" t="s">
        <v>44</v>
      </c>
      <c r="L35">
        <v>7</v>
      </c>
      <c r="M35">
        <v>7</v>
      </c>
      <c r="N35">
        <v>57996.14</v>
      </c>
      <c r="Q35">
        <v>202506</v>
      </c>
    </row>
    <row r="36" spans="1:17" x14ac:dyDescent="0.2">
      <c r="A36" t="s">
        <v>214</v>
      </c>
      <c r="B36" s="61">
        <v>45814.820648148147</v>
      </c>
      <c r="C36" t="s">
        <v>93</v>
      </c>
      <c r="D36" t="s">
        <v>92</v>
      </c>
      <c r="E36" t="s">
        <v>111</v>
      </c>
      <c r="F36" t="s">
        <v>98</v>
      </c>
      <c r="G36" t="s">
        <v>175</v>
      </c>
      <c r="H36" t="s">
        <v>180</v>
      </c>
      <c r="I36" t="s">
        <v>48</v>
      </c>
      <c r="J36" t="s">
        <v>101</v>
      </c>
      <c r="K36" t="s">
        <v>44</v>
      </c>
      <c r="L36">
        <v>7</v>
      </c>
      <c r="M36">
        <v>7</v>
      </c>
      <c r="N36">
        <v>57557.14</v>
      </c>
      <c r="Q36">
        <v>202506</v>
      </c>
    </row>
    <row r="37" spans="1:17" x14ac:dyDescent="0.2">
      <c r="A37" t="s">
        <v>215</v>
      </c>
      <c r="B37" s="61">
        <v>45812.874965277777</v>
      </c>
      <c r="C37" t="s">
        <v>93</v>
      </c>
      <c r="D37" t="s">
        <v>92</v>
      </c>
      <c r="E37" t="s">
        <v>177</v>
      </c>
      <c r="F37" t="s">
        <v>98</v>
      </c>
      <c r="G37" t="s">
        <v>178</v>
      </c>
      <c r="H37" t="s">
        <v>180</v>
      </c>
      <c r="I37" t="s">
        <v>48</v>
      </c>
      <c r="J37" t="s">
        <v>101</v>
      </c>
      <c r="K37" t="s">
        <v>44</v>
      </c>
      <c r="L37">
        <v>7</v>
      </c>
      <c r="M37">
        <v>7</v>
      </c>
      <c r="N37">
        <v>57256.14</v>
      </c>
      <c r="Q37">
        <v>202506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745B-7823-4614-BBA7-04B928124527}">
  <sheetPr codeName="Sheet11"/>
  <dimension ref="A1:L110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3.375" customWidth="1"/>
    <col min="2" max="2" width="22.375" customWidth="1"/>
    <col min="3" max="3" width="13.5" customWidth="1"/>
    <col min="4" max="4" width="20.875" bestFit="1" customWidth="1"/>
    <col min="5" max="5" width="18" customWidth="1"/>
    <col min="6" max="6" width="16.875" bestFit="1" customWidth="1"/>
    <col min="7" max="7" width="18.375" bestFit="1" customWidth="1"/>
    <col min="8" max="8" width="9.625" bestFit="1" customWidth="1"/>
    <col min="9" max="9" width="16.125" bestFit="1" customWidth="1"/>
    <col min="10" max="10" width="11.25" customWidth="1"/>
    <col min="11" max="11" width="15" customWidth="1"/>
    <col min="12" max="12" width="7.875" bestFit="1" customWidth="1"/>
  </cols>
  <sheetData>
    <row r="1" spans="1:12" ht="15" x14ac:dyDescent="0.25">
      <c r="A1" s="24" t="s">
        <v>1</v>
      </c>
      <c r="B1" s="24" t="s">
        <v>0</v>
      </c>
      <c r="C1" s="23" t="s">
        <v>29</v>
      </c>
      <c r="D1" s="23" t="s">
        <v>31</v>
      </c>
      <c r="E1" s="23" t="s">
        <v>32</v>
      </c>
      <c r="F1" s="23" t="s">
        <v>33</v>
      </c>
      <c r="G1" s="23" t="s">
        <v>34</v>
      </c>
      <c r="H1" s="23" t="s">
        <v>35</v>
      </c>
      <c r="I1" s="23" t="s">
        <v>36</v>
      </c>
      <c r="J1" s="23" t="s">
        <v>37</v>
      </c>
      <c r="K1" s="23" t="s">
        <v>40</v>
      </c>
      <c r="L1" s="25" t="s">
        <v>47</v>
      </c>
    </row>
    <row r="2" spans="1:12" x14ac:dyDescent="0.2">
      <c r="A2" t="s">
        <v>93</v>
      </c>
      <c r="B2" t="s">
        <v>92</v>
      </c>
      <c r="C2" t="s">
        <v>92</v>
      </c>
      <c r="D2" t="s">
        <v>216</v>
      </c>
      <c r="E2" t="s">
        <v>49</v>
      </c>
      <c r="F2" t="s">
        <v>48</v>
      </c>
      <c r="G2" t="s">
        <v>43</v>
      </c>
      <c r="H2" t="s">
        <v>44</v>
      </c>
      <c r="I2">
        <v>16.2</v>
      </c>
      <c r="J2">
        <v>16.2</v>
      </c>
      <c r="L2">
        <v>202505</v>
      </c>
    </row>
    <row r="3" spans="1:12" x14ac:dyDescent="0.2">
      <c r="A3" t="s">
        <v>93</v>
      </c>
      <c r="B3" t="s">
        <v>92</v>
      </c>
      <c r="C3" t="s">
        <v>92</v>
      </c>
      <c r="D3" t="s">
        <v>217</v>
      </c>
      <c r="E3" t="s">
        <v>49</v>
      </c>
      <c r="F3" t="s">
        <v>48</v>
      </c>
      <c r="G3" t="s">
        <v>43</v>
      </c>
      <c r="H3" t="s">
        <v>44</v>
      </c>
      <c r="I3">
        <v>16.2</v>
      </c>
      <c r="J3">
        <v>16.2</v>
      </c>
      <c r="L3">
        <v>202505</v>
      </c>
    </row>
    <row r="4" spans="1:12" x14ac:dyDescent="0.2">
      <c r="A4" t="s">
        <v>93</v>
      </c>
      <c r="B4" t="s">
        <v>92</v>
      </c>
      <c r="C4" t="s">
        <v>177</v>
      </c>
      <c r="D4" t="s">
        <v>218</v>
      </c>
      <c r="E4" t="s">
        <v>49</v>
      </c>
      <c r="F4" t="s">
        <v>48</v>
      </c>
      <c r="G4" t="s">
        <v>43</v>
      </c>
      <c r="H4" t="s">
        <v>44</v>
      </c>
      <c r="I4">
        <v>1.4000000000000001</v>
      </c>
      <c r="J4">
        <v>1.4000000000000001</v>
      </c>
      <c r="L4">
        <v>202505</v>
      </c>
    </row>
    <row r="5" spans="1:12" x14ac:dyDescent="0.2">
      <c r="A5" t="s">
        <v>93</v>
      </c>
      <c r="B5" t="s">
        <v>92</v>
      </c>
      <c r="C5" t="s">
        <v>177</v>
      </c>
      <c r="D5" t="s">
        <v>219</v>
      </c>
      <c r="E5" t="s">
        <v>49</v>
      </c>
      <c r="F5" t="s">
        <v>48</v>
      </c>
      <c r="G5" t="s">
        <v>43</v>
      </c>
      <c r="H5" t="s">
        <v>44</v>
      </c>
      <c r="I5">
        <v>1.4000000000000001</v>
      </c>
      <c r="J5">
        <v>1.4000000000000001</v>
      </c>
      <c r="L5">
        <v>202505</v>
      </c>
    </row>
    <row r="6" spans="1:12" x14ac:dyDescent="0.2">
      <c r="A6" t="s">
        <v>93</v>
      </c>
      <c r="B6" t="s">
        <v>92</v>
      </c>
      <c r="C6" t="s">
        <v>177</v>
      </c>
      <c r="D6" t="s">
        <v>220</v>
      </c>
      <c r="E6" t="s">
        <v>49</v>
      </c>
      <c r="F6" t="s">
        <v>48</v>
      </c>
      <c r="G6" t="s">
        <v>43</v>
      </c>
      <c r="H6" t="s">
        <v>44</v>
      </c>
      <c r="I6">
        <v>1.4000000000000001</v>
      </c>
      <c r="J6">
        <v>1.4000000000000001</v>
      </c>
      <c r="L6">
        <v>202505</v>
      </c>
    </row>
    <row r="7" spans="1:12" x14ac:dyDescent="0.2">
      <c r="A7" t="s">
        <v>93</v>
      </c>
      <c r="B7" t="s">
        <v>92</v>
      </c>
      <c r="C7" t="s">
        <v>221</v>
      </c>
      <c r="D7" t="s">
        <v>222</v>
      </c>
      <c r="E7" t="s">
        <v>49</v>
      </c>
      <c r="F7" t="s">
        <v>48</v>
      </c>
      <c r="G7" t="s">
        <v>43</v>
      </c>
      <c r="H7" t="s">
        <v>44</v>
      </c>
      <c r="I7">
        <v>4.2</v>
      </c>
      <c r="J7">
        <v>4.2</v>
      </c>
      <c r="L7">
        <v>202505</v>
      </c>
    </row>
    <row r="8" spans="1:12" x14ac:dyDescent="0.2">
      <c r="A8" t="s">
        <v>93</v>
      </c>
      <c r="B8" t="s">
        <v>92</v>
      </c>
      <c r="C8" t="s">
        <v>221</v>
      </c>
      <c r="D8" t="s">
        <v>223</v>
      </c>
      <c r="E8" t="s">
        <v>49</v>
      </c>
      <c r="F8" t="s">
        <v>48</v>
      </c>
      <c r="G8" t="s">
        <v>43</v>
      </c>
      <c r="H8" t="s">
        <v>44</v>
      </c>
      <c r="I8">
        <v>16.2</v>
      </c>
      <c r="J8">
        <v>16.2</v>
      </c>
      <c r="L8">
        <v>202505</v>
      </c>
    </row>
    <row r="9" spans="1:12" x14ac:dyDescent="0.2">
      <c r="A9" t="s">
        <v>93</v>
      </c>
      <c r="B9" t="s">
        <v>92</v>
      </c>
      <c r="C9" t="s">
        <v>221</v>
      </c>
      <c r="D9" t="s">
        <v>224</v>
      </c>
      <c r="E9" t="s">
        <v>49</v>
      </c>
      <c r="F9" t="s">
        <v>48</v>
      </c>
      <c r="G9" t="s">
        <v>43</v>
      </c>
      <c r="H9" t="s">
        <v>44</v>
      </c>
      <c r="I9">
        <v>4.2</v>
      </c>
      <c r="J9">
        <v>4.2</v>
      </c>
      <c r="L9">
        <v>202505</v>
      </c>
    </row>
    <row r="10" spans="1:12" x14ac:dyDescent="0.2">
      <c r="A10" t="s">
        <v>93</v>
      </c>
      <c r="B10" t="s">
        <v>92</v>
      </c>
      <c r="C10" t="s">
        <v>165</v>
      </c>
      <c r="D10" t="s">
        <v>225</v>
      </c>
      <c r="E10" t="s">
        <v>49</v>
      </c>
      <c r="F10" t="s">
        <v>48</v>
      </c>
      <c r="G10" t="s">
        <v>43</v>
      </c>
      <c r="H10" t="s">
        <v>44</v>
      </c>
      <c r="I10">
        <v>4.2</v>
      </c>
      <c r="J10">
        <v>4.2</v>
      </c>
      <c r="L10">
        <v>202505</v>
      </c>
    </row>
    <row r="11" spans="1:12" x14ac:dyDescent="0.2">
      <c r="A11" t="s">
        <v>93</v>
      </c>
      <c r="B11" t="s">
        <v>92</v>
      </c>
      <c r="C11" t="s">
        <v>165</v>
      </c>
      <c r="D11" t="s">
        <v>226</v>
      </c>
      <c r="E11" t="s">
        <v>49</v>
      </c>
      <c r="F11" t="s">
        <v>48</v>
      </c>
      <c r="G11" t="s">
        <v>43</v>
      </c>
      <c r="H11" t="s">
        <v>44</v>
      </c>
      <c r="I11">
        <v>9.6</v>
      </c>
      <c r="J11">
        <v>9.6</v>
      </c>
      <c r="L11">
        <v>202505</v>
      </c>
    </row>
    <row r="12" spans="1:12" x14ac:dyDescent="0.2">
      <c r="A12" t="s">
        <v>93</v>
      </c>
      <c r="B12" t="s">
        <v>92</v>
      </c>
      <c r="C12" t="s">
        <v>165</v>
      </c>
      <c r="D12" t="s">
        <v>227</v>
      </c>
      <c r="E12" t="s">
        <v>49</v>
      </c>
      <c r="F12" t="s">
        <v>48</v>
      </c>
      <c r="G12" t="s">
        <v>43</v>
      </c>
      <c r="H12" t="s">
        <v>44</v>
      </c>
      <c r="I12">
        <v>4.2</v>
      </c>
      <c r="J12">
        <v>4.2</v>
      </c>
      <c r="L12">
        <v>202505</v>
      </c>
    </row>
    <row r="13" spans="1:12" x14ac:dyDescent="0.2">
      <c r="A13" t="s">
        <v>93</v>
      </c>
      <c r="B13" t="s">
        <v>92</v>
      </c>
      <c r="C13" t="s">
        <v>111</v>
      </c>
      <c r="D13" t="s">
        <v>228</v>
      </c>
      <c r="E13" t="s">
        <v>49</v>
      </c>
      <c r="F13" t="s">
        <v>48</v>
      </c>
      <c r="G13" t="s">
        <v>43</v>
      </c>
      <c r="H13" t="s">
        <v>44</v>
      </c>
      <c r="I13">
        <v>16.2</v>
      </c>
      <c r="J13">
        <v>16.2</v>
      </c>
      <c r="L13">
        <v>202505</v>
      </c>
    </row>
    <row r="14" spans="1:12" x14ac:dyDescent="0.2">
      <c r="A14" t="s">
        <v>93</v>
      </c>
      <c r="B14" t="s">
        <v>92</v>
      </c>
      <c r="C14" t="s">
        <v>111</v>
      </c>
      <c r="D14" t="s">
        <v>229</v>
      </c>
      <c r="E14" t="s">
        <v>49</v>
      </c>
      <c r="F14" t="s">
        <v>48</v>
      </c>
      <c r="G14" t="s">
        <v>43</v>
      </c>
      <c r="H14" t="s">
        <v>44</v>
      </c>
      <c r="I14">
        <v>4.2</v>
      </c>
      <c r="J14">
        <v>4.2</v>
      </c>
      <c r="L14">
        <v>202505</v>
      </c>
    </row>
    <row r="15" spans="1:12" x14ac:dyDescent="0.2">
      <c r="A15" t="s">
        <v>93</v>
      </c>
      <c r="B15" t="s">
        <v>92</v>
      </c>
      <c r="C15" t="s">
        <v>111</v>
      </c>
      <c r="D15" t="s">
        <v>230</v>
      </c>
      <c r="E15" t="s">
        <v>49</v>
      </c>
      <c r="F15" t="s">
        <v>48</v>
      </c>
      <c r="G15" t="s">
        <v>43</v>
      </c>
      <c r="H15" t="s">
        <v>44</v>
      </c>
      <c r="I15">
        <v>16.2</v>
      </c>
      <c r="J15">
        <v>16.2</v>
      </c>
      <c r="L15">
        <v>202505</v>
      </c>
    </row>
    <row r="16" spans="1:12" x14ac:dyDescent="0.2">
      <c r="A16" t="s">
        <v>93</v>
      </c>
      <c r="B16" t="s">
        <v>92</v>
      </c>
      <c r="C16" t="s">
        <v>170</v>
      </c>
      <c r="D16" t="s">
        <v>231</v>
      </c>
      <c r="E16" t="s">
        <v>49</v>
      </c>
      <c r="F16" t="s">
        <v>48</v>
      </c>
      <c r="G16" t="s">
        <v>43</v>
      </c>
      <c r="H16" t="s">
        <v>44</v>
      </c>
      <c r="I16">
        <v>4.2</v>
      </c>
      <c r="J16">
        <v>4.2</v>
      </c>
      <c r="L16">
        <v>202505</v>
      </c>
    </row>
    <row r="17" spans="1:12" x14ac:dyDescent="0.2">
      <c r="A17" t="s">
        <v>93</v>
      </c>
      <c r="B17" t="s">
        <v>92</v>
      </c>
      <c r="C17" t="s">
        <v>170</v>
      </c>
      <c r="D17" t="s">
        <v>232</v>
      </c>
      <c r="E17" t="s">
        <v>49</v>
      </c>
      <c r="F17" t="s">
        <v>48</v>
      </c>
      <c r="G17" t="s">
        <v>43</v>
      </c>
      <c r="H17" t="s">
        <v>44</v>
      </c>
      <c r="I17">
        <v>16.2</v>
      </c>
      <c r="J17">
        <v>16.2</v>
      </c>
      <c r="L17">
        <v>202505</v>
      </c>
    </row>
    <row r="18" spans="1:12" x14ac:dyDescent="0.2">
      <c r="A18" t="s">
        <v>93</v>
      </c>
      <c r="B18" t="s">
        <v>92</v>
      </c>
      <c r="C18" t="s">
        <v>123</v>
      </c>
      <c r="D18" t="s">
        <v>233</v>
      </c>
      <c r="E18" t="s">
        <v>49</v>
      </c>
      <c r="F18" t="s">
        <v>48</v>
      </c>
      <c r="G18" t="s">
        <v>43</v>
      </c>
      <c r="H18" t="s">
        <v>44</v>
      </c>
      <c r="I18">
        <v>4.2</v>
      </c>
      <c r="J18">
        <v>4.2</v>
      </c>
      <c r="L18">
        <v>202505</v>
      </c>
    </row>
    <row r="19" spans="1:12" x14ac:dyDescent="0.2">
      <c r="A19" t="s">
        <v>93</v>
      </c>
      <c r="B19" t="s">
        <v>92</v>
      </c>
      <c r="C19" t="s">
        <v>92</v>
      </c>
      <c r="D19" t="s">
        <v>234</v>
      </c>
      <c r="E19" t="s">
        <v>49</v>
      </c>
      <c r="F19" t="s">
        <v>48</v>
      </c>
      <c r="G19" t="s">
        <v>43</v>
      </c>
      <c r="H19" t="s">
        <v>44</v>
      </c>
      <c r="I19">
        <v>16.2</v>
      </c>
      <c r="J19">
        <v>16.2</v>
      </c>
      <c r="L19">
        <v>202504</v>
      </c>
    </row>
    <row r="20" spans="1:12" x14ac:dyDescent="0.2">
      <c r="A20" t="s">
        <v>93</v>
      </c>
      <c r="B20" t="s">
        <v>92</v>
      </c>
      <c r="C20" t="s">
        <v>177</v>
      </c>
      <c r="D20" t="s">
        <v>235</v>
      </c>
      <c r="E20" t="s">
        <v>49</v>
      </c>
      <c r="F20" t="s">
        <v>48</v>
      </c>
      <c r="G20" t="s">
        <v>43</v>
      </c>
      <c r="H20" t="s">
        <v>44</v>
      </c>
      <c r="I20">
        <v>1.4000000000000001</v>
      </c>
      <c r="J20">
        <v>1.4000000000000001</v>
      </c>
      <c r="L20">
        <v>202504</v>
      </c>
    </row>
    <row r="21" spans="1:12" x14ac:dyDescent="0.2">
      <c r="A21" t="s">
        <v>93</v>
      </c>
      <c r="B21" t="s">
        <v>92</v>
      </c>
      <c r="C21" t="s">
        <v>177</v>
      </c>
      <c r="D21" t="s">
        <v>236</v>
      </c>
      <c r="E21" t="s">
        <v>49</v>
      </c>
      <c r="F21" t="s">
        <v>48</v>
      </c>
      <c r="G21" t="s">
        <v>43</v>
      </c>
      <c r="H21" t="s">
        <v>44</v>
      </c>
      <c r="I21">
        <v>3.2</v>
      </c>
      <c r="J21">
        <v>3.2</v>
      </c>
      <c r="L21">
        <v>202504</v>
      </c>
    </row>
    <row r="22" spans="1:12" x14ac:dyDescent="0.2">
      <c r="A22" t="s">
        <v>93</v>
      </c>
      <c r="B22" t="s">
        <v>92</v>
      </c>
      <c r="C22" t="s">
        <v>221</v>
      </c>
      <c r="D22" t="s">
        <v>237</v>
      </c>
      <c r="E22" t="s">
        <v>49</v>
      </c>
      <c r="F22" t="s">
        <v>48</v>
      </c>
      <c r="G22" t="s">
        <v>43</v>
      </c>
      <c r="H22" t="s">
        <v>44</v>
      </c>
      <c r="I22">
        <v>9.6</v>
      </c>
      <c r="J22">
        <v>9.6</v>
      </c>
      <c r="L22">
        <v>202504</v>
      </c>
    </row>
    <row r="23" spans="1:12" x14ac:dyDescent="0.2">
      <c r="A23" t="s">
        <v>93</v>
      </c>
      <c r="B23" t="s">
        <v>92</v>
      </c>
      <c r="C23" t="s">
        <v>221</v>
      </c>
      <c r="D23" t="s">
        <v>238</v>
      </c>
      <c r="E23" t="s">
        <v>49</v>
      </c>
      <c r="F23" t="s">
        <v>48</v>
      </c>
      <c r="G23" t="s">
        <v>43</v>
      </c>
      <c r="H23" t="s">
        <v>44</v>
      </c>
      <c r="I23">
        <v>4.2</v>
      </c>
      <c r="J23">
        <v>4.2</v>
      </c>
      <c r="L23">
        <v>202504</v>
      </c>
    </row>
    <row r="24" spans="1:12" x14ac:dyDescent="0.2">
      <c r="A24" t="s">
        <v>93</v>
      </c>
      <c r="B24" t="s">
        <v>92</v>
      </c>
      <c r="C24" t="s">
        <v>221</v>
      </c>
      <c r="D24" t="s">
        <v>239</v>
      </c>
      <c r="E24" t="s">
        <v>49</v>
      </c>
      <c r="F24" t="s">
        <v>48</v>
      </c>
      <c r="G24" t="s">
        <v>43</v>
      </c>
      <c r="H24" t="s">
        <v>44</v>
      </c>
      <c r="I24">
        <v>4.2</v>
      </c>
      <c r="J24">
        <v>4.2</v>
      </c>
      <c r="L24">
        <v>202504</v>
      </c>
    </row>
    <row r="25" spans="1:12" x14ac:dyDescent="0.2">
      <c r="A25" t="s">
        <v>93</v>
      </c>
      <c r="B25" t="s">
        <v>92</v>
      </c>
      <c r="C25" t="s">
        <v>165</v>
      </c>
      <c r="D25" t="s">
        <v>240</v>
      </c>
      <c r="E25" t="s">
        <v>49</v>
      </c>
      <c r="F25" t="s">
        <v>48</v>
      </c>
      <c r="G25" t="s">
        <v>43</v>
      </c>
      <c r="H25" t="s">
        <v>44</v>
      </c>
      <c r="I25">
        <v>9.6</v>
      </c>
      <c r="J25">
        <v>9.6</v>
      </c>
      <c r="L25">
        <v>202504</v>
      </c>
    </row>
    <row r="26" spans="1:12" x14ac:dyDescent="0.2">
      <c r="A26" t="s">
        <v>93</v>
      </c>
      <c r="B26" t="s">
        <v>92</v>
      </c>
      <c r="C26" t="s">
        <v>111</v>
      </c>
      <c r="D26" t="s">
        <v>241</v>
      </c>
      <c r="E26" t="s">
        <v>49</v>
      </c>
      <c r="F26" t="s">
        <v>48</v>
      </c>
      <c r="G26" t="s">
        <v>43</v>
      </c>
      <c r="H26" t="s">
        <v>44</v>
      </c>
      <c r="I26">
        <v>4.2</v>
      </c>
      <c r="J26">
        <v>4.2</v>
      </c>
      <c r="L26">
        <v>202504</v>
      </c>
    </row>
    <row r="27" spans="1:12" x14ac:dyDescent="0.2">
      <c r="A27" t="s">
        <v>93</v>
      </c>
      <c r="B27" t="s">
        <v>92</v>
      </c>
      <c r="C27" t="s">
        <v>111</v>
      </c>
      <c r="D27" t="s">
        <v>242</v>
      </c>
      <c r="E27" t="s">
        <v>49</v>
      </c>
      <c r="F27" t="s">
        <v>48</v>
      </c>
      <c r="G27" t="s">
        <v>43</v>
      </c>
      <c r="H27" t="s">
        <v>44</v>
      </c>
      <c r="I27">
        <v>16.2</v>
      </c>
      <c r="J27">
        <v>16.2</v>
      </c>
      <c r="L27">
        <v>202504</v>
      </c>
    </row>
    <row r="28" spans="1:12" x14ac:dyDescent="0.2">
      <c r="A28" t="s">
        <v>93</v>
      </c>
      <c r="B28" t="s">
        <v>92</v>
      </c>
      <c r="C28" t="s">
        <v>111</v>
      </c>
      <c r="D28" t="s">
        <v>243</v>
      </c>
      <c r="E28" t="s">
        <v>49</v>
      </c>
      <c r="F28" t="s">
        <v>48</v>
      </c>
      <c r="G28" t="s">
        <v>43</v>
      </c>
      <c r="H28" t="s">
        <v>44</v>
      </c>
      <c r="I28">
        <v>16.2</v>
      </c>
      <c r="J28">
        <v>16.2</v>
      </c>
      <c r="L28">
        <v>202504</v>
      </c>
    </row>
    <row r="29" spans="1:12" x14ac:dyDescent="0.2">
      <c r="A29" t="s">
        <v>93</v>
      </c>
      <c r="B29" t="s">
        <v>92</v>
      </c>
      <c r="C29" t="s">
        <v>111</v>
      </c>
      <c r="D29" t="s">
        <v>244</v>
      </c>
      <c r="E29" t="s">
        <v>49</v>
      </c>
      <c r="F29" t="s">
        <v>48</v>
      </c>
      <c r="G29" t="s">
        <v>43</v>
      </c>
      <c r="H29" t="s">
        <v>44</v>
      </c>
      <c r="I29">
        <v>4.2</v>
      </c>
      <c r="J29">
        <v>4.2</v>
      </c>
      <c r="L29">
        <v>202504</v>
      </c>
    </row>
    <row r="30" spans="1:12" x14ac:dyDescent="0.2">
      <c r="A30" t="s">
        <v>93</v>
      </c>
      <c r="B30" t="s">
        <v>92</v>
      </c>
      <c r="C30" t="s">
        <v>92</v>
      </c>
      <c r="D30" t="s">
        <v>245</v>
      </c>
      <c r="E30" t="s">
        <v>49</v>
      </c>
      <c r="F30" t="s">
        <v>48</v>
      </c>
      <c r="G30" t="s">
        <v>43</v>
      </c>
      <c r="H30" t="s">
        <v>44</v>
      </c>
      <c r="I30">
        <v>16.2</v>
      </c>
      <c r="J30">
        <v>16.2</v>
      </c>
      <c r="L30">
        <v>202503</v>
      </c>
    </row>
    <row r="31" spans="1:12" x14ac:dyDescent="0.2">
      <c r="A31" t="s">
        <v>93</v>
      </c>
      <c r="B31" t="s">
        <v>92</v>
      </c>
      <c r="C31" t="s">
        <v>92</v>
      </c>
      <c r="D31" t="s">
        <v>246</v>
      </c>
      <c r="E31" t="s">
        <v>49</v>
      </c>
      <c r="F31" t="s">
        <v>48</v>
      </c>
      <c r="G31" t="s">
        <v>43</v>
      </c>
      <c r="H31" t="s">
        <v>44</v>
      </c>
      <c r="I31">
        <v>16.2</v>
      </c>
      <c r="J31">
        <v>16.2</v>
      </c>
      <c r="L31">
        <v>202503</v>
      </c>
    </row>
    <row r="32" spans="1:12" x14ac:dyDescent="0.2">
      <c r="A32" t="s">
        <v>93</v>
      </c>
      <c r="B32" t="s">
        <v>92</v>
      </c>
      <c r="C32" t="s">
        <v>92</v>
      </c>
      <c r="D32" t="s">
        <v>247</v>
      </c>
      <c r="E32" t="s">
        <v>49</v>
      </c>
      <c r="F32" t="s">
        <v>48</v>
      </c>
      <c r="G32" t="s">
        <v>43</v>
      </c>
      <c r="H32" t="s">
        <v>44</v>
      </c>
      <c r="I32">
        <v>16.2</v>
      </c>
      <c r="J32">
        <v>16.2</v>
      </c>
      <c r="L32">
        <v>202503</v>
      </c>
    </row>
    <row r="33" spans="1:12" x14ac:dyDescent="0.2">
      <c r="A33" t="s">
        <v>93</v>
      </c>
      <c r="B33" t="s">
        <v>92</v>
      </c>
      <c r="C33" t="s">
        <v>177</v>
      </c>
      <c r="D33" t="s">
        <v>248</v>
      </c>
      <c r="E33" t="s">
        <v>49</v>
      </c>
      <c r="F33" t="s">
        <v>48</v>
      </c>
      <c r="G33" t="s">
        <v>43</v>
      </c>
      <c r="H33" t="s">
        <v>44</v>
      </c>
      <c r="I33">
        <v>1.4000000000000001</v>
      </c>
      <c r="J33">
        <v>1.4000000000000001</v>
      </c>
      <c r="L33">
        <v>202503</v>
      </c>
    </row>
    <row r="34" spans="1:12" x14ac:dyDescent="0.2">
      <c r="A34" t="s">
        <v>93</v>
      </c>
      <c r="B34" t="s">
        <v>92</v>
      </c>
      <c r="C34" t="s">
        <v>177</v>
      </c>
      <c r="D34" t="s">
        <v>249</v>
      </c>
      <c r="E34" t="s">
        <v>49</v>
      </c>
      <c r="F34" t="s">
        <v>48</v>
      </c>
      <c r="G34" t="s">
        <v>43</v>
      </c>
      <c r="H34" t="s">
        <v>44</v>
      </c>
      <c r="I34">
        <v>1.4000000000000001</v>
      </c>
      <c r="J34">
        <v>1.4000000000000001</v>
      </c>
      <c r="L34">
        <v>202503</v>
      </c>
    </row>
    <row r="35" spans="1:12" x14ac:dyDescent="0.2">
      <c r="A35" t="s">
        <v>93</v>
      </c>
      <c r="B35" t="s">
        <v>92</v>
      </c>
      <c r="C35" t="s">
        <v>177</v>
      </c>
      <c r="D35" t="s">
        <v>250</v>
      </c>
      <c r="E35" t="s">
        <v>49</v>
      </c>
      <c r="F35" t="s">
        <v>48</v>
      </c>
      <c r="G35" t="s">
        <v>43</v>
      </c>
      <c r="H35" t="s">
        <v>44</v>
      </c>
      <c r="I35">
        <v>1.4000000000000001</v>
      </c>
      <c r="J35">
        <v>1.4000000000000001</v>
      </c>
      <c r="L35">
        <v>202503</v>
      </c>
    </row>
    <row r="36" spans="1:12" x14ac:dyDescent="0.2">
      <c r="A36" t="s">
        <v>93</v>
      </c>
      <c r="B36" t="s">
        <v>92</v>
      </c>
      <c r="C36" t="s">
        <v>177</v>
      </c>
      <c r="D36" t="s">
        <v>251</v>
      </c>
      <c r="E36" t="s">
        <v>49</v>
      </c>
      <c r="F36" t="s">
        <v>48</v>
      </c>
      <c r="G36" t="s">
        <v>43</v>
      </c>
      <c r="H36" t="s">
        <v>44</v>
      </c>
      <c r="I36">
        <v>1.4000000000000001</v>
      </c>
      <c r="J36">
        <v>1.4000000000000001</v>
      </c>
      <c r="L36">
        <v>202503</v>
      </c>
    </row>
    <row r="37" spans="1:12" x14ac:dyDescent="0.2">
      <c r="A37" t="s">
        <v>93</v>
      </c>
      <c r="B37" t="s">
        <v>92</v>
      </c>
      <c r="C37" t="s">
        <v>177</v>
      </c>
      <c r="D37" t="s">
        <v>252</v>
      </c>
      <c r="E37" t="s">
        <v>49</v>
      </c>
      <c r="F37" t="s">
        <v>48</v>
      </c>
      <c r="G37" t="s">
        <v>43</v>
      </c>
      <c r="H37" t="s">
        <v>44</v>
      </c>
      <c r="I37">
        <v>1.4000000000000001</v>
      </c>
      <c r="J37">
        <v>1.4000000000000001</v>
      </c>
      <c r="L37">
        <v>202503</v>
      </c>
    </row>
    <row r="38" spans="1:12" x14ac:dyDescent="0.2">
      <c r="A38" t="s">
        <v>93</v>
      </c>
      <c r="B38" t="s">
        <v>92</v>
      </c>
      <c r="C38" t="s">
        <v>177</v>
      </c>
      <c r="D38" t="s">
        <v>253</v>
      </c>
      <c r="E38" t="s">
        <v>49</v>
      </c>
      <c r="F38" t="s">
        <v>48</v>
      </c>
      <c r="G38" t="s">
        <v>43</v>
      </c>
      <c r="H38" t="s">
        <v>44</v>
      </c>
      <c r="I38">
        <v>3.2</v>
      </c>
      <c r="J38">
        <v>3.2</v>
      </c>
      <c r="L38">
        <v>202503</v>
      </c>
    </row>
    <row r="39" spans="1:12" x14ac:dyDescent="0.2">
      <c r="A39" t="s">
        <v>93</v>
      </c>
      <c r="B39" t="s">
        <v>92</v>
      </c>
      <c r="C39" t="s">
        <v>177</v>
      </c>
      <c r="D39" t="s">
        <v>254</v>
      </c>
      <c r="E39" t="s">
        <v>49</v>
      </c>
      <c r="F39" t="s">
        <v>48</v>
      </c>
      <c r="G39" t="s">
        <v>43</v>
      </c>
      <c r="H39" t="s">
        <v>44</v>
      </c>
      <c r="I39">
        <v>1.4000000000000001</v>
      </c>
      <c r="J39">
        <v>1.4000000000000001</v>
      </c>
      <c r="L39">
        <v>202503</v>
      </c>
    </row>
    <row r="40" spans="1:12" x14ac:dyDescent="0.2">
      <c r="A40" t="s">
        <v>93</v>
      </c>
      <c r="B40" t="s">
        <v>92</v>
      </c>
      <c r="C40" t="s">
        <v>177</v>
      </c>
      <c r="D40" t="s">
        <v>255</v>
      </c>
      <c r="E40" t="s">
        <v>49</v>
      </c>
      <c r="F40" t="s">
        <v>48</v>
      </c>
      <c r="G40" t="s">
        <v>43</v>
      </c>
      <c r="H40" t="s">
        <v>44</v>
      </c>
      <c r="I40">
        <v>3.2</v>
      </c>
      <c r="J40">
        <v>3.2</v>
      </c>
      <c r="L40">
        <v>202503</v>
      </c>
    </row>
    <row r="41" spans="1:12" x14ac:dyDescent="0.2">
      <c r="A41" t="s">
        <v>93</v>
      </c>
      <c r="B41" t="s">
        <v>92</v>
      </c>
      <c r="C41" t="s">
        <v>221</v>
      </c>
      <c r="D41" t="s">
        <v>256</v>
      </c>
      <c r="E41" t="s">
        <v>49</v>
      </c>
      <c r="F41" t="s">
        <v>48</v>
      </c>
      <c r="G41" t="s">
        <v>43</v>
      </c>
      <c r="H41" t="s">
        <v>44</v>
      </c>
      <c r="I41">
        <v>16.2</v>
      </c>
      <c r="J41">
        <v>16.2</v>
      </c>
      <c r="L41">
        <v>202503</v>
      </c>
    </row>
    <row r="42" spans="1:12" x14ac:dyDescent="0.2">
      <c r="A42" t="s">
        <v>93</v>
      </c>
      <c r="B42" t="s">
        <v>92</v>
      </c>
      <c r="C42" t="s">
        <v>221</v>
      </c>
      <c r="D42" t="s">
        <v>257</v>
      </c>
      <c r="E42" t="s">
        <v>49</v>
      </c>
      <c r="F42" t="s">
        <v>48</v>
      </c>
      <c r="G42" t="s">
        <v>43</v>
      </c>
      <c r="H42" t="s">
        <v>44</v>
      </c>
      <c r="I42">
        <v>4.2</v>
      </c>
      <c r="J42">
        <v>4.2</v>
      </c>
      <c r="L42">
        <v>202503</v>
      </c>
    </row>
    <row r="43" spans="1:12" x14ac:dyDescent="0.2">
      <c r="A43" t="s">
        <v>93</v>
      </c>
      <c r="B43" t="s">
        <v>92</v>
      </c>
      <c r="C43" t="s">
        <v>221</v>
      </c>
      <c r="D43" t="s">
        <v>258</v>
      </c>
      <c r="E43" t="s">
        <v>49</v>
      </c>
      <c r="F43" t="s">
        <v>48</v>
      </c>
      <c r="G43" t="s">
        <v>43</v>
      </c>
      <c r="H43" t="s">
        <v>44</v>
      </c>
      <c r="I43">
        <v>4.2</v>
      </c>
      <c r="J43">
        <v>4.2</v>
      </c>
      <c r="L43">
        <v>202503</v>
      </c>
    </row>
    <row r="44" spans="1:12" x14ac:dyDescent="0.2">
      <c r="A44" t="s">
        <v>93</v>
      </c>
      <c r="B44" t="s">
        <v>92</v>
      </c>
      <c r="C44" t="s">
        <v>221</v>
      </c>
      <c r="D44" t="s">
        <v>259</v>
      </c>
      <c r="E44" t="s">
        <v>49</v>
      </c>
      <c r="F44" t="s">
        <v>48</v>
      </c>
      <c r="G44" t="s">
        <v>43</v>
      </c>
      <c r="H44" t="s">
        <v>44</v>
      </c>
      <c r="I44">
        <v>4.2</v>
      </c>
      <c r="J44">
        <v>4.2</v>
      </c>
      <c r="L44">
        <v>202503</v>
      </c>
    </row>
    <row r="45" spans="1:12" x14ac:dyDescent="0.2">
      <c r="A45" t="s">
        <v>93</v>
      </c>
      <c r="B45" t="s">
        <v>92</v>
      </c>
      <c r="C45" t="s">
        <v>221</v>
      </c>
      <c r="D45" t="s">
        <v>260</v>
      </c>
      <c r="E45" t="s">
        <v>49</v>
      </c>
      <c r="F45" t="s">
        <v>48</v>
      </c>
      <c r="G45" t="s">
        <v>43</v>
      </c>
      <c r="H45" t="s">
        <v>44</v>
      </c>
      <c r="I45">
        <v>4.2</v>
      </c>
      <c r="J45">
        <v>4.2</v>
      </c>
      <c r="L45">
        <v>202503</v>
      </c>
    </row>
    <row r="46" spans="1:12" x14ac:dyDescent="0.2">
      <c r="A46" t="s">
        <v>93</v>
      </c>
      <c r="B46" t="s">
        <v>92</v>
      </c>
      <c r="C46" t="s">
        <v>170</v>
      </c>
      <c r="D46" t="s">
        <v>261</v>
      </c>
      <c r="E46" t="s">
        <v>49</v>
      </c>
      <c r="F46" t="s">
        <v>48</v>
      </c>
      <c r="G46" t="s">
        <v>43</v>
      </c>
      <c r="H46" t="s">
        <v>44</v>
      </c>
      <c r="I46">
        <v>4.2</v>
      </c>
      <c r="J46">
        <v>4.2</v>
      </c>
      <c r="L46">
        <v>202503</v>
      </c>
    </row>
    <row r="47" spans="1:12" x14ac:dyDescent="0.2">
      <c r="A47" t="s">
        <v>93</v>
      </c>
      <c r="B47" t="s">
        <v>92</v>
      </c>
      <c r="C47" t="s">
        <v>170</v>
      </c>
      <c r="D47" t="s">
        <v>262</v>
      </c>
      <c r="E47" t="s">
        <v>49</v>
      </c>
      <c r="F47" t="s">
        <v>48</v>
      </c>
      <c r="G47" t="s">
        <v>43</v>
      </c>
      <c r="H47" t="s">
        <v>44</v>
      </c>
      <c r="I47">
        <v>4.2</v>
      </c>
      <c r="J47">
        <v>4.2</v>
      </c>
      <c r="L47">
        <v>202503</v>
      </c>
    </row>
    <row r="48" spans="1:12" x14ac:dyDescent="0.2">
      <c r="A48" t="s">
        <v>93</v>
      </c>
      <c r="B48" t="s">
        <v>92</v>
      </c>
      <c r="C48" t="s">
        <v>170</v>
      </c>
      <c r="D48" t="s">
        <v>263</v>
      </c>
      <c r="E48" t="s">
        <v>49</v>
      </c>
      <c r="F48" t="s">
        <v>48</v>
      </c>
      <c r="G48" t="s">
        <v>43</v>
      </c>
      <c r="H48" t="s">
        <v>44</v>
      </c>
      <c r="I48">
        <v>4.2</v>
      </c>
      <c r="J48">
        <v>4.2</v>
      </c>
      <c r="L48">
        <v>202503</v>
      </c>
    </row>
    <row r="49" spans="1:12" x14ac:dyDescent="0.2">
      <c r="A49" t="s">
        <v>93</v>
      </c>
      <c r="B49" t="s">
        <v>92</v>
      </c>
      <c r="C49" t="s">
        <v>170</v>
      </c>
      <c r="D49" t="s">
        <v>264</v>
      </c>
      <c r="E49" t="s">
        <v>49</v>
      </c>
      <c r="F49" t="s">
        <v>48</v>
      </c>
      <c r="G49" t="s">
        <v>43</v>
      </c>
      <c r="H49" t="s">
        <v>44</v>
      </c>
      <c r="I49">
        <v>4.2</v>
      </c>
      <c r="J49">
        <v>4.2</v>
      </c>
      <c r="L49">
        <v>202503</v>
      </c>
    </row>
    <row r="50" spans="1:12" x14ac:dyDescent="0.2">
      <c r="A50" t="s">
        <v>93</v>
      </c>
      <c r="B50" t="s">
        <v>92</v>
      </c>
      <c r="C50" t="s">
        <v>165</v>
      </c>
      <c r="D50" t="s">
        <v>265</v>
      </c>
      <c r="E50" t="s">
        <v>49</v>
      </c>
      <c r="F50" t="s">
        <v>48</v>
      </c>
      <c r="G50" t="s">
        <v>43</v>
      </c>
      <c r="H50" t="s">
        <v>44</v>
      </c>
      <c r="I50">
        <v>4.2</v>
      </c>
      <c r="J50">
        <v>4.2</v>
      </c>
      <c r="L50">
        <v>202503</v>
      </c>
    </row>
    <row r="51" spans="1:12" x14ac:dyDescent="0.2">
      <c r="A51" t="s">
        <v>93</v>
      </c>
      <c r="B51" t="s">
        <v>92</v>
      </c>
      <c r="C51" t="s">
        <v>92</v>
      </c>
      <c r="D51" t="s">
        <v>266</v>
      </c>
      <c r="E51" t="s">
        <v>49</v>
      </c>
      <c r="F51" t="s">
        <v>48</v>
      </c>
      <c r="G51" t="s">
        <v>43</v>
      </c>
      <c r="H51" t="s">
        <v>44</v>
      </c>
      <c r="I51">
        <v>16.2</v>
      </c>
      <c r="J51">
        <v>16.2</v>
      </c>
      <c r="L51">
        <v>202501</v>
      </c>
    </row>
    <row r="52" spans="1:12" x14ac:dyDescent="0.2">
      <c r="A52" t="s">
        <v>93</v>
      </c>
      <c r="B52" t="s">
        <v>92</v>
      </c>
      <c r="C52" t="s">
        <v>177</v>
      </c>
      <c r="D52" t="s">
        <v>267</v>
      </c>
      <c r="E52" t="s">
        <v>49</v>
      </c>
      <c r="F52" t="s">
        <v>48</v>
      </c>
      <c r="G52" t="s">
        <v>43</v>
      </c>
      <c r="H52" t="s">
        <v>44</v>
      </c>
      <c r="I52">
        <v>1.4000000000000001</v>
      </c>
      <c r="J52">
        <v>1.4000000000000001</v>
      </c>
      <c r="L52">
        <v>202501</v>
      </c>
    </row>
    <row r="53" spans="1:12" x14ac:dyDescent="0.2">
      <c r="A53" t="s">
        <v>93</v>
      </c>
      <c r="B53" t="s">
        <v>92</v>
      </c>
      <c r="C53" t="s">
        <v>177</v>
      </c>
      <c r="D53" t="s">
        <v>268</v>
      </c>
      <c r="E53" t="s">
        <v>49</v>
      </c>
      <c r="F53" t="s">
        <v>48</v>
      </c>
      <c r="G53" t="s">
        <v>43</v>
      </c>
      <c r="H53" t="s">
        <v>44</v>
      </c>
      <c r="I53">
        <v>1.4000000000000001</v>
      </c>
      <c r="J53">
        <v>1.4000000000000001</v>
      </c>
      <c r="L53">
        <v>202501</v>
      </c>
    </row>
    <row r="54" spans="1:12" x14ac:dyDescent="0.2">
      <c r="A54" t="s">
        <v>93</v>
      </c>
      <c r="B54" t="s">
        <v>92</v>
      </c>
      <c r="C54" t="s">
        <v>177</v>
      </c>
      <c r="D54" t="s">
        <v>269</v>
      </c>
      <c r="E54" t="s">
        <v>49</v>
      </c>
      <c r="F54" t="s">
        <v>48</v>
      </c>
      <c r="G54" t="s">
        <v>43</v>
      </c>
      <c r="H54" t="s">
        <v>44</v>
      </c>
      <c r="I54">
        <v>1.4000000000000001</v>
      </c>
      <c r="J54">
        <v>1.4000000000000001</v>
      </c>
      <c r="L54">
        <v>202501</v>
      </c>
    </row>
    <row r="55" spans="1:12" x14ac:dyDescent="0.2">
      <c r="A55" t="s">
        <v>93</v>
      </c>
      <c r="B55" t="s">
        <v>92</v>
      </c>
      <c r="C55" t="s">
        <v>177</v>
      </c>
      <c r="D55" t="s">
        <v>270</v>
      </c>
      <c r="E55" t="s">
        <v>49</v>
      </c>
      <c r="F55" t="s">
        <v>48</v>
      </c>
      <c r="G55" t="s">
        <v>43</v>
      </c>
      <c r="H55" t="s">
        <v>44</v>
      </c>
      <c r="I55">
        <v>1.4000000000000001</v>
      </c>
      <c r="J55">
        <v>1.4000000000000001</v>
      </c>
      <c r="L55">
        <v>202501</v>
      </c>
    </row>
    <row r="56" spans="1:12" x14ac:dyDescent="0.2">
      <c r="A56" t="s">
        <v>93</v>
      </c>
      <c r="B56" t="s">
        <v>92</v>
      </c>
      <c r="C56" t="s">
        <v>177</v>
      </c>
      <c r="D56" t="s">
        <v>271</v>
      </c>
      <c r="E56" t="s">
        <v>49</v>
      </c>
      <c r="F56" t="s">
        <v>48</v>
      </c>
      <c r="G56" t="s">
        <v>43</v>
      </c>
      <c r="H56" t="s">
        <v>44</v>
      </c>
      <c r="I56">
        <v>3.2</v>
      </c>
      <c r="J56">
        <v>3.2</v>
      </c>
      <c r="L56">
        <v>202501</v>
      </c>
    </row>
    <row r="57" spans="1:12" x14ac:dyDescent="0.2">
      <c r="A57" t="s">
        <v>93</v>
      </c>
      <c r="B57" t="s">
        <v>92</v>
      </c>
      <c r="C57" t="s">
        <v>177</v>
      </c>
      <c r="D57" t="s">
        <v>272</v>
      </c>
      <c r="E57" t="s">
        <v>49</v>
      </c>
      <c r="F57" t="s">
        <v>48</v>
      </c>
      <c r="G57" t="s">
        <v>43</v>
      </c>
      <c r="H57" t="s">
        <v>44</v>
      </c>
      <c r="I57">
        <v>1.4000000000000001</v>
      </c>
      <c r="J57">
        <v>1.4000000000000001</v>
      </c>
      <c r="L57">
        <v>202501</v>
      </c>
    </row>
    <row r="58" spans="1:12" x14ac:dyDescent="0.2">
      <c r="A58" t="s">
        <v>93</v>
      </c>
      <c r="B58" t="s">
        <v>92</v>
      </c>
      <c r="C58" t="s">
        <v>177</v>
      </c>
      <c r="D58" t="s">
        <v>273</v>
      </c>
      <c r="E58" t="s">
        <v>49</v>
      </c>
      <c r="F58" t="s">
        <v>48</v>
      </c>
      <c r="G58" t="s">
        <v>43</v>
      </c>
      <c r="H58" t="s">
        <v>44</v>
      </c>
      <c r="I58">
        <v>1.4000000000000001</v>
      </c>
      <c r="J58">
        <v>1.4000000000000001</v>
      </c>
      <c r="L58">
        <v>202501</v>
      </c>
    </row>
    <row r="59" spans="1:12" x14ac:dyDescent="0.2">
      <c r="A59" t="s">
        <v>93</v>
      </c>
      <c r="B59" t="s">
        <v>92</v>
      </c>
      <c r="C59" t="s">
        <v>177</v>
      </c>
      <c r="D59" t="s">
        <v>274</v>
      </c>
      <c r="E59" t="s">
        <v>49</v>
      </c>
      <c r="F59" t="s">
        <v>48</v>
      </c>
      <c r="G59" t="s">
        <v>43</v>
      </c>
      <c r="H59" t="s">
        <v>44</v>
      </c>
      <c r="I59">
        <v>1.4000000000000001</v>
      </c>
      <c r="J59">
        <v>1.4000000000000001</v>
      </c>
      <c r="L59">
        <v>202501</v>
      </c>
    </row>
    <row r="60" spans="1:12" x14ac:dyDescent="0.2">
      <c r="A60" t="s">
        <v>93</v>
      </c>
      <c r="B60" t="s">
        <v>92</v>
      </c>
      <c r="C60" t="s">
        <v>177</v>
      </c>
      <c r="D60" t="s">
        <v>275</v>
      </c>
      <c r="E60" t="s">
        <v>49</v>
      </c>
      <c r="F60" t="s">
        <v>48</v>
      </c>
      <c r="G60" t="s">
        <v>43</v>
      </c>
      <c r="H60" t="s">
        <v>44</v>
      </c>
      <c r="I60">
        <v>3.2</v>
      </c>
      <c r="J60">
        <v>3.2</v>
      </c>
      <c r="L60">
        <v>202501</v>
      </c>
    </row>
    <row r="61" spans="1:12" x14ac:dyDescent="0.2">
      <c r="A61" t="s">
        <v>93</v>
      </c>
      <c r="B61" t="s">
        <v>92</v>
      </c>
      <c r="C61" t="s">
        <v>221</v>
      </c>
      <c r="D61" t="s">
        <v>276</v>
      </c>
      <c r="E61" t="s">
        <v>49</v>
      </c>
      <c r="F61" t="s">
        <v>48</v>
      </c>
      <c r="G61" t="s">
        <v>43</v>
      </c>
      <c r="H61" t="s">
        <v>44</v>
      </c>
      <c r="I61">
        <v>4.2</v>
      </c>
      <c r="J61">
        <v>4.2</v>
      </c>
      <c r="L61">
        <v>202501</v>
      </c>
    </row>
    <row r="62" spans="1:12" x14ac:dyDescent="0.2">
      <c r="A62" t="s">
        <v>93</v>
      </c>
      <c r="B62" t="s">
        <v>92</v>
      </c>
      <c r="C62" t="s">
        <v>92</v>
      </c>
      <c r="D62" t="s">
        <v>277</v>
      </c>
      <c r="E62" t="s">
        <v>49</v>
      </c>
      <c r="F62" t="s">
        <v>48</v>
      </c>
      <c r="G62" t="s">
        <v>43</v>
      </c>
      <c r="H62" t="s">
        <v>44</v>
      </c>
      <c r="I62">
        <v>4.2</v>
      </c>
      <c r="J62">
        <v>4.2</v>
      </c>
      <c r="L62">
        <v>202502</v>
      </c>
    </row>
    <row r="63" spans="1:12" x14ac:dyDescent="0.2">
      <c r="A63" t="s">
        <v>93</v>
      </c>
      <c r="B63" t="s">
        <v>92</v>
      </c>
      <c r="C63" t="s">
        <v>92</v>
      </c>
      <c r="D63" t="s">
        <v>278</v>
      </c>
      <c r="E63" t="s">
        <v>49</v>
      </c>
      <c r="F63" t="s">
        <v>48</v>
      </c>
      <c r="G63" t="s">
        <v>43</v>
      </c>
      <c r="H63" t="s">
        <v>44</v>
      </c>
      <c r="I63">
        <v>4.2</v>
      </c>
      <c r="J63">
        <v>4.2</v>
      </c>
      <c r="L63">
        <v>202502</v>
      </c>
    </row>
    <row r="64" spans="1:12" x14ac:dyDescent="0.2">
      <c r="A64" t="s">
        <v>93</v>
      </c>
      <c r="B64" t="s">
        <v>92</v>
      </c>
      <c r="C64" t="s">
        <v>92</v>
      </c>
      <c r="D64" t="s">
        <v>279</v>
      </c>
      <c r="E64" t="s">
        <v>49</v>
      </c>
      <c r="F64" t="s">
        <v>48</v>
      </c>
      <c r="G64" t="s">
        <v>43</v>
      </c>
      <c r="H64" t="s">
        <v>44</v>
      </c>
      <c r="I64">
        <v>9.6</v>
      </c>
      <c r="J64">
        <v>9.6</v>
      </c>
      <c r="L64">
        <v>202502</v>
      </c>
    </row>
    <row r="65" spans="1:12" x14ac:dyDescent="0.2">
      <c r="A65" t="s">
        <v>93</v>
      </c>
      <c r="B65" t="s">
        <v>92</v>
      </c>
      <c r="C65" t="s">
        <v>92</v>
      </c>
      <c r="D65" t="s">
        <v>280</v>
      </c>
      <c r="E65" t="s">
        <v>49</v>
      </c>
      <c r="F65" t="s">
        <v>48</v>
      </c>
      <c r="G65" t="s">
        <v>43</v>
      </c>
      <c r="H65" t="s">
        <v>44</v>
      </c>
      <c r="I65">
        <v>4.2</v>
      </c>
      <c r="J65">
        <v>4.2</v>
      </c>
      <c r="L65">
        <v>202502</v>
      </c>
    </row>
    <row r="66" spans="1:12" x14ac:dyDescent="0.2">
      <c r="A66" t="s">
        <v>93</v>
      </c>
      <c r="B66" t="s">
        <v>92</v>
      </c>
      <c r="C66" t="s">
        <v>92</v>
      </c>
      <c r="D66" t="s">
        <v>281</v>
      </c>
      <c r="E66" t="s">
        <v>49</v>
      </c>
      <c r="F66" t="s">
        <v>48</v>
      </c>
      <c r="G66" t="s">
        <v>43</v>
      </c>
      <c r="H66" t="s">
        <v>44</v>
      </c>
      <c r="I66">
        <v>4.2</v>
      </c>
      <c r="J66">
        <v>4.2</v>
      </c>
      <c r="L66">
        <v>202502</v>
      </c>
    </row>
    <row r="67" spans="1:12" x14ac:dyDescent="0.2">
      <c r="A67" t="s">
        <v>93</v>
      </c>
      <c r="B67" t="s">
        <v>92</v>
      </c>
      <c r="C67" t="s">
        <v>92</v>
      </c>
      <c r="D67" t="s">
        <v>282</v>
      </c>
      <c r="E67" t="s">
        <v>49</v>
      </c>
      <c r="F67" t="s">
        <v>48</v>
      </c>
      <c r="G67" t="s">
        <v>43</v>
      </c>
      <c r="H67" t="s">
        <v>44</v>
      </c>
      <c r="I67">
        <v>4.2</v>
      </c>
      <c r="J67">
        <v>4.2</v>
      </c>
      <c r="L67">
        <v>202502</v>
      </c>
    </row>
    <row r="68" spans="1:12" x14ac:dyDescent="0.2">
      <c r="A68" t="s">
        <v>93</v>
      </c>
      <c r="B68" t="s">
        <v>92</v>
      </c>
      <c r="C68" t="s">
        <v>92</v>
      </c>
      <c r="D68" t="s">
        <v>283</v>
      </c>
      <c r="E68" t="s">
        <v>49</v>
      </c>
      <c r="F68" t="s">
        <v>48</v>
      </c>
      <c r="G68" t="s">
        <v>43</v>
      </c>
      <c r="H68" t="s">
        <v>44</v>
      </c>
      <c r="I68">
        <v>4.2</v>
      </c>
      <c r="J68">
        <v>4.2</v>
      </c>
      <c r="L68">
        <v>202502</v>
      </c>
    </row>
    <row r="69" spans="1:12" x14ac:dyDescent="0.2">
      <c r="A69" t="s">
        <v>93</v>
      </c>
      <c r="B69" t="s">
        <v>92</v>
      </c>
      <c r="C69" t="s">
        <v>92</v>
      </c>
      <c r="D69" t="s">
        <v>284</v>
      </c>
      <c r="E69" t="s">
        <v>49</v>
      </c>
      <c r="F69" t="s">
        <v>48</v>
      </c>
      <c r="G69" t="s">
        <v>43</v>
      </c>
      <c r="H69" t="s">
        <v>44</v>
      </c>
      <c r="I69">
        <v>4.2</v>
      </c>
      <c r="J69">
        <v>4.2</v>
      </c>
      <c r="L69">
        <v>202502</v>
      </c>
    </row>
    <row r="70" spans="1:12" x14ac:dyDescent="0.2">
      <c r="A70" t="s">
        <v>93</v>
      </c>
      <c r="B70" t="s">
        <v>92</v>
      </c>
      <c r="C70" t="s">
        <v>92</v>
      </c>
      <c r="D70" t="s">
        <v>285</v>
      </c>
      <c r="E70" t="s">
        <v>49</v>
      </c>
      <c r="F70" t="s">
        <v>48</v>
      </c>
      <c r="G70" t="s">
        <v>43</v>
      </c>
      <c r="H70" t="s">
        <v>44</v>
      </c>
      <c r="I70">
        <v>4.2</v>
      </c>
      <c r="J70">
        <v>4.2</v>
      </c>
      <c r="L70">
        <v>202502</v>
      </c>
    </row>
    <row r="71" spans="1:12" x14ac:dyDescent="0.2">
      <c r="A71" t="s">
        <v>93</v>
      </c>
      <c r="B71" t="s">
        <v>92</v>
      </c>
      <c r="C71" t="s">
        <v>92</v>
      </c>
      <c r="D71" t="s">
        <v>286</v>
      </c>
      <c r="E71" t="s">
        <v>49</v>
      </c>
      <c r="F71" t="s">
        <v>48</v>
      </c>
      <c r="G71" t="s">
        <v>43</v>
      </c>
      <c r="H71" t="s">
        <v>44</v>
      </c>
      <c r="I71">
        <v>4.2</v>
      </c>
      <c r="J71">
        <v>4.2</v>
      </c>
      <c r="L71">
        <v>202502</v>
      </c>
    </row>
    <row r="72" spans="1:12" x14ac:dyDescent="0.2">
      <c r="A72" t="s">
        <v>93</v>
      </c>
      <c r="B72" t="s">
        <v>92</v>
      </c>
      <c r="C72" t="s">
        <v>92</v>
      </c>
      <c r="D72" t="s">
        <v>287</v>
      </c>
      <c r="E72" t="s">
        <v>49</v>
      </c>
      <c r="F72" t="s">
        <v>48</v>
      </c>
      <c r="G72" t="s">
        <v>43</v>
      </c>
      <c r="H72" t="s">
        <v>44</v>
      </c>
      <c r="I72">
        <v>4.2</v>
      </c>
      <c r="J72">
        <v>4.2</v>
      </c>
      <c r="L72">
        <v>202502</v>
      </c>
    </row>
    <row r="73" spans="1:12" x14ac:dyDescent="0.2">
      <c r="A73" t="s">
        <v>93</v>
      </c>
      <c r="B73" t="s">
        <v>92</v>
      </c>
      <c r="C73" t="s">
        <v>92</v>
      </c>
      <c r="D73" t="s">
        <v>288</v>
      </c>
      <c r="E73" t="s">
        <v>49</v>
      </c>
      <c r="F73" t="s">
        <v>48</v>
      </c>
      <c r="G73" t="s">
        <v>43</v>
      </c>
      <c r="H73" t="s">
        <v>44</v>
      </c>
      <c r="I73">
        <v>4.2</v>
      </c>
      <c r="J73">
        <v>4.2</v>
      </c>
      <c r="L73">
        <v>202502</v>
      </c>
    </row>
    <row r="74" spans="1:12" x14ac:dyDescent="0.2">
      <c r="A74" t="s">
        <v>93</v>
      </c>
      <c r="B74" t="s">
        <v>92</v>
      </c>
      <c r="C74" t="s">
        <v>92</v>
      </c>
      <c r="D74" t="s">
        <v>289</v>
      </c>
      <c r="E74" t="s">
        <v>49</v>
      </c>
      <c r="F74" t="s">
        <v>48</v>
      </c>
      <c r="G74" t="s">
        <v>43</v>
      </c>
      <c r="H74" t="s">
        <v>44</v>
      </c>
      <c r="I74">
        <v>4.2</v>
      </c>
      <c r="J74">
        <v>4.2</v>
      </c>
      <c r="L74">
        <v>202502</v>
      </c>
    </row>
    <row r="75" spans="1:12" x14ac:dyDescent="0.2">
      <c r="A75" t="s">
        <v>93</v>
      </c>
      <c r="B75" t="s">
        <v>92</v>
      </c>
      <c r="C75" t="s">
        <v>92</v>
      </c>
      <c r="D75" t="s">
        <v>290</v>
      </c>
      <c r="E75" t="s">
        <v>49</v>
      </c>
      <c r="F75" t="s">
        <v>48</v>
      </c>
      <c r="G75" t="s">
        <v>43</v>
      </c>
      <c r="H75" t="s">
        <v>44</v>
      </c>
      <c r="I75">
        <v>4.2</v>
      </c>
      <c r="J75">
        <v>4.2</v>
      </c>
      <c r="L75">
        <v>202502</v>
      </c>
    </row>
    <row r="76" spans="1:12" x14ac:dyDescent="0.2">
      <c r="A76" t="s">
        <v>93</v>
      </c>
      <c r="B76" t="s">
        <v>92</v>
      </c>
      <c r="C76" t="s">
        <v>92</v>
      </c>
      <c r="D76" t="s">
        <v>291</v>
      </c>
      <c r="E76" t="s">
        <v>49</v>
      </c>
      <c r="F76" t="s">
        <v>48</v>
      </c>
      <c r="G76" t="s">
        <v>43</v>
      </c>
      <c r="H76" t="s">
        <v>44</v>
      </c>
      <c r="I76">
        <v>4.2</v>
      </c>
      <c r="J76">
        <v>4.2</v>
      </c>
      <c r="L76">
        <v>202502</v>
      </c>
    </row>
    <row r="77" spans="1:12" x14ac:dyDescent="0.2">
      <c r="A77" t="s">
        <v>93</v>
      </c>
      <c r="B77" t="s">
        <v>92</v>
      </c>
      <c r="C77" t="s">
        <v>177</v>
      </c>
      <c r="D77" t="s">
        <v>292</v>
      </c>
      <c r="E77" t="s">
        <v>49</v>
      </c>
      <c r="F77" t="s">
        <v>48</v>
      </c>
      <c r="G77" t="s">
        <v>43</v>
      </c>
      <c r="H77" t="s">
        <v>44</v>
      </c>
      <c r="I77">
        <v>1.4000000000000001</v>
      </c>
      <c r="J77">
        <v>1.4000000000000001</v>
      </c>
      <c r="L77">
        <v>202502</v>
      </c>
    </row>
    <row r="78" spans="1:12" x14ac:dyDescent="0.2">
      <c r="A78" t="s">
        <v>93</v>
      </c>
      <c r="B78" t="s">
        <v>92</v>
      </c>
      <c r="C78" t="s">
        <v>177</v>
      </c>
      <c r="D78" t="s">
        <v>293</v>
      </c>
      <c r="E78" t="s">
        <v>49</v>
      </c>
      <c r="F78" t="s">
        <v>48</v>
      </c>
      <c r="G78" t="s">
        <v>43</v>
      </c>
      <c r="H78" t="s">
        <v>44</v>
      </c>
      <c r="I78">
        <v>1.4000000000000001</v>
      </c>
      <c r="J78">
        <v>1.4000000000000001</v>
      </c>
      <c r="L78">
        <v>202502</v>
      </c>
    </row>
    <row r="79" spans="1:12" x14ac:dyDescent="0.2">
      <c r="A79" t="s">
        <v>93</v>
      </c>
      <c r="B79" t="s">
        <v>92</v>
      </c>
      <c r="C79" t="s">
        <v>177</v>
      </c>
      <c r="D79" t="s">
        <v>294</v>
      </c>
      <c r="E79" t="s">
        <v>49</v>
      </c>
      <c r="F79" t="s">
        <v>48</v>
      </c>
      <c r="G79" t="s">
        <v>43</v>
      </c>
      <c r="H79" t="s">
        <v>44</v>
      </c>
      <c r="I79">
        <v>1.4000000000000001</v>
      </c>
      <c r="J79">
        <v>1.4000000000000001</v>
      </c>
      <c r="L79">
        <v>202502</v>
      </c>
    </row>
    <row r="80" spans="1:12" x14ac:dyDescent="0.2">
      <c r="A80" t="s">
        <v>93</v>
      </c>
      <c r="B80" t="s">
        <v>92</v>
      </c>
      <c r="C80" t="s">
        <v>177</v>
      </c>
      <c r="D80" t="s">
        <v>295</v>
      </c>
      <c r="E80" t="s">
        <v>49</v>
      </c>
      <c r="F80" t="s">
        <v>48</v>
      </c>
      <c r="G80" t="s">
        <v>43</v>
      </c>
      <c r="H80" t="s">
        <v>44</v>
      </c>
      <c r="I80">
        <v>3.2</v>
      </c>
      <c r="J80">
        <v>3.2</v>
      </c>
      <c r="L80">
        <v>202502</v>
      </c>
    </row>
    <row r="81" spans="1:12" x14ac:dyDescent="0.2">
      <c r="A81" t="s">
        <v>93</v>
      </c>
      <c r="B81" t="s">
        <v>92</v>
      </c>
      <c r="C81" t="s">
        <v>177</v>
      </c>
      <c r="D81" t="s">
        <v>296</v>
      </c>
      <c r="E81" t="s">
        <v>49</v>
      </c>
      <c r="F81" t="s">
        <v>48</v>
      </c>
      <c r="G81" t="s">
        <v>43</v>
      </c>
      <c r="H81" t="s">
        <v>44</v>
      </c>
      <c r="I81">
        <v>1.4000000000000001</v>
      </c>
      <c r="J81">
        <v>1.4000000000000001</v>
      </c>
      <c r="L81">
        <v>202502</v>
      </c>
    </row>
    <row r="82" spans="1:12" x14ac:dyDescent="0.2">
      <c r="A82" t="s">
        <v>93</v>
      </c>
      <c r="B82" t="s">
        <v>92</v>
      </c>
      <c r="C82" t="s">
        <v>177</v>
      </c>
      <c r="D82" t="s">
        <v>297</v>
      </c>
      <c r="E82" t="s">
        <v>49</v>
      </c>
      <c r="F82" t="s">
        <v>48</v>
      </c>
      <c r="G82" t="s">
        <v>43</v>
      </c>
      <c r="H82" t="s">
        <v>44</v>
      </c>
      <c r="I82">
        <v>1.4000000000000001</v>
      </c>
      <c r="J82">
        <v>1.4000000000000001</v>
      </c>
      <c r="L82">
        <v>202502</v>
      </c>
    </row>
    <row r="83" spans="1:12" x14ac:dyDescent="0.2">
      <c r="A83" t="s">
        <v>93</v>
      </c>
      <c r="B83" t="s">
        <v>92</v>
      </c>
      <c r="C83" t="s">
        <v>177</v>
      </c>
      <c r="D83" t="s">
        <v>298</v>
      </c>
      <c r="E83" t="s">
        <v>49</v>
      </c>
      <c r="F83" t="s">
        <v>48</v>
      </c>
      <c r="G83" t="s">
        <v>43</v>
      </c>
      <c r="H83" t="s">
        <v>44</v>
      </c>
      <c r="I83">
        <v>3.2</v>
      </c>
      <c r="J83">
        <v>3.2</v>
      </c>
      <c r="L83">
        <v>202502</v>
      </c>
    </row>
    <row r="84" spans="1:12" x14ac:dyDescent="0.2">
      <c r="A84" t="s">
        <v>93</v>
      </c>
      <c r="B84" t="s">
        <v>92</v>
      </c>
      <c r="C84" t="s">
        <v>177</v>
      </c>
      <c r="D84" t="s">
        <v>299</v>
      </c>
      <c r="E84" t="s">
        <v>49</v>
      </c>
      <c r="F84" t="s">
        <v>48</v>
      </c>
      <c r="G84" t="s">
        <v>43</v>
      </c>
      <c r="H84" t="s">
        <v>44</v>
      </c>
      <c r="I84">
        <v>3.2</v>
      </c>
      <c r="J84">
        <v>3.2</v>
      </c>
      <c r="L84">
        <v>202502</v>
      </c>
    </row>
    <row r="85" spans="1:12" x14ac:dyDescent="0.2">
      <c r="A85" t="s">
        <v>93</v>
      </c>
      <c r="B85" t="s">
        <v>92</v>
      </c>
      <c r="C85" t="s">
        <v>177</v>
      </c>
      <c r="D85" t="s">
        <v>300</v>
      </c>
      <c r="E85" t="s">
        <v>49</v>
      </c>
      <c r="F85" t="s">
        <v>48</v>
      </c>
      <c r="G85" t="s">
        <v>43</v>
      </c>
      <c r="H85" t="s">
        <v>44</v>
      </c>
      <c r="I85">
        <v>1.4000000000000001</v>
      </c>
      <c r="J85">
        <v>1.4000000000000001</v>
      </c>
      <c r="L85">
        <v>202502</v>
      </c>
    </row>
    <row r="86" spans="1:12" x14ac:dyDescent="0.2">
      <c r="A86" t="s">
        <v>93</v>
      </c>
      <c r="B86" t="s">
        <v>92</v>
      </c>
      <c r="C86" t="s">
        <v>177</v>
      </c>
      <c r="D86" t="s">
        <v>301</v>
      </c>
      <c r="E86" t="s">
        <v>49</v>
      </c>
      <c r="F86" t="s">
        <v>48</v>
      </c>
      <c r="G86" t="s">
        <v>43</v>
      </c>
      <c r="H86" t="s">
        <v>44</v>
      </c>
      <c r="I86">
        <v>3.2</v>
      </c>
      <c r="J86">
        <v>3.2</v>
      </c>
      <c r="L86">
        <v>202502</v>
      </c>
    </row>
    <row r="87" spans="1:12" x14ac:dyDescent="0.2">
      <c r="A87" t="s">
        <v>93</v>
      </c>
      <c r="B87" t="s">
        <v>92</v>
      </c>
      <c r="C87" t="s">
        <v>177</v>
      </c>
      <c r="D87" t="s">
        <v>302</v>
      </c>
      <c r="E87" t="s">
        <v>49</v>
      </c>
      <c r="F87" t="s">
        <v>48</v>
      </c>
      <c r="G87" t="s">
        <v>43</v>
      </c>
      <c r="H87" t="s">
        <v>44</v>
      </c>
      <c r="I87">
        <v>1.4000000000000001</v>
      </c>
      <c r="J87">
        <v>1.4000000000000001</v>
      </c>
      <c r="L87">
        <v>202502</v>
      </c>
    </row>
    <row r="88" spans="1:12" x14ac:dyDescent="0.2">
      <c r="A88" t="s">
        <v>93</v>
      </c>
      <c r="B88" t="s">
        <v>92</v>
      </c>
      <c r="C88" t="s">
        <v>177</v>
      </c>
      <c r="D88" t="s">
        <v>303</v>
      </c>
      <c r="E88" t="s">
        <v>49</v>
      </c>
      <c r="F88" t="s">
        <v>48</v>
      </c>
      <c r="G88" t="s">
        <v>43</v>
      </c>
      <c r="H88" t="s">
        <v>44</v>
      </c>
      <c r="I88">
        <v>3.2</v>
      </c>
      <c r="J88">
        <v>3.2</v>
      </c>
      <c r="L88">
        <v>202502</v>
      </c>
    </row>
    <row r="89" spans="1:12" x14ac:dyDescent="0.2">
      <c r="A89" t="s">
        <v>93</v>
      </c>
      <c r="B89" t="s">
        <v>92</v>
      </c>
      <c r="C89" t="s">
        <v>177</v>
      </c>
      <c r="D89" t="s">
        <v>304</v>
      </c>
      <c r="E89" t="s">
        <v>49</v>
      </c>
      <c r="F89" t="s">
        <v>48</v>
      </c>
      <c r="G89" t="s">
        <v>43</v>
      </c>
      <c r="H89" t="s">
        <v>44</v>
      </c>
      <c r="I89">
        <v>3.2</v>
      </c>
      <c r="J89">
        <v>3.2</v>
      </c>
      <c r="L89">
        <v>202502</v>
      </c>
    </row>
    <row r="90" spans="1:12" x14ac:dyDescent="0.2">
      <c r="A90" t="s">
        <v>93</v>
      </c>
      <c r="B90" t="s">
        <v>92</v>
      </c>
      <c r="C90" t="s">
        <v>177</v>
      </c>
      <c r="D90" t="s">
        <v>305</v>
      </c>
      <c r="E90" t="s">
        <v>49</v>
      </c>
      <c r="F90" t="s">
        <v>48</v>
      </c>
      <c r="G90" t="s">
        <v>43</v>
      </c>
      <c r="H90" t="s">
        <v>44</v>
      </c>
      <c r="I90">
        <v>1.4000000000000001</v>
      </c>
      <c r="J90">
        <v>1.4000000000000001</v>
      </c>
      <c r="L90">
        <v>202502</v>
      </c>
    </row>
    <row r="91" spans="1:12" x14ac:dyDescent="0.2">
      <c r="A91" t="s">
        <v>93</v>
      </c>
      <c r="B91" t="s">
        <v>92</v>
      </c>
      <c r="C91" t="s">
        <v>177</v>
      </c>
      <c r="D91" t="s">
        <v>306</v>
      </c>
      <c r="E91" t="s">
        <v>49</v>
      </c>
      <c r="F91" t="s">
        <v>48</v>
      </c>
      <c r="G91" t="s">
        <v>43</v>
      </c>
      <c r="H91" t="s">
        <v>44</v>
      </c>
      <c r="I91">
        <v>1.4000000000000001</v>
      </c>
      <c r="J91">
        <v>1.4000000000000001</v>
      </c>
      <c r="L91">
        <v>202502</v>
      </c>
    </row>
    <row r="92" spans="1:12" x14ac:dyDescent="0.2">
      <c r="A92" t="s">
        <v>93</v>
      </c>
      <c r="B92" t="s">
        <v>92</v>
      </c>
      <c r="C92" t="s">
        <v>221</v>
      </c>
      <c r="D92" t="s">
        <v>307</v>
      </c>
      <c r="E92" t="s">
        <v>49</v>
      </c>
      <c r="F92" t="s">
        <v>48</v>
      </c>
      <c r="G92" t="s">
        <v>43</v>
      </c>
      <c r="H92" t="s">
        <v>44</v>
      </c>
      <c r="I92">
        <v>16.2</v>
      </c>
      <c r="J92">
        <v>16.2</v>
      </c>
      <c r="L92">
        <v>202502</v>
      </c>
    </row>
    <row r="93" spans="1:12" x14ac:dyDescent="0.2">
      <c r="A93" t="s">
        <v>93</v>
      </c>
      <c r="B93" t="s">
        <v>92</v>
      </c>
      <c r="C93" t="s">
        <v>221</v>
      </c>
      <c r="D93" t="s">
        <v>308</v>
      </c>
      <c r="E93" t="s">
        <v>49</v>
      </c>
      <c r="F93" t="s">
        <v>48</v>
      </c>
      <c r="G93" t="s">
        <v>43</v>
      </c>
      <c r="H93" t="s">
        <v>44</v>
      </c>
      <c r="I93">
        <v>4.2</v>
      </c>
      <c r="J93">
        <v>4.2</v>
      </c>
      <c r="L93">
        <v>202502</v>
      </c>
    </row>
    <row r="94" spans="1:12" x14ac:dyDescent="0.2">
      <c r="A94" t="s">
        <v>93</v>
      </c>
      <c r="B94" t="s">
        <v>92</v>
      </c>
      <c r="C94" t="s">
        <v>221</v>
      </c>
      <c r="D94" t="s">
        <v>309</v>
      </c>
      <c r="E94" t="s">
        <v>49</v>
      </c>
      <c r="F94" t="s">
        <v>48</v>
      </c>
      <c r="G94" t="s">
        <v>43</v>
      </c>
      <c r="H94" t="s">
        <v>44</v>
      </c>
      <c r="I94">
        <v>4.2</v>
      </c>
      <c r="J94">
        <v>4.2</v>
      </c>
      <c r="L94">
        <v>202502</v>
      </c>
    </row>
    <row r="95" spans="1:12" x14ac:dyDescent="0.2">
      <c r="A95" t="s">
        <v>93</v>
      </c>
      <c r="B95" t="s">
        <v>92</v>
      </c>
      <c r="C95" t="s">
        <v>111</v>
      </c>
      <c r="D95" t="s">
        <v>310</v>
      </c>
      <c r="E95" t="s">
        <v>49</v>
      </c>
      <c r="F95" t="s">
        <v>48</v>
      </c>
      <c r="G95" t="s">
        <v>43</v>
      </c>
      <c r="H95" t="s">
        <v>44</v>
      </c>
      <c r="I95">
        <v>4.2</v>
      </c>
      <c r="J95">
        <v>4.2</v>
      </c>
      <c r="L95">
        <v>202502</v>
      </c>
    </row>
    <row r="96" spans="1:12" x14ac:dyDescent="0.2">
      <c r="A96" t="s">
        <v>93</v>
      </c>
      <c r="B96" t="s">
        <v>92</v>
      </c>
      <c r="C96" t="s">
        <v>111</v>
      </c>
      <c r="D96" t="s">
        <v>311</v>
      </c>
      <c r="E96" t="s">
        <v>49</v>
      </c>
      <c r="F96" t="s">
        <v>48</v>
      </c>
      <c r="G96" t="s">
        <v>43</v>
      </c>
      <c r="H96" t="s">
        <v>44</v>
      </c>
      <c r="I96">
        <v>4.2</v>
      </c>
      <c r="J96">
        <v>4.2</v>
      </c>
      <c r="L96">
        <v>202502</v>
      </c>
    </row>
    <row r="97" spans="1:12" x14ac:dyDescent="0.2">
      <c r="A97" t="s">
        <v>93</v>
      </c>
      <c r="B97" t="s">
        <v>92</v>
      </c>
      <c r="C97" t="s">
        <v>92</v>
      </c>
      <c r="D97" t="s">
        <v>312</v>
      </c>
      <c r="E97" t="s">
        <v>49</v>
      </c>
      <c r="F97" t="s">
        <v>48</v>
      </c>
      <c r="G97" t="s">
        <v>43</v>
      </c>
      <c r="I97">
        <v>16.2</v>
      </c>
      <c r="J97">
        <v>16.2</v>
      </c>
      <c r="L97">
        <v>202412</v>
      </c>
    </row>
    <row r="98" spans="1:12" x14ac:dyDescent="0.2">
      <c r="A98" t="s">
        <v>93</v>
      </c>
      <c r="B98" t="s">
        <v>92</v>
      </c>
      <c r="C98" t="s">
        <v>92</v>
      </c>
      <c r="D98" t="s">
        <v>313</v>
      </c>
      <c r="E98" t="s">
        <v>49</v>
      </c>
      <c r="F98" t="s">
        <v>48</v>
      </c>
      <c r="G98" t="s">
        <v>43</v>
      </c>
      <c r="I98">
        <v>16.2</v>
      </c>
      <c r="J98">
        <v>16.2</v>
      </c>
      <c r="L98">
        <v>202412</v>
      </c>
    </row>
    <row r="99" spans="1:12" x14ac:dyDescent="0.2">
      <c r="A99" t="s">
        <v>93</v>
      </c>
      <c r="B99" t="s">
        <v>92</v>
      </c>
      <c r="C99" t="s">
        <v>92</v>
      </c>
      <c r="D99" t="s">
        <v>314</v>
      </c>
      <c r="E99" t="s">
        <v>49</v>
      </c>
      <c r="F99" t="s">
        <v>48</v>
      </c>
      <c r="G99" t="s">
        <v>43</v>
      </c>
      <c r="I99">
        <v>16.2</v>
      </c>
      <c r="J99">
        <v>16.2</v>
      </c>
      <c r="L99">
        <v>202412</v>
      </c>
    </row>
    <row r="100" spans="1:12" x14ac:dyDescent="0.2">
      <c r="A100" t="s">
        <v>93</v>
      </c>
      <c r="B100" t="s">
        <v>92</v>
      </c>
      <c r="C100" t="s">
        <v>92</v>
      </c>
      <c r="D100" t="s">
        <v>315</v>
      </c>
      <c r="E100" t="s">
        <v>49</v>
      </c>
      <c r="F100" t="s">
        <v>48</v>
      </c>
      <c r="G100" t="s">
        <v>43</v>
      </c>
      <c r="I100">
        <v>16.2</v>
      </c>
      <c r="J100">
        <v>16.2</v>
      </c>
      <c r="L100">
        <v>202412</v>
      </c>
    </row>
    <row r="101" spans="1:12" x14ac:dyDescent="0.2">
      <c r="A101" t="s">
        <v>93</v>
      </c>
      <c r="B101" t="s">
        <v>92</v>
      </c>
      <c r="C101" t="s">
        <v>177</v>
      </c>
      <c r="D101" t="s">
        <v>316</v>
      </c>
      <c r="E101" t="s">
        <v>49</v>
      </c>
      <c r="F101" t="s">
        <v>48</v>
      </c>
      <c r="G101" t="s">
        <v>43</v>
      </c>
      <c r="I101">
        <v>3.2</v>
      </c>
      <c r="J101">
        <v>3.2</v>
      </c>
      <c r="L101">
        <v>202412</v>
      </c>
    </row>
    <row r="102" spans="1:12" x14ac:dyDescent="0.2">
      <c r="A102" t="s">
        <v>93</v>
      </c>
      <c r="B102" t="s">
        <v>92</v>
      </c>
      <c r="C102" t="s">
        <v>177</v>
      </c>
      <c r="D102" t="s">
        <v>317</v>
      </c>
      <c r="E102" t="s">
        <v>49</v>
      </c>
      <c r="F102" t="s">
        <v>48</v>
      </c>
      <c r="G102" t="s">
        <v>43</v>
      </c>
      <c r="I102">
        <v>1.4000000000000001</v>
      </c>
      <c r="J102">
        <v>1.4000000000000001</v>
      </c>
      <c r="L102">
        <v>202412</v>
      </c>
    </row>
    <row r="103" spans="1:12" x14ac:dyDescent="0.2">
      <c r="A103" t="s">
        <v>93</v>
      </c>
      <c r="B103" t="s">
        <v>92</v>
      </c>
      <c r="C103" t="s">
        <v>177</v>
      </c>
      <c r="D103" t="s">
        <v>318</v>
      </c>
      <c r="E103" t="s">
        <v>49</v>
      </c>
      <c r="F103" t="s">
        <v>48</v>
      </c>
      <c r="G103" t="s">
        <v>43</v>
      </c>
      <c r="I103">
        <v>1.4000000000000001</v>
      </c>
      <c r="J103">
        <v>1.4000000000000001</v>
      </c>
      <c r="L103">
        <v>202412</v>
      </c>
    </row>
    <row r="104" spans="1:12" x14ac:dyDescent="0.2">
      <c r="A104" t="s">
        <v>93</v>
      </c>
      <c r="B104" t="s">
        <v>92</v>
      </c>
      <c r="C104" t="s">
        <v>177</v>
      </c>
      <c r="D104" t="s">
        <v>319</v>
      </c>
      <c r="E104" t="s">
        <v>49</v>
      </c>
      <c r="F104" t="s">
        <v>48</v>
      </c>
      <c r="G104" t="s">
        <v>43</v>
      </c>
      <c r="I104">
        <v>3.2</v>
      </c>
      <c r="J104">
        <v>3.2</v>
      </c>
      <c r="L104">
        <v>202412</v>
      </c>
    </row>
    <row r="105" spans="1:12" x14ac:dyDescent="0.2">
      <c r="A105" t="s">
        <v>93</v>
      </c>
      <c r="B105" t="s">
        <v>92</v>
      </c>
      <c r="C105" t="s">
        <v>221</v>
      </c>
      <c r="D105" t="s">
        <v>320</v>
      </c>
      <c r="E105" t="s">
        <v>49</v>
      </c>
      <c r="F105" t="s">
        <v>48</v>
      </c>
      <c r="G105" t="s">
        <v>43</v>
      </c>
      <c r="I105">
        <v>9.6</v>
      </c>
      <c r="J105">
        <v>9.6</v>
      </c>
      <c r="L105">
        <v>202412</v>
      </c>
    </row>
    <row r="106" spans="1:12" x14ac:dyDescent="0.2">
      <c r="A106" t="s">
        <v>93</v>
      </c>
      <c r="B106" t="s">
        <v>92</v>
      </c>
      <c r="C106" t="s">
        <v>221</v>
      </c>
      <c r="D106" t="s">
        <v>321</v>
      </c>
      <c r="E106" t="s">
        <v>49</v>
      </c>
      <c r="F106" t="s">
        <v>48</v>
      </c>
      <c r="G106" t="s">
        <v>43</v>
      </c>
      <c r="I106">
        <v>16.2</v>
      </c>
      <c r="J106">
        <v>16.2</v>
      </c>
      <c r="L106">
        <v>202412</v>
      </c>
    </row>
    <row r="107" spans="1:12" x14ac:dyDescent="0.2">
      <c r="A107" t="s">
        <v>93</v>
      </c>
      <c r="B107" t="s">
        <v>92</v>
      </c>
      <c r="C107" t="s">
        <v>221</v>
      </c>
      <c r="D107" t="s">
        <v>322</v>
      </c>
      <c r="E107" t="s">
        <v>49</v>
      </c>
      <c r="F107" t="s">
        <v>48</v>
      </c>
      <c r="G107" t="s">
        <v>43</v>
      </c>
      <c r="I107">
        <v>4.2</v>
      </c>
      <c r="J107">
        <v>4.2</v>
      </c>
      <c r="L107">
        <v>202412</v>
      </c>
    </row>
    <row r="108" spans="1:12" x14ac:dyDescent="0.2">
      <c r="A108" t="s">
        <v>93</v>
      </c>
      <c r="B108" t="s">
        <v>92</v>
      </c>
      <c r="C108" t="s">
        <v>221</v>
      </c>
      <c r="D108" t="s">
        <v>323</v>
      </c>
      <c r="E108" t="s">
        <v>49</v>
      </c>
      <c r="F108" t="s">
        <v>48</v>
      </c>
      <c r="G108" t="s">
        <v>43</v>
      </c>
      <c r="I108">
        <v>9.6</v>
      </c>
      <c r="J108">
        <v>9.6</v>
      </c>
      <c r="L108">
        <v>202412</v>
      </c>
    </row>
    <row r="109" spans="1:12" x14ac:dyDescent="0.2">
      <c r="A109" t="s">
        <v>93</v>
      </c>
      <c r="B109" t="s">
        <v>92</v>
      </c>
      <c r="C109" t="s">
        <v>170</v>
      </c>
      <c r="D109" t="s">
        <v>324</v>
      </c>
      <c r="E109" t="s">
        <v>49</v>
      </c>
      <c r="F109" t="s">
        <v>48</v>
      </c>
      <c r="G109" t="s">
        <v>43</v>
      </c>
      <c r="I109">
        <v>4.2</v>
      </c>
      <c r="J109">
        <v>4.2</v>
      </c>
      <c r="L109">
        <v>202412</v>
      </c>
    </row>
    <row r="110" spans="1:12" x14ac:dyDescent="0.2">
      <c r="A110" t="s">
        <v>93</v>
      </c>
      <c r="B110" t="s">
        <v>92</v>
      </c>
      <c r="C110" t="s">
        <v>123</v>
      </c>
      <c r="D110" t="s">
        <v>325</v>
      </c>
      <c r="E110" t="s">
        <v>49</v>
      </c>
      <c r="F110" t="s">
        <v>48</v>
      </c>
      <c r="G110" t="s">
        <v>43</v>
      </c>
      <c r="I110">
        <v>4.2</v>
      </c>
      <c r="J110">
        <v>4.2</v>
      </c>
      <c r="L110">
        <v>202412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BEB9-EACC-4222-AB67-5C130606D798}">
  <dimension ref="A1:L37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25" x14ac:dyDescent="0.2"/>
  <cols>
    <col min="1" max="1" width="19.5" bestFit="1" customWidth="1"/>
    <col min="2" max="3" width="21.875" bestFit="1" customWidth="1"/>
    <col min="4" max="4" width="20.25" bestFit="1" customWidth="1"/>
    <col min="5" max="5" width="16.75" bestFit="1" customWidth="1"/>
    <col min="6" max="6" width="16.875" bestFit="1" customWidth="1"/>
    <col min="7" max="7" width="17.5" bestFit="1" customWidth="1"/>
    <col min="8" max="8" width="9.625" bestFit="1" customWidth="1"/>
    <col min="9" max="9" width="16.125" bestFit="1" customWidth="1"/>
    <col min="10" max="10" width="11.25" bestFit="1" customWidth="1"/>
    <col min="11" max="11" width="9.25" bestFit="1" customWidth="1"/>
    <col min="12" max="12" width="7.5" bestFit="1" customWidth="1"/>
  </cols>
  <sheetData>
    <row r="1" spans="1:12" ht="15" x14ac:dyDescent="0.25">
      <c r="A1" s="24" t="s">
        <v>1</v>
      </c>
      <c r="B1" s="24" t="s">
        <v>0</v>
      </c>
      <c r="C1" s="23" t="s">
        <v>29</v>
      </c>
      <c r="D1" s="23" t="s">
        <v>31</v>
      </c>
      <c r="E1" s="23" t="s">
        <v>32</v>
      </c>
      <c r="F1" s="23" t="s">
        <v>33</v>
      </c>
      <c r="G1" s="23" t="s">
        <v>34</v>
      </c>
      <c r="H1" s="23" t="s">
        <v>35</v>
      </c>
      <c r="I1" s="23" t="s">
        <v>36</v>
      </c>
      <c r="J1" s="23" t="s">
        <v>37</v>
      </c>
      <c r="K1" s="23" t="s">
        <v>40</v>
      </c>
      <c r="L1" s="25" t="s">
        <v>47</v>
      </c>
    </row>
    <row r="2" spans="1:12" x14ac:dyDescent="0.2">
      <c r="A2" t="s">
        <v>93</v>
      </c>
      <c r="B2" t="s">
        <v>92</v>
      </c>
      <c r="C2" t="s">
        <v>92</v>
      </c>
      <c r="D2" t="s">
        <v>109</v>
      </c>
      <c r="E2" t="s">
        <v>326</v>
      </c>
      <c r="F2" t="s">
        <v>48</v>
      </c>
      <c r="G2" t="s">
        <v>43</v>
      </c>
      <c r="H2" t="s">
        <v>44</v>
      </c>
      <c r="I2">
        <v>168.26</v>
      </c>
      <c r="J2">
        <v>168.26</v>
      </c>
      <c r="L2">
        <v>202506</v>
      </c>
    </row>
    <row r="3" spans="1:12" x14ac:dyDescent="0.2">
      <c r="A3" t="s">
        <v>93</v>
      </c>
      <c r="B3" t="s">
        <v>92</v>
      </c>
      <c r="C3" t="s">
        <v>92</v>
      </c>
      <c r="D3" t="s">
        <v>107</v>
      </c>
      <c r="E3" t="s">
        <v>326</v>
      </c>
      <c r="F3" t="s">
        <v>48</v>
      </c>
      <c r="G3" t="s">
        <v>43</v>
      </c>
      <c r="H3" t="s">
        <v>44</v>
      </c>
      <c r="I3">
        <v>168.26</v>
      </c>
      <c r="J3">
        <v>168.26</v>
      </c>
      <c r="L3">
        <v>202506</v>
      </c>
    </row>
    <row r="4" spans="1:12" x14ac:dyDescent="0.2">
      <c r="A4" t="s">
        <v>93</v>
      </c>
      <c r="B4" t="s">
        <v>92</v>
      </c>
      <c r="C4" t="s">
        <v>92</v>
      </c>
      <c r="D4" t="s">
        <v>105</v>
      </c>
      <c r="E4" t="s">
        <v>326</v>
      </c>
      <c r="F4" t="s">
        <v>48</v>
      </c>
      <c r="G4" t="s">
        <v>43</v>
      </c>
      <c r="H4" t="s">
        <v>44</v>
      </c>
      <c r="I4">
        <v>168.26</v>
      </c>
      <c r="J4">
        <v>168.26</v>
      </c>
      <c r="L4">
        <v>202506</v>
      </c>
    </row>
    <row r="5" spans="1:12" x14ac:dyDescent="0.2">
      <c r="A5" t="s">
        <v>93</v>
      </c>
      <c r="B5" t="s">
        <v>92</v>
      </c>
      <c r="C5" t="s">
        <v>92</v>
      </c>
      <c r="D5" t="s">
        <v>103</v>
      </c>
      <c r="E5" t="s">
        <v>326</v>
      </c>
      <c r="F5" t="s">
        <v>48</v>
      </c>
      <c r="G5" t="s">
        <v>43</v>
      </c>
      <c r="H5" t="s">
        <v>44</v>
      </c>
      <c r="I5">
        <v>168.26</v>
      </c>
      <c r="J5">
        <v>168.26</v>
      </c>
      <c r="L5">
        <v>202506</v>
      </c>
    </row>
    <row r="6" spans="1:12" x14ac:dyDescent="0.2">
      <c r="A6" t="s">
        <v>93</v>
      </c>
      <c r="B6" t="s">
        <v>92</v>
      </c>
      <c r="C6" t="s">
        <v>92</v>
      </c>
      <c r="D6" t="s">
        <v>118</v>
      </c>
      <c r="E6" t="s">
        <v>326</v>
      </c>
      <c r="F6" t="s">
        <v>48</v>
      </c>
      <c r="G6" t="s">
        <v>43</v>
      </c>
      <c r="H6" t="s">
        <v>44</v>
      </c>
      <c r="I6">
        <v>168.26</v>
      </c>
      <c r="J6">
        <v>168.26</v>
      </c>
      <c r="L6">
        <v>202506</v>
      </c>
    </row>
    <row r="7" spans="1:12" x14ac:dyDescent="0.2">
      <c r="A7" t="s">
        <v>93</v>
      </c>
      <c r="B7" t="s">
        <v>92</v>
      </c>
      <c r="C7" t="s">
        <v>92</v>
      </c>
      <c r="D7" t="s">
        <v>116</v>
      </c>
      <c r="E7" t="s">
        <v>326</v>
      </c>
      <c r="F7" t="s">
        <v>48</v>
      </c>
      <c r="G7" t="s">
        <v>43</v>
      </c>
      <c r="H7" t="s">
        <v>44</v>
      </c>
      <c r="I7">
        <v>168.26</v>
      </c>
      <c r="J7">
        <v>168.26</v>
      </c>
      <c r="L7">
        <v>202506</v>
      </c>
    </row>
    <row r="8" spans="1:12" x14ac:dyDescent="0.2">
      <c r="A8" t="s">
        <v>93</v>
      </c>
      <c r="B8" t="s">
        <v>92</v>
      </c>
      <c r="C8" t="s">
        <v>92</v>
      </c>
      <c r="D8" t="s">
        <v>132</v>
      </c>
      <c r="E8" t="s">
        <v>326</v>
      </c>
      <c r="F8" t="s">
        <v>48</v>
      </c>
      <c r="G8" t="s">
        <v>43</v>
      </c>
      <c r="H8" t="s">
        <v>44</v>
      </c>
      <c r="I8">
        <v>168.26</v>
      </c>
      <c r="J8">
        <v>168.26</v>
      </c>
      <c r="L8">
        <v>202506</v>
      </c>
    </row>
    <row r="9" spans="1:12" x14ac:dyDescent="0.2">
      <c r="A9" t="s">
        <v>93</v>
      </c>
      <c r="B9" t="s">
        <v>92</v>
      </c>
      <c r="C9" t="s">
        <v>92</v>
      </c>
      <c r="D9" t="s">
        <v>130</v>
      </c>
      <c r="E9" t="s">
        <v>326</v>
      </c>
      <c r="F9" t="s">
        <v>48</v>
      </c>
      <c r="G9" t="s">
        <v>43</v>
      </c>
      <c r="H9" t="s">
        <v>44</v>
      </c>
      <c r="I9">
        <v>168.26</v>
      </c>
      <c r="J9">
        <v>168.26</v>
      </c>
      <c r="L9">
        <v>202506</v>
      </c>
    </row>
    <row r="10" spans="1:12" x14ac:dyDescent="0.2">
      <c r="A10" t="s">
        <v>93</v>
      </c>
      <c r="B10" t="s">
        <v>92</v>
      </c>
      <c r="C10" t="s">
        <v>92</v>
      </c>
      <c r="D10" t="s">
        <v>128</v>
      </c>
      <c r="E10" t="s">
        <v>326</v>
      </c>
      <c r="F10" t="s">
        <v>48</v>
      </c>
      <c r="G10" t="s">
        <v>43</v>
      </c>
      <c r="H10" t="s">
        <v>44</v>
      </c>
      <c r="I10">
        <v>168.26</v>
      </c>
      <c r="J10">
        <v>168.26</v>
      </c>
      <c r="L10">
        <v>202506</v>
      </c>
    </row>
    <row r="11" spans="1:12" x14ac:dyDescent="0.2">
      <c r="A11" t="s">
        <v>93</v>
      </c>
      <c r="B11" t="s">
        <v>92</v>
      </c>
      <c r="C11" t="s">
        <v>92</v>
      </c>
      <c r="D11" t="s">
        <v>142</v>
      </c>
      <c r="E11" t="s">
        <v>326</v>
      </c>
      <c r="F11" t="s">
        <v>48</v>
      </c>
      <c r="G11" t="s">
        <v>43</v>
      </c>
      <c r="H11" t="s">
        <v>44</v>
      </c>
      <c r="I11">
        <v>168.26</v>
      </c>
      <c r="J11">
        <v>168.26</v>
      </c>
      <c r="L11">
        <v>202506</v>
      </c>
    </row>
    <row r="12" spans="1:12" x14ac:dyDescent="0.2">
      <c r="A12" t="s">
        <v>93</v>
      </c>
      <c r="B12" t="s">
        <v>92</v>
      </c>
      <c r="C12" t="s">
        <v>92</v>
      </c>
      <c r="D12" t="s">
        <v>140</v>
      </c>
      <c r="E12" t="s">
        <v>326</v>
      </c>
      <c r="F12" t="s">
        <v>48</v>
      </c>
      <c r="G12" t="s">
        <v>43</v>
      </c>
      <c r="H12" t="s">
        <v>44</v>
      </c>
      <c r="I12">
        <v>168.26</v>
      </c>
      <c r="J12">
        <v>168.26</v>
      </c>
      <c r="L12">
        <v>202506</v>
      </c>
    </row>
    <row r="13" spans="1:12" x14ac:dyDescent="0.2">
      <c r="A13" t="s">
        <v>93</v>
      </c>
      <c r="B13" t="s">
        <v>92</v>
      </c>
      <c r="C13" t="s">
        <v>92</v>
      </c>
      <c r="D13" t="s">
        <v>144</v>
      </c>
      <c r="E13" t="s">
        <v>326</v>
      </c>
      <c r="F13" t="s">
        <v>48</v>
      </c>
      <c r="G13" t="s">
        <v>43</v>
      </c>
      <c r="H13" t="s">
        <v>44</v>
      </c>
      <c r="I13">
        <v>168.26</v>
      </c>
      <c r="J13">
        <v>168.26</v>
      </c>
      <c r="L13">
        <v>202506</v>
      </c>
    </row>
    <row r="14" spans="1:12" x14ac:dyDescent="0.2">
      <c r="A14" t="s">
        <v>93</v>
      </c>
      <c r="B14" t="s">
        <v>92</v>
      </c>
      <c r="C14" t="s">
        <v>92</v>
      </c>
      <c r="D14" t="s">
        <v>134</v>
      </c>
      <c r="E14" t="s">
        <v>326</v>
      </c>
      <c r="F14" t="s">
        <v>48</v>
      </c>
      <c r="G14" t="s">
        <v>43</v>
      </c>
      <c r="H14" t="s">
        <v>44</v>
      </c>
      <c r="I14">
        <v>168.26</v>
      </c>
      <c r="J14">
        <v>168.26</v>
      </c>
      <c r="L14">
        <v>202506</v>
      </c>
    </row>
    <row r="15" spans="1:12" x14ac:dyDescent="0.2">
      <c r="A15" t="s">
        <v>93</v>
      </c>
      <c r="B15" t="s">
        <v>92</v>
      </c>
      <c r="C15" t="s">
        <v>92</v>
      </c>
      <c r="D15" t="s">
        <v>150</v>
      </c>
      <c r="E15" t="s">
        <v>326</v>
      </c>
      <c r="F15" t="s">
        <v>48</v>
      </c>
      <c r="G15" t="s">
        <v>43</v>
      </c>
      <c r="H15" t="s">
        <v>44</v>
      </c>
      <c r="I15">
        <v>168.26</v>
      </c>
      <c r="J15">
        <v>168.26</v>
      </c>
      <c r="L15">
        <v>202506</v>
      </c>
    </row>
    <row r="16" spans="1:12" x14ac:dyDescent="0.2">
      <c r="A16" t="s">
        <v>93</v>
      </c>
      <c r="B16" t="s">
        <v>92</v>
      </c>
      <c r="C16" t="s">
        <v>92</v>
      </c>
      <c r="D16" t="s">
        <v>148</v>
      </c>
      <c r="E16" t="s">
        <v>326</v>
      </c>
      <c r="F16" t="s">
        <v>48</v>
      </c>
      <c r="G16" t="s">
        <v>43</v>
      </c>
      <c r="H16" t="s">
        <v>44</v>
      </c>
      <c r="I16">
        <v>168.26</v>
      </c>
      <c r="J16">
        <v>168.26</v>
      </c>
      <c r="L16">
        <v>202506</v>
      </c>
    </row>
    <row r="17" spans="1:12" x14ac:dyDescent="0.2">
      <c r="A17" t="s">
        <v>93</v>
      </c>
      <c r="B17" t="s">
        <v>92</v>
      </c>
      <c r="C17" t="s">
        <v>92</v>
      </c>
      <c r="D17" t="s">
        <v>146</v>
      </c>
      <c r="E17" t="s">
        <v>326</v>
      </c>
      <c r="F17" t="s">
        <v>48</v>
      </c>
      <c r="G17" t="s">
        <v>43</v>
      </c>
      <c r="H17" t="s">
        <v>44</v>
      </c>
      <c r="I17">
        <v>168.26</v>
      </c>
      <c r="J17">
        <v>168.26</v>
      </c>
      <c r="L17">
        <v>202506</v>
      </c>
    </row>
    <row r="18" spans="1:12" x14ac:dyDescent="0.2">
      <c r="A18" t="s">
        <v>93</v>
      </c>
      <c r="B18" t="s">
        <v>92</v>
      </c>
      <c r="C18" t="s">
        <v>92</v>
      </c>
      <c r="D18" t="s">
        <v>156</v>
      </c>
      <c r="E18" t="s">
        <v>326</v>
      </c>
      <c r="F18" t="s">
        <v>48</v>
      </c>
      <c r="G18" t="s">
        <v>43</v>
      </c>
      <c r="H18" t="s">
        <v>44</v>
      </c>
      <c r="I18">
        <v>177.98</v>
      </c>
      <c r="J18">
        <v>177.98</v>
      </c>
      <c r="L18">
        <v>202506</v>
      </c>
    </row>
    <row r="19" spans="1:12" x14ac:dyDescent="0.2">
      <c r="A19" t="s">
        <v>93</v>
      </c>
      <c r="B19" t="s">
        <v>92</v>
      </c>
      <c r="C19" t="s">
        <v>327</v>
      </c>
      <c r="D19" t="s">
        <v>328</v>
      </c>
      <c r="E19" t="s">
        <v>326</v>
      </c>
      <c r="F19" t="s">
        <v>48</v>
      </c>
      <c r="G19" t="s">
        <v>43</v>
      </c>
      <c r="H19" t="s">
        <v>44</v>
      </c>
      <c r="I19">
        <v>34.78</v>
      </c>
      <c r="J19">
        <v>34.78</v>
      </c>
      <c r="L19">
        <v>202506</v>
      </c>
    </row>
    <row r="20" spans="1:12" x14ac:dyDescent="0.2">
      <c r="A20" t="s">
        <v>93</v>
      </c>
      <c r="B20" t="s">
        <v>92</v>
      </c>
      <c r="C20" t="s">
        <v>327</v>
      </c>
      <c r="D20" t="s">
        <v>329</v>
      </c>
      <c r="E20" t="s">
        <v>326</v>
      </c>
      <c r="F20" t="s">
        <v>48</v>
      </c>
      <c r="G20" t="s">
        <v>43</v>
      </c>
      <c r="H20" t="s">
        <v>44</v>
      </c>
      <c r="I20">
        <v>235.47</v>
      </c>
      <c r="J20">
        <v>235.47</v>
      </c>
      <c r="L20">
        <v>202506</v>
      </c>
    </row>
    <row r="21" spans="1:12" x14ac:dyDescent="0.2">
      <c r="A21" t="s">
        <v>93</v>
      </c>
      <c r="B21" t="s">
        <v>92</v>
      </c>
      <c r="C21" t="s">
        <v>97</v>
      </c>
      <c r="D21" t="s">
        <v>99</v>
      </c>
      <c r="E21" t="s">
        <v>326</v>
      </c>
      <c r="F21" t="s">
        <v>48</v>
      </c>
      <c r="G21" t="s">
        <v>43</v>
      </c>
      <c r="H21" t="s">
        <v>44</v>
      </c>
      <c r="I21">
        <v>199.6</v>
      </c>
      <c r="J21">
        <v>199.6</v>
      </c>
      <c r="L21">
        <v>202506</v>
      </c>
    </row>
    <row r="22" spans="1:12" x14ac:dyDescent="0.2">
      <c r="A22" t="s">
        <v>93</v>
      </c>
      <c r="B22" t="s">
        <v>92</v>
      </c>
      <c r="C22" t="s">
        <v>97</v>
      </c>
      <c r="D22" t="s">
        <v>154</v>
      </c>
      <c r="E22" t="s">
        <v>326</v>
      </c>
      <c r="F22" t="s">
        <v>48</v>
      </c>
      <c r="G22" t="s">
        <v>43</v>
      </c>
      <c r="H22" t="s">
        <v>44</v>
      </c>
      <c r="I22">
        <v>203.39</v>
      </c>
      <c r="J22">
        <v>203.39</v>
      </c>
      <c r="L22">
        <v>202506</v>
      </c>
    </row>
    <row r="23" spans="1:12" x14ac:dyDescent="0.2">
      <c r="A23" t="s">
        <v>93</v>
      </c>
      <c r="B23" t="s">
        <v>92</v>
      </c>
      <c r="C23" t="s">
        <v>97</v>
      </c>
      <c r="D23" t="s">
        <v>152</v>
      </c>
      <c r="E23" t="s">
        <v>326</v>
      </c>
      <c r="F23" t="s">
        <v>48</v>
      </c>
      <c r="G23" t="s">
        <v>43</v>
      </c>
      <c r="H23" t="s">
        <v>44</v>
      </c>
      <c r="I23">
        <v>203.39</v>
      </c>
      <c r="J23">
        <v>203.39</v>
      </c>
      <c r="L23">
        <v>202506</v>
      </c>
    </row>
    <row r="24" spans="1:12" x14ac:dyDescent="0.2">
      <c r="A24" t="s">
        <v>93</v>
      </c>
      <c r="B24" t="s">
        <v>92</v>
      </c>
      <c r="C24" t="s">
        <v>165</v>
      </c>
      <c r="D24" t="s">
        <v>166</v>
      </c>
      <c r="E24" t="s">
        <v>326</v>
      </c>
      <c r="F24" t="s">
        <v>48</v>
      </c>
      <c r="G24" t="s">
        <v>43</v>
      </c>
      <c r="H24" t="s">
        <v>44</v>
      </c>
      <c r="I24">
        <v>8.59</v>
      </c>
      <c r="J24">
        <v>8.59</v>
      </c>
      <c r="L24">
        <v>202506</v>
      </c>
    </row>
    <row r="25" spans="1:12" x14ac:dyDescent="0.2">
      <c r="A25" t="s">
        <v>93</v>
      </c>
      <c r="B25" t="s">
        <v>92</v>
      </c>
      <c r="C25" t="s">
        <v>111</v>
      </c>
      <c r="D25" t="s">
        <v>175</v>
      </c>
      <c r="E25" t="s">
        <v>326</v>
      </c>
      <c r="F25" t="s">
        <v>48</v>
      </c>
      <c r="G25" t="s">
        <v>43</v>
      </c>
      <c r="H25" t="s">
        <v>44</v>
      </c>
      <c r="I25">
        <v>138.18</v>
      </c>
      <c r="J25">
        <v>138.18</v>
      </c>
      <c r="L25">
        <v>202506</v>
      </c>
    </row>
    <row r="26" spans="1:12" x14ac:dyDescent="0.2">
      <c r="A26" t="s">
        <v>93</v>
      </c>
      <c r="B26" t="s">
        <v>92</v>
      </c>
      <c r="C26" t="s">
        <v>111</v>
      </c>
      <c r="D26" t="s">
        <v>173</v>
      </c>
      <c r="E26" t="s">
        <v>326</v>
      </c>
      <c r="F26" t="s">
        <v>48</v>
      </c>
      <c r="G26" t="s">
        <v>43</v>
      </c>
      <c r="H26" t="s">
        <v>44</v>
      </c>
      <c r="I26">
        <v>203.04</v>
      </c>
      <c r="J26">
        <v>203.04</v>
      </c>
      <c r="L26">
        <v>202506</v>
      </c>
    </row>
    <row r="27" spans="1:12" x14ac:dyDescent="0.2">
      <c r="A27" t="s">
        <v>93</v>
      </c>
      <c r="B27" t="s">
        <v>92</v>
      </c>
      <c r="C27" t="s">
        <v>111</v>
      </c>
      <c r="D27" t="s">
        <v>114</v>
      </c>
      <c r="E27" t="s">
        <v>326</v>
      </c>
      <c r="F27" t="s">
        <v>48</v>
      </c>
      <c r="G27" t="s">
        <v>43</v>
      </c>
      <c r="H27" t="s">
        <v>44</v>
      </c>
      <c r="I27">
        <v>203.04</v>
      </c>
      <c r="J27">
        <v>203.04</v>
      </c>
      <c r="L27">
        <v>202506</v>
      </c>
    </row>
    <row r="28" spans="1:12" x14ac:dyDescent="0.2">
      <c r="A28" t="s">
        <v>93</v>
      </c>
      <c r="B28" t="s">
        <v>92</v>
      </c>
      <c r="C28" t="s">
        <v>111</v>
      </c>
      <c r="D28" t="s">
        <v>112</v>
      </c>
      <c r="E28" t="s">
        <v>326</v>
      </c>
      <c r="F28" t="s">
        <v>48</v>
      </c>
      <c r="G28" t="s">
        <v>43</v>
      </c>
      <c r="H28" t="s">
        <v>44</v>
      </c>
      <c r="I28">
        <v>277.77</v>
      </c>
      <c r="J28">
        <v>277.77</v>
      </c>
      <c r="L28">
        <v>202506</v>
      </c>
    </row>
    <row r="29" spans="1:12" x14ac:dyDescent="0.2">
      <c r="A29" t="s">
        <v>93</v>
      </c>
      <c r="B29" t="s">
        <v>92</v>
      </c>
      <c r="C29" t="s">
        <v>111</v>
      </c>
      <c r="D29" t="s">
        <v>138</v>
      </c>
      <c r="E29" t="s">
        <v>326</v>
      </c>
      <c r="F29" t="s">
        <v>48</v>
      </c>
      <c r="G29" t="s">
        <v>43</v>
      </c>
      <c r="H29" t="s">
        <v>44</v>
      </c>
      <c r="I29">
        <v>12.69</v>
      </c>
      <c r="J29">
        <v>12.69</v>
      </c>
      <c r="L29">
        <v>202506</v>
      </c>
    </row>
    <row r="30" spans="1:12" x14ac:dyDescent="0.2">
      <c r="A30" t="s">
        <v>93</v>
      </c>
      <c r="B30" t="s">
        <v>92</v>
      </c>
      <c r="C30" t="s">
        <v>111</v>
      </c>
      <c r="D30" t="s">
        <v>158</v>
      </c>
      <c r="E30" t="s">
        <v>326</v>
      </c>
      <c r="F30" t="s">
        <v>48</v>
      </c>
      <c r="G30" t="s">
        <v>43</v>
      </c>
      <c r="H30" t="s">
        <v>44</v>
      </c>
      <c r="I30">
        <v>239.7</v>
      </c>
      <c r="J30">
        <v>239.7</v>
      </c>
      <c r="L30">
        <v>202506</v>
      </c>
    </row>
    <row r="31" spans="1:12" x14ac:dyDescent="0.2">
      <c r="A31" t="s">
        <v>93</v>
      </c>
      <c r="B31" t="s">
        <v>92</v>
      </c>
      <c r="C31" t="s">
        <v>330</v>
      </c>
      <c r="D31" t="s">
        <v>331</v>
      </c>
      <c r="E31" t="s">
        <v>326</v>
      </c>
      <c r="F31" t="s">
        <v>48</v>
      </c>
      <c r="G31" t="s">
        <v>43</v>
      </c>
      <c r="H31" t="s">
        <v>44</v>
      </c>
      <c r="I31">
        <v>348.34</v>
      </c>
      <c r="J31">
        <v>348.34</v>
      </c>
      <c r="L31">
        <v>202506</v>
      </c>
    </row>
    <row r="32" spans="1:12" x14ac:dyDescent="0.2">
      <c r="A32" t="s">
        <v>93</v>
      </c>
      <c r="B32" t="s">
        <v>92</v>
      </c>
      <c r="C32" t="s">
        <v>120</v>
      </c>
      <c r="D32" t="s">
        <v>121</v>
      </c>
      <c r="E32" t="s">
        <v>326</v>
      </c>
      <c r="F32" t="s">
        <v>48</v>
      </c>
      <c r="G32" t="s">
        <v>43</v>
      </c>
      <c r="H32" t="s">
        <v>44</v>
      </c>
      <c r="I32">
        <v>319.17</v>
      </c>
      <c r="J32">
        <v>319.17</v>
      </c>
      <c r="L32">
        <v>202506</v>
      </c>
    </row>
    <row r="33" spans="1:12" x14ac:dyDescent="0.2">
      <c r="A33" t="s">
        <v>93</v>
      </c>
      <c r="B33" t="s">
        <v>92</v>
      </c>
      <c r="C33" t="s">
        <v>123</v>
      </c>
      <c r="D33" t="s">
        <v>126</v>
      </c>
      <c r="E33" t="s">
        <v>326</v>
      </c>
      <c r="F33" t="s">
        <v>48</v>
      </c>
      <c r="G33" t="s">
        <v>43</v>
      </c>
      <c r="H33" t="s">
        <v>44</v>
      </c>
      <c r="I33">
        <v>394.81</v>
      </c>
      <c r="J33">
        <v>394.81</v>
      </c>
      <c r="L33">
        <v>202506</v>
      </c>
    </row>
    <row r="34" spans="1:12" x14ac:dyDescent="0.2">
      <c r="A34" t="s">
        <v>93</v>
      </c>
      <c r="B34" t="s">
        <v>92</v>
      </c>
      <c r="C34" t="s">
        <v>123</v>
      </c>
      <c r="D34" t="s">
        <v>124</v>
      </c>
      <c r="E34" t="s">
        <v>326</v>
      </c>
      <c r="F34" t="s">
        <v>48</v>
      </c>
      <c r="G34" t="s">
        <v>43</v>
      </c>
      <c r="H34" t="s">
        <v>44</v>
      </c>
      <c r="I34">
        <v>579.35</v>
      </c>
      <c r="J34">
        <v>579.35</v>
      </c>
      <c r="L34">
        <v>202506</v>
      </c>
    </row>
    <row r="35" spans="1:12" x14ac:dyDescent="0.2">
      <c r="A35" t="s">
        <v>93</v>
      </c>
      <c r="B35" t="s">
        <v>92</v>
      </c>
      <c r="C35" t="s">
        <v>123</v>
      </c>
      <c r="D35" t="s">
        <v>136</v>
      </c>
      <c r="E35" t="s">
        <v>326</v>
      </c>
      <c r="F35" t="s">
        <v>48</v>
      </c>
      <c r="G35" t="s">
        <v>43</v>
      </c>
      <c r="H35" t="s">
        <v>44</v>
      </c>
      <c r="I35">
        <v>582.54999999999995</v>
      </c>
      <c r="J35">
        <v>582.54999999999995</v>
      </c>
      <c r="L35">
        <v>202506</v>
      </c>
    </row>
    <row r="36" spans="1:12" x14ac:dyDescent="0.2">
      <c r="A36" t="s">
        <v>93</v>
      </c>
      <c r="B36" t="s">
        <v>92</v>
      </c>
      <c r="C36" t="s">
        <v>123</v>
      </c>
      <c r="D36" t="s">
        <v>160</v>
      </c>
      <c r="E36" t="s">
        <v>326</v>
      </c>
      <c r="F36" t="s">
        <v>48</v>
      </c>
      <c r="G36" t="s">
        <v>43</v>
      </c>
      <c r="H36" t="s">
        <v>44</v>
      </c>
      <c r="I36">
        <v>203.04</v>
      </c>
      <c r="J36">
        <v>203.04</v>
      </c>
      <c r="L36">
        <v>202506</v>
      </c>
    </row>
    <row r="37" spans="1:12" x14ac:dyDescent="0.2">
      <c r="A37" t="s">
        <v>93</v>
      </c>
      <c r="B37" t="s">
        <v>92</v>
      </c>
      <c r="C37" t="s">
        <v>332</v>
      </c>
      <c r="D37" t="s">
        <v>333</v>
      </c>
      <c r="E37" t="s">
        <v>326</v>
      </c>
      <c r="F37" t="s">
        <v>48</v>
      </c>
      <c r="G37" t="s">
        <v>43</v>
      </c>
      <c r="H37" t="s">
        <v>44</v>
      </c>
      <c r="I37">
        <v>327.96</v>
      </c>
      <c r="J37">
        <v>327.96</v>
      </c>
      <c r="L37">
        <v>202506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7CB1-2930-4CD6-A9C5-C0770B961C12}">
  <sheetPr codeName="Sheet1"/>
  <dimension ref="A1:J158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57" x14ac:dyDescent="0.2">
      <c r="A1" s="29" t="s">
        <v>50</v>
      </c>
      <c r="B1" s="29" t="s">
        <v>51</v>
      </c>
      <c r="C1" s="30" t="s">
        <v>52</v>
      </c>
      <c r="D1" s="30" t="s">
        <v>53</v>
      </c>
      <c r="E1" s="29" t="s">
        <v>54</v>
      </c>
      <c r="F1" s="29" t="s">
        <v>55</v>
      </c>
      <c r="G1" s="29" t="s">
        <v>56</v>
      </c>
      <c r="H1" s="29" t="s">
        <v>57</v>
      </c>
      <c r="I1" s="29" t="s">
        <v>58</v>
      </c>
      <c r="J1" s="29" t="s">
        <v>59</v>
      </c>
    </row>
    <row r="2" spans="1:10" x14ac:dyDescent="0.2">
      <c r="A2" t="s">
        <v>175</v>
      </c>
      <c r="B2" t="s">
        <v>111</v>
      </c>
      <c r="C2" t="s">
        <v>92</v>
      </c>
      <c r="D2" t="s">
        <v>93</v>
      </c>
      <c r="E2" t="s">
        <v>334</v>
      </c>
      <c r="F2" t="s">
        <v>335</v>
      </c>
      <c r="G2">
        <v>2</v>
      </c>
      <c r="H2" t="s">
        <v>44</v>
      </c>
      <c r="I2">
        <v>147</v>
      </c>
      <c r="J2">
        <v>294</v>
      </c>
    </row>
    <row r="3" spans="1:10" x14ac:dyDescent="0.2">
      <c r="A3" t="s">
        <v>173</v>
      </c>
      <c r="B3" t="s">
        <v>111</v>
      </c>
      <c r="C3" t="s">
        <v>92</v>
      </c>
      <c r="D3" t="s">
        <v>93</v>
      </c>
      <c r="E3" t="s">
        <v>336</v>
      </c>
      <c r="F3" t="s">
        <v>337</v>
      </c>
      <c r="G3">
        <v>1</v>
      </c>
      <c r="H3" t="s">
        <v>44</v>
      </c>
      <c r="I3">
        <v>432</v>
      </c>
      <c r="J3">
        <v>432</v>
      </c>
    </row>
    <row r="4" spans="1:10" x14ac:dyDescent="0.2">
      <c r="A4" t="s">
        <v>328</v>
      </c>
      <c r="B4" t="s">
        <v>327</v>
      </c>
      <c r="C4" t="s">
        <v>92</v>
      </c>
      <c r="D4" t="s">
        <v>93</v>
      </c>
      <c r="E4" t="s">
        <v>338</v>
      </c>
      <c r="F4" t="s">
        <v>339</v>
      </c>
      <c r="G4">
        <v>1</v>
      </c>
      <c r="H4" t="s">
        <v>44</v>
      </c>
      <c r="I4">
        <v>74</v>
      </c>
      <c r="J4">
        <v>74</v>
      </c>
    </row>
    <row r="5" spans="1:10" x14ac:dyDescent="0.2">
      <c r="A5" t="s">
        <v>126</v>
      </c>
      <c r="B5" t="s">
        <v>123</v>
      </c>
      <c r="C5" t="s">
        <v>92</v>
      </c>
      <c r="D5" t="s">
        <v>93</v>
      </c>
      <c r="E5" t="s">
        <v>340</v>
      </c>
      <c r="F5" t="s">
        <v>341</v>
      </c>
      <c r="G5">
        <v>2</v>
      </c>
      <c r="H5" t="s">
        <v>44</v>
      </c>
      <c r="I5">
        <v>0.5</v>
      </c>
      <c r="J5">
        <v>1</v>
      </c>
    </row>
    <row r="6" spans="1:10" x14ac:dyDescent="0.2">
      <c r="A6" t="s">
        <v>126</v>
      </c>
      <c r="B6" t="s">
        <v>123</v>
      </c>
      <c r="C6" t="s">
        <v>92</v>
      </c>
      <c r="D6" t="s">
        <v>93</v>
      </c>
      <c r="E6" t="s">
        <v>342</v>
      </c>
      <c r="F6" t="s">
        <v>343</v>
      </c>
      <c r="G6">
        <v>1</v>
      </c>
      <c r="H6" t="s">
        <v>44</v>
      </c>
      <c r="I6">
        <v>1</v>
      </c>
      <c r="J6">
        <v>1</v>
      </c>
    </row>
    <row r="7" spans="1:10" x14ac:dyDescent="0.2">
      <c r="A7" t="s">
        <v>126</v>
      </c>
      <c r="B7" t="s">
        <v>123</v>
      </c>
      <c r="C7" t="s">
        <v>92</v>
      </c>
      <c r="D7" t="s">
        <v>93</v>
      </c>
      <c r="E7" t="s">
        <v>344</v>
      </c>
      <c r="F7" t="s">
        <v>345</v>
      </c>
      <c r="G7">
        <v>4</v>
      </c>
      <c r="H7" t="s">
        <v>44</v>
      </c>
      <c r="I7">
        <v>11</v>
      </c>
      <c r="J7">
        <v>44</v>
      </c>
    </row>
    <row r="8" spans="1:10" x14ac:dyDescent="0.2">
      <c r="A8" t="s">
        <v>126</v>
      </c>
      <c r="B8" t="s">
        <v>123</v>
      </c>
      <c r="C8" t="s">
        <v>92</v>
      </c>
      <c r="D8" t="s">
        <v>93</v>
      </c>
      <c r="E8" t="s">
        <v>346</v>
      </c>
      <c r="F8" t="s">
        <v>347</v>
      </c>
      <c r="G8">
        <v>1</v>
      </c>
      <c r="H8" t="s">
        <v>44</v>
      </c>
      <c r="I8">
        <v>1</v>
      </c>
      <c r="J8">
        <v>1</v>
      </c>
    </row>
    <row r="9" spans="1:10" x14ac:dyDescent="0.2">
      <c r="A9" t="s">
        <v>126</v>
      </c>
      <c r="B9" t="s">
        <v>123</v>
      </c>
      <c r="C9" t="s">
        <v>92</v>
      </c>
      <c r="D9" t="s">
        <v>93</v>
      </c>
      <c r="E9" t="s">
        <v>348</v>
      </c>
      <c r="F9" t="s">
        <v>349</v>
      </c>
      <c r="G9">
        <v>2</v>
      </c>
      <c r="H9" t="s">
        <v>44</v>
      </c>
      <c r="I9">
        <v>4</v>
      </c>
      <c r="J9">
        <v>8</v>
      </c>
    </row>
    <row r="10" spans="1:10" x14ac:dyDescent="0.2">
      <c r="A10" t="s">
        <v>126</v>
      </c>
      <c r="B10" t="s">
        <v>123</v>
      </c>
      <c r="C10" t="s">
        <v>92</v>
      </c>
      <c r="D10" t="s">
        <v>93</v>
      </c>
      <c r="E10" t="s">
        <v>350</v>
      </c>
      <c r="F10" t="s">
        <v>351</v>
      </c>
      <c r="G10">
        <v>3</v>
      </c>
      <c r="H10" t="s">
        <v>44</v>
      </c>
      <c r="I10">
        <v>5</v>
      </c>
      <c r="J10">
        <v>15</v>
      </c>
    </row>
    <row r="11" spans="1:10" x14ac:dyDescent="0.2">
      <c r="A11" t="s">
        <v>126</v>
      </c>
      <c r="B11" t="s">
        <v>123</v>
      </c>
      <c r="C11" t="s">
        <v>92</v>
      </c>
      <c r="D11" t="s">
        <v>93</v>
      </c>
      <c r="E11" t="s">
        <v>352</v>
      </c>
      <c r="F11" t="s">
        <v>353</v>
      </c>
      <c r="G11">
        <v>2</v>
      </c>
      <c r="H11" t="s">
        <v>44</v>
      </c>
      <c r="I11">
        <v>2</v>
      </c>
      <c r="J11">
        <v>4</v>
      </c>
    </row>
    <row r="12" spans="1:10" x14ac:dyDescent="0.2">
      <c r="A12" t="s">
        <v>126</v>
      </c>
      <c r="B12" t="s">
        <v>123</v>
      </c>
      <c r="C12" t="s">
        <v>92</v>
      </c>
      <c r="D12" t="s">
        <v>93</v>
      </c>
      <c r="E12" t="s">
        <v>354</v>
      </c>
      <c r="F12" t="s">
        <v>355</v>
      </c>
      <c r="G12">
        <v>4</v>
      </c>
      <c r="H12" t="s">
        <v>44</v>
      </c>
      <c r="I12">
        <v>2</v>
      </c>
      <c r="J12">
        <v>8</v>
      </c>
    </row>
    <row r="13" spans="1:10" x14ac:dyDescent="0.2">
      <c r="A13" t="s">
        <v>126</v>
      </c>
      <c r="B13" t="s">
        <v>123</v>
      </c>
      <c r="C13" t="s">
        <v>92</v>
      </c>
      <c r="D13" t="s">
        <v>93</v>
      </c>
      <c r="E13" t="s">
        <v>356</v>
      </c>
      <c r="F13" t="s">
        <v>357</v>
      </c>
      <c r="G13">
        <v>1</v>
      </c>
      <c r="H13" t="s">
        <v>44</v>
      </c>
      <c r="I13">
        <v>12</v>
      </c>
      <c r="J13">
        <v>12</v>
      </c>
    </row>
    <row r="14" spans="1:10" x14ac:dyDescent="0.2">
      <c r="A14" t="s">
        <v>126</v>
      </c>
      <c r="B14" t="s">
        <v>123</v>
      </c>
      <c r="C14" t="s">
        <v>92</v>
      </c>
      <c r="D14" t="s">
        <v>93</v>
      </c>
      <c r="E14" t="s">
        <v>358</v>
      </c>
      <c r="F14" t="s">
        <v>359</v>
      </c>
      <c r="G14">
        <v>3</v>
      </c>
      <c r="H14" t="s">
        <v>44</v>
      </c>
      <c r="I14">
        <v>0.4</v>
      </c>
      <c r="J14">
        <v>1.2</v>
      </c>
    </row>
    <row r="15" spans="1:10" x14ac:dyDescent="0.2">
      <c r="A15" t="s">
        <v>126</v>
      </c>
      <c r="B15" t="s">
        <v>123</v>
      </c>
      <c r="C15" t="s">
        <v>92</v>
      </c>
      <c r="D15" t="s">
        <v>93</v>
      </c>
      <c r="E15" t="s">
        <v>360</v>
      </c>
      <c r="F15" t="s">
        <v>361</v>
      </c>
      <c r="G15">
        <v>4</v>
      </c>
      <c r="H15" t="s">
        <v>44</v>
      </c>
      <c r="I15">
        <v>11</v>
      </c>
      <c r="J15">
        <v>44</v>
      </c>
    </row>
    <row r="16" spans="1:10" x14ac:dyDescent="0.2">
      <c r="A16" t="s">
        <v>126</v>
      </c>
      <c r="B16" t="s">
        <v>123</v>
      </c>
      <c r="C16" t="s">
        <v>92</v>
      </c>
      <c r="D16" t="s">
        <v>93</v>
      </c>
      <c r="E16" t="s">
        <v>362</v>
      </c>
      <c r="F16" t="s">
        <v>363</v>
      </c>
      <c r="G16">
        <v>2</v>
      </c>
      <c r="H16" t="s">
        <v>44</v>
      </c>
      <c r="I16">
        <v>13</v>
      </c>
      <c r="J16">
        <v>26</v>
      </c>
    </row>
    <row r="17" spans="1:10" x14ac:dyDescent="0.2">
      <c r="A17" t="s">
        <v>126</v>
      </c>
      <c r="B17" t="s">
        <v>123</v>
      </c>
      <c r="C17" t="s">
        <v>92</v>
      </c>
      <c r="D17" t="s">
        <v>93</v>
      </c>
      <c r="E17" t="s">
        <v>364</v>
      </c>
      <c r="F17" t="s">
        <v>365</v>
      </c>
      <c r="G17">
        <v>1</v>
      </c>
      <c r="H17" t="s">
        <v>44</v>
      </c>
      <c r="I17">
        <v>432</v>
      </c>
      <c r="J17">
        <v>432</v>
      </c>
    </row>
    <row r="18" spans="1:10" x14ac:dyDescent="0.2">
      <c r="A18" t="s">
        <v>126</v>
      </c>
      <c r="B18" t="s">
        <v>123</v>
      </c>
      <c r="C18" t="s">
        <v>92</v>
      </c>
      <c r="D18" t="s">
        <v>93</v>
      </c>
      <c r="E18" t="s">
        <v>334</v>
      </c>
      <c r="F18" t="s">
        <v>335</v>
      </c>
      <c r="G18">
        <v>1</v>
      </c>
      <c r="H18" t="s">
        <v>44</v>
      </c>
      <c r="I18">
        <v>147</v>
      </c>
      <c r="J18">
        <v>147</v>
      </c>
    </row>
    <row r="19" spans="1:10" x14ac:dyDescent="0.2">
      <c r="A19" t="s">
        <v>126</v>
      </c>
      <c r="B19" t="s">
        <v>123</v>
      </c>
      <c r="C19" t="s">
        <v>92</v>
      </c>
      <c r="D19" t="s">
        <v>93</v>
      </c>
      <c r="E19" t="s">
        <v>366</v>
      </c>
      <c r="F19" t="s">
        <v>367</v>
      </c>
      <c r="G19">
        <v>3</v>
      </c>
      <c r="H19" t="s">
        <v>44</v>
      </c>
      <c r="I19">
        <v>1</v>
      </c>
      <c r="J19">
        <v>3</v>
      </c>
    </row>
    <row r="20" spans="1:10" x14ac:dyDescent="0.2">
      <c r="A20" t="s">
        <v>126</v>
      </c>
      <c r="B20" t="s">
        <v>123</v>
      </c>
      <c r="C20" t="s">
        <v>92</v>
      </c>
      <c r="D20" t="s">
        <v>93</v>
      </c>
      <c r="E20" t="s">
        <v>368</v>
      </c>
      <c r="F20" t="s">
        <v>369</v>
      </c>
      <c r="G20">
        <v>1</v>
      </c>
      <c r="H20" t="s">
        <v>44</v>
      </c>
      <c r="I20">
        <v>19</v>
      </c>
      <c r="J20">
        <v>19</v>
      </c>
    </row>
    <row r="21" spans="1:10" x14ac:dyDescent="0.2">
      <c r="A21" t="s">
        <v>126</v>
      </c>
      <c r="B21" t="s">
        <v>123</v>
      </c>
      <c r="C21" t="s">
        <v>92</v>
      </c>
      <c r="D21" t="s">
        <v>93</v>
      </c>
      <c r="E21" t="s">
        <v>370</v>
      </c>
      <c r="F21" t="s">
        <v>371</v>
      </c>
      <c r="G21">
        <v>3</v>
      </c>
      <c r="H21" t="s">
        <v>44</v>
      </c>
      <c r="I21">
        <v>0.52</v>
      </c>
      <c r="J21">
        <v>1.56</v>
      </c>
    </row>
    <row r="22" spans="1:10" x14ac:dyDescent="0.2">
      <c r="A22" t="s">
        <v>126</v>
      </c>
      <c r="B22" t="s">
        <v>123</v>
      </c>
      <c r="C22" t="s">
        <v>92</v>
      </c>
      <c r="D22" t="s">
        <v>93</v>
      </c>
      <c r="E22" t="s">
        <v>372</v>
      </c>
      <c r="F22" t="s">
        <v>373</v>
      </c>
      <c r="G22">
        <v>1</v>
      </c>
      <c r="H22" t="s">
        <v>44</v>
      </c>
      <c r="I22">
        <v>32</v>
      </c>
      <c r="J22">
        <v>32</v>
      </c>
    </row>
    <row r="23" spans="1:10" x14ac:dyDescent="0.2">
      <c r="A23" t="s">
        <v>126</v>
      </c>
      <c r="B23" t="s">
        <v>123</v>
      </c>
      <c r="C23" t="s">
        <v>92</v>
      </c>
      <c r="D23" t="s">
        <v>93</v>
      </c>
      <c r="E23" t="s">
        <v>374</v>
      </c>
      <c r="F23" t="s">
        <v>375</v>
      </c>
      <c r="G23">
        <v>1</v>
      </c>
      <c r="H23" t="s">
        <v>44</v>
      </c>
      <c r="I23">
        <v>11</v>
      </c>
      <c r="J23">
        <v>11</v>
      </c>
    </row>
    <row r="24" spans="1:10" x14ac:dyDescent="0.2">
      <c r="A24" t="s">
        <v>126</v>
      </c>
      <c r="B24" t="s">
        <v>123</v>
      </c>
      <c r="C24" t="s">
        <v>92</v>
      </c>
      <c r="D24" t="s">
        <v>93</v>
      </c>
      <c r="E24" t="s">
        <v>376</v>
      </c>
      <c r="F24" t="s">
        <v>377</v>
      </c>
      <c r="G24">
        <v>3</v>
      </c>
      <c r="H24" t="s">
        <v>44</v>
      </c>
      <c r="I24">
        <v>5</v>
      </c>
      <c r="J24">
        <v>15</v>
      </c>
    </row>
    <row r="25" spans="1:10" x14ac:dyDescent="0.2">
      <c r="A25" t="s">
        <v>126</v>
      </c>
      <c r="B25" t="s">
        <v>123</v>
      </c>
      <c r="C25" t="s">
        <v>92</v>
      </c>
      <c r="D25" t="s">
        <v>93</v>
      </c>
      <c r="E25" t="s">
        <v>378</v>
      </c>
      <c r="F25" t="s">
        <v>379</v>
      </c>
      <c r="G25">
        <v>3</v>
      </c>
      <c r="H25" t="s">
        <v>44</v>
      </c>
      <c r="I25">
        <v>0.69</v>
      </c>
      <c r="J25">
        <v>2.0699999999999998</v>
      </c>
    </row>
    <row r="26" spans="1:10" x14ac:dyDescent="0.2">
      <c r="A26" t="s">
        <v>126</v>
      </c>
      <c r="B26" t="s">
        <v>123</v>
      </c>
      <c r="C26" t="s">
        <v>92</v>
      </c>
      <c r="D26" t="s">
        <v>93</v>
      </c>
      <c r="E26" t="s">
        <v>380</v>
      </c>
      <c r="F26" t="s">
        <v>381</v>
      </c>
      <c r="G26">
        <v>3</v>
      </c>
      <c r="H26" t="s">
        <v>44</v>
      </c>
      <c r="I26">
        <v>0.4</v>
      </c>
      <c r="J26">
        <v>1.2</v>
      </c>
    </row>
    <row r="27" spans="1:10" x14ac:dyDescent="0.2">
      <c r="A27" t="s">
        <v>126</v>
      </c>
      <c r="B27" t="s">
        <v>123</v>
      </c>
      <c r="C27" t="s">
        <v>92</v>
      </c>
      <c r="D27" t="s">
        <v>93</v>
      </c>
      <c r="E27" t="s">
        <v>382</v>
      </c>
      <c r="F27" t="s">
        <v>383</v>
      </c>
      <c r="G27">
        <v>1</v>
      </c>
      <c r="H27" t="s">
        <v>44</v>
      </c>
      <c r="I27">
        <v>2</v>
      </c>
      <c r="J27">
        <v>2</v>
      </c>
    </row>
    <row r="28" spans="1:10" x14ac:dyDescent="0.2">
      <c r="A28" t="s">
        <v>126</v>
      </c>
      <c r="B28" t="s">
        <v>123</v>
      </c>
      <c r="C28" t="s">
        <v>92</v>
      </c>
      <c r="D28" t="s">
        <v>93</v>
      </c>
      <c r="E28" t="s">
        <v>384</v>
      </c>
      <c r="F28" t="s">
        <v>385</v>
      </c>
      <c r="G28">
        <v>1</v>
      </c>
      <c r="H28" t="s">
        <v>44</v>
      </c>
      <c r="I28">
        <v>9</v>
      </c>
      <c r="J28">
        <v>9</v>
      </c>
    </row>
    <row r="29" spans="1:10" x14ac:dyDescent="0.2">
      <c r="A29" t="s">
        <v>331</v>
      </c>
      <c r="B29" t="s">
        <v>330</v>
      </c>
      <c r="C29" t="s">
        <v>92</v>
      </c>
      <c r="D29" t="s">
        <v>93</v>
      </c>
      <c r="E29" t="s">
        <v>386</v>
      </c>
      <c r="F29" t="s">
        <v>387</v>
      </c>
      <c r="G29">
        <v>1</v>
      </c>
      <c r="H29" t="s">
        <v>44</v>
      </c>
      <c r="I29">
        <v>741.15</v>
      </c>
      <c r="J29">
        <v>741.15</v>
      </c>
    </row>
    <row r="30" spans="1:10" x14ac:dyDescent="0.2">
      <c r="A30" t="s">
        <v>124</v>
      </c>
      <c r="B30" t="s">
        <v>123</v>
      </c>
      <c r="C30" t="s">
        <v>92</v>
      </c>
      <c r="D30" t="s">
        <v>93</v>
      </c>
      <c r="E30" t="s">
        <v>360</v>
      </c>
      <c r="F30" t="s">
        <v>361</v>
      </c>
      <c r="G30">
        <v>4</v>
      </c>
      <c r="H30" t="s">
        <v>44</v>
      </c>
      <c r="I30">
        <v>11</v>
      </c>
      <c r="J30">
        <v>44</v>
      </c>
    </row>
    <row r="31" spans="1:10" x14ac:dyDescent="0.2">
      <c r="A31" t="s">
        <v>124</v>
      </c>
      <c r="B31" t="s">
        <v>123</v>
      </c>
      <c r="C31" t="s">
        <v>92</v>
      </c>
      <c r="D31" t="s">
        <v>93</v>
      </c>
      <c r="E31" t="s">
        <v>344</v>
      </c>
      <c r="F31" t="s">
        <v>345</v>
      </c>
      <c r="G31">
        <v>4</v>
      </c>
      <c r="H31" t="s">
        <v>44</v>
      </c>
      <c r="I31">
        <v>11</v>
      </c>
      <c r="J31">
        <v>44</v>
      </c>
    </row>
    <row r="32" spans="1:10" x14ac:dyDescent="0.2">
      <c r="A32" t="s">
        <v>124</v>
      </c>
      <c r="B32" t="s">
        <v>123</v>
      </c>
      <c r="C32" t="s">
        <v>92</v>
      </c>
      <c r="D32" t="s">
        <v>93</v>
      </c>
      <c r="E32" t="s">
        <v>362</v>
      </c>
      <c r="F32" t="s">
        <v>363</v>
      </c>
      <c r="G32">
        <v>2</v>
      </c>
      <c r="H32" t="s">
        <v>44</v>
      </c>
      <c r="I32">
        <v>13</v>
      </c>
      <c r="J32">
        <v>26</v>
      </c>
    </row>
    <row r="33" spans="1:10" x14ac:dyDescent="0.2">
      <c r="A33" t="s">
        <v>124</v>
      </c>
      <c r="B33" t="s">
        <v>123</v>
      </c>
      <c r="C33" t="s">
        <v>92</v>
      </c>
      <c r="D33" t="s">
        <v>93</v>
      </c>
      <c r="E33" t="s">
        <v>356</v>
      </c>
      <c r="F33" t="s">
        <v>357</v>
      </c>
      <c r="G33">
        <v>1</v>
      </c>
      <c r="H33" t="s">
        <v>44</v>
      </c>
      <c r="I33">
        <v>12</v>
      </c>
      <c r="J33">
        <v>12</v>
      </c>
    </row>
    <row r="34" spans="1:10" x14ac:dyDescent="0.2">
      <c r="A34" t="s">
        <v>124</v>
      </c>
      <c r="B34" t="s">
        <v>123</v>
      </c>
      <c r="C34" t="s">
        <v>92</v>
      </c>
      <c r="D34" t="s">
        <v>93</v>
      </c>
      <c r="E34" t="s">
        <v>388</v>
      </c>
      <c r="F34" t="s">
        <v>389</v>
      </c>
      <c r="G34">
        <v>1</v>
      </c>
      <c r="H34" t="s">
        <v>44</v>
      </c>
      <c r="I34">
        <v>11</v>
      </c>
      <c r="J34">
        <v>11</v>
      </c>
    </row>
    <row r="35" spans="1:10" x14ac:dyDescent="0.2">
      <c r="A35" t="s">
        <v>124</v>
      </c>
      <c r="B35" t="s">
        <v>123</v>
      </c>
      <c r="C35" t="s">
        <v>92</v>
      </c>
      <c r="D35" t="s">
        <v>93</v>
      </c>
      <c r="E35" t="s">
        <v>366</v>
      </c>
      <c r="F35" t="s">
        <v>367</v>
      </c>
      <c r="G35">
        <v>2</v>
      </c>
      <c r="H35" t="s">
        <v>44</v>
      </c>
      <c r="I35">
        <v>1</v>
      </c>
      <c r="J35">
        <v>2</v>
      </c>
    </row>
    <row r="36" spans="1:10" x14ac:dyDescent="0.2">
      <c r="A36" t="s">
        <v>124</v>
      </c>
      <c r="B36" t="s">
        <v>123</v>
      </c>
      <c r="C36" t="s">
        <v>92</v>
      </c>
      <c r="D36" t="s">
        <v>93</v>
      </c>
      <c r="E36" t="s">
        <v>390</v>
      </c>
      <c r="F36" t="s">
        <v>391</v>
      </c>
      <c r="G36">
        <v>1</v>
      </c>
      <c r="H36" t="s">
        <v>44</v>
      </c>
      <c r="I36">
        <v>0.17</v>
      </c>
      <c r="J36">
        <v>0.17</v>
      </c>
    </row>
    <row r="37" spans="1:10" x14ac:dyDescent="0.2">
      <c r="A37" t="s">
        <v>124</v>
      </c>
      <c r="B37" t="s">
        <v>123</v>
      </c>
      <c r="C37" t="s">
        <v>92</v>
      </c>
      <c r="D37" t="s">
        <v>93</v>
      </c>
      <c r="E37" t="s">
        <v>392</v>
      </c>
      <c r="F37" t="s">
        <v>393</v>
      </c>
      <c r="G37">
        <v>2</v>
      </c>
      <c r="H37" t="s">
        <v>44</v>
      </c>
      <c r="I37">
        <v>19</v>
      </c>
      <c r="J37">
        <v>38</v>
      </c>
    </row>
    <row r="38" spans="1:10" x14ac:dyDescent="0.2">
      <c r="A38" t="s">
        <v>124</v>
      </c>
      <c r="B38" t="s">
        <v>123</v>
      </c>
      <c r="C38" t="s">
        <v>92</v>
      </c>
      <c r="D38" t="s">
        <v>93</v>
      </c>
      <c r="E38" t="s">
        <v>394</v>
      </c>
      <c r="F38" t="s">
        <v>395</v>
      </c>
      <c r="G38">
        <v>1</v>
      </c>
      <c r="H38" t="s">
        <v>44</v>
      </c>
      <c r="I38">
        <v>6</v>
      </c>
      <c r="J38">
        <v>6</v>
      </c>
    </row>
    <row r="39" spans="1:10" x14ac:dyDescent="0.2">
      <c r="A39" t="s">
        <v>124</v>
      </c>
      <c r="B39" t="s">
        <v>123</v>
      </c>
      <c r="C39" t="s">
        <v>92</v>
      </c>
      <c r="D39" t="s">
        <v>93</v>
      </c>
      <c r="E39" t="s">
        <v>396</v>
      </c>
      <c r="F39" t="s">
        <v>397</v>
      </c>
      <c r="G39">
        <v>1</v>
      </c>
      <c r="H39" t="s">
        <v>44</v>
      </c>
      <c r="I39">
        <v>11</v>
      </c>
      <c r="J39">
        <v>11</v>
      </c>
    </row>
    <row r="40" spans="1:10" x14ac:dyDescent="0.2">
      <c r="A40" t="s">
        <v>124</v>
      </c>
      <c r="B40" t="s">
        <v>123</v>
      </c>
      <c r="C40" t="s">
        <v>92</v>
      </c>
      <c r="D40" t="s">
        <v>93</v>
      </c>
      <c r="E40" t="s">
        <v>364</v>
      </c>
      <c r="F40" t="s">
        <v>365</v>
      </c>
      <c r="G40">
        <v>1</v>
      </c>
      <c r="H40" t="s">
        <v>44</v>
      </c>
      <c r="I40">
        <v>432</v>
      </c>
      <c r="J40">
        <v>432</v>
      </c>
    </row>
    <row r="41" spans="1:10" x14ac:dyDescent="0.2">
      <c r="A41" t="s">
        <v>124</v>
      </c>
      <c r="B41" t="s">
        <v>123</v>
      </c>
      <c r="C41" t="s">
        <v>92</v>
      </c>
      <c r="D41" t="s">
        <v>93</v>
      </c>
      <c r="E41" t="s">
        <v>398</v>
      </c>
      <c r="F41" t="s">
        <v>347</v>
      </c>
      <c r="G41">
        <v>1</v>
      </c>
      <c r="H41" t="s">
        <v>44</v>
      </c>
      <c r="I41">
        <v>1</v>
      </c>
      <c r="J41">
        <v>1</v>
      </c>
    </row>
    <row r="42" spans="1:10" x14ac:dyDescent="0.2">
      <c r="A42" t="s">
        <v>124</v>
      </c>
      <c r="B42" t="s">
        <v>123</v>
      </c>
      <c r="C42" t="s">
        <v>92</v>
      </c>
      <c r="D42" t="s">
        <v>93</v>
      </c>
      <c r="E42" t="s">
        <v>399</v>
      </c>
      <c r="F42" t="s">
        <v>400</v>
      </c>
      <c r="G42">
        <v>3</v>
      </c>
      <c r="H42" t="s">
        <v>44</v>
      </c>
      <c r="I42">
        <v>0.6</v>
      </c>
      <c r="J42">
        <v>1.8</v>
      </c>
    </row>
    <row r="43" spans="1:10" x14ac:dyDescent="0.2">
      <c r="A43" t="s">
        <v>124</v>
      </c>
      <c r="B43" t="s">
        <v>123</v>
      </c>
      <c r="C43" t="s">
        <v>92</v>
      </c>
      <c r="D43" t="s">
        <v>93</v>
      </c>
      <c r="E43" t="s">
        <v>401</v>
      </c>
      <c r="F43" t="s">
        <v>402</v>
      </c>
      <c r="G43">
        <v>1</v>
      </c>
      <c r="H43" t="s">
        <v>44</v>
      </c>
      <c r="I43">
        <v>7</v>
      </c>
      <c r="J43">
        <v>7</v>
      </c>
    </row>
    <row r="44" spans="1:10" x14ac:dyDescent="0.2">
      <c r="A44" t="s">
        <v>124</v>
      </c>
      <c r="B44" t="s">
        <v>123</v>
      </c>
      <c r="C44" t="s">
        <v>92</v>
      </c>
      <c r="D44" t="s">
        <v>93</v>
      </c>
      <c r="E44" t="s">
        <v>403</v>
      </c>
      <c r="F44" t="s">
        <v>404</v>
      </c>
      <c r="G44">
        <v>1</v>
      </c>
      <c r="H44" t="s">
        <v>44</v>
      </c>
      <c r="I44">
        <v>570</v>
      </c>
      <c r="J44">
        <v>570</v>
      </c>
    </row>
    <row r="45" spans="1:10" x14ac:dyDescent="0.2">
      <c r="A45" t="s">
        <v>124</v>
      </c>
      <c r="B45" t="s">
        <v>123</v>
      </c>
      <c r="C45" t="s">
        <v>92</v>
      </c>
      <c r="D45" t="s">
        <v>93</v>
      </c>
      <c r="E45" t="s">
        <v>374</v>
      </c>
      <c r="F45" t="s">
        <v>375</v>
      </c>
      <c r="G45">
        <v>1</v>
      </c>
      <c r="H45" t="s">
        <v>44</v>
      </c>
      <c r="I45">
        <v>11</v>
      </c>
      <c r="J45">
        <v>11</v>
      </c>
    </row>
    <row r="46" spans="1:10" x14ac:dyDescent="0.2">
      <c r="A46" t="s">
        <v>124</v>
      </c>
      <c r="B46" t="s">
        <v>123</v>
      </c>
      <c r="C46" t="s">
        <v>92</v>
      </c>
      <c r="D46" t="s">
        <v>93</v>
      </c>
      <c r="E46" t="s">
        <v>378</v>
      </c>
      <c r="F46" t="s">
        <v>379</v>
      </c>
      <c r="G46">
        <v>1</v>
      </c>
      <c r="H46" t="s">
        <v>44</v>
      </c>
      <c r="I46">
        <v>0.69</v>
      </c>
      <c r="J46">
        <v>0.69</v>
      </c>
    </row>
    <row r="47" spans="1:10" x14ac:dyDescent="0.2">
      <c r="A47" t="s">
        <v>124</v>
      </c>
      <c r="B47" t="s">
        <v>123</v>
      </c>
      <c r="C47" t="s">
        <v>92</v>
      </c>
      <c r="D47" t="s">
        <v>93</v>
      </c>
      <c r="E47" t="s">
        <v>405</v>
      </c>
      <c r="F47" t="s">
        <v>406</v>
      </c>
      <c r="G47">
        <v>4</v>
      </c>
      <c r="H47" t="s">
        <v>44</v>
      </c>
      <c r="I47">
        <v>1</v>
      </c>
      <c r="J47">
        <v>4</v>
      </c>
    </row>
    <row r="48" spans="1:10" x14ac:dyDescent="0.2">
      <c r="A48" t="s">
        <v>124</v>
      </c>
      <c r="B48" t="s">
        <v>123</v>
      </c>
      <c r="C48" t="s">
        <v>92</v>
      </c>
      <c r="D48" t="s">
        <v>93</v>
      </c>
      <c r="E48" t="s">
        <v>407</v>
      </c>
      <c r="F48" t="s">
        <v>408</v>
      </c>
      <c r="G48">
        <v>1</v>
      </c>
      <c r="H48" t="s">
        <v>44</v>
      </c>
      <c r="I48">
        <v>11</v>
      </c>
      <c r="J48">
        <v>11</v>
      </c>
    </row>
    <row r="49" spans="1:10" x14ac:dyDescent="0.2">
      <c r="A49" t="s">
        <v>136</v>
      </c>
      <c r="B49" t="s">
        <v>123</v>
      </c>
      <c r="C49" t="s">
        <v>92</v>
      </c>
      <c r="D49" t="s">
        <v>93</v>
      </c>
      <c r="E49" t="s">
        <v>409</v>
      </c>
      <c r="F49" t="s">
        <v>410</v>
      </c>
      <c r="G49">
        <v>4</v>
      </c>
      <c r="H49" t="s">
        <v>44</v>
      </c>
      <c r="I49">
        <v>21.27</v>
      </c>
      <c r="J49">
        <v>85.08</v>
      </c>
    </row>
    <row r="50" spans="1:10" x14ac:dyDescent="0.2">
      <c r="A50" t="s">
        <v>136</v>
      </c>
      <c r="B50" t="s">
        <v>123</v>
      </c>
      <c r="C50" t="s">
        <v>92</v>
      </c>
      <c r="D50" t="s">
        <v>93</v>
      </c>
      <c r="E50" t="s">
        <v>411</v>
      </c>
      <c r="F50" t="s">
        <v>389</v>
      </c>
      <c r="G50">
        <v>1</v>
      </c>
      <c r="H50" t="s">
        <v>44</v>
      </c>
      <c r="I50">
        <v>11</v>
      </c>
      <c r="J50">
        <v>11</v>
      </c>
    </row>
    <row r="51" spans="1:10" x14ac:dyDescent="0.2">
      <c r="A51" t="s">
        <v>136</v>
      </c>
      <c r="B51" t="s">
        <v>123</v>
      </c>
      <c r="C51" t="s">
        <v>92</v>
      </c>
      <c r="D51" t="s">
        <v>93</v>
      </c>
      <c r="E51" t="s">
        <v>412</v>
      </c>
      <c r="F51" t="s">
        <v>413</v>
      </c>
      <c r="G51">
        <v>1</v>
      </c>
      <c r="H51" t="s">
        <v>44</v>
      </c>
      <c r="I51">
        <v>59</v>
      </c>
      <c r="J51">
        <v>59</v>
      </c>
    </row>
    <row r="52" spans="1:10" x14ac:dyDescent="0.2">
      <c r="A52" t="s">
        <v>136</v>
      </c>
      <c r="B52" t="s">
        <v>123</v>
      </c>
      <c r="C52" t="s">
        <v>92</v>
      </c>
      <c r="D52" t="s">
        <v>93</v>
      </c>
      <c r="E52" t="s">
        <v>414</v>
      </c>
      <c r="F52" t="s">
        <v>415</v>
      </c>
      <c r="G52">
        <v>4</v>
      </c>
      <c r="H52" t="s">
        <v>44</v>
      </c>
      <c r="I52">
        <v>21.27</v>
      </c>
      <c r="J52">
        <v>85.08</v>
      </c>
    </row>
    <row r="53" spans="1:10" x14ac:dyDescent="0.2">
      <c r="A53" t="s">
        <v>136</v>
      </c>
      <c r="B53" t="s">
        <v>123</v>
      </c>
      <c r="C53" t="s">
        <v>92</v>
      </c>
      <c r="D53" t="s">
        <v>93</v>
      </c>
      <c r="E53" t="s">
        <v>416</v>
      </c>
      <c r="F53" t="s">
        <v>417</v>
      </c>
      <c r="G53">
        <v>1</v>
      </c>
      <c r="H53" t="s">
        <v>44</v>
      </c>
      <c r="I53">
        <v>85</v>
      </c>
      <c r="J53">
        <v>85</v>
      </c>
    </row>
    <row r="54" spans="1:10" x14ac:dyDescent="0.2">
      <c r="A54" t="s">
        <v>136</v>
      </c>
      <c r="B54" t="s">
        <v>123</v>
      </c>
      <c r="C54" t="s">
        <v>92</v>
      </c>
      <c r="D54" t="s">
        <v>93</v>
      </c>
      <c r="E54" t="s">
        <v>418</v>
      </c>
      <c r="F54" t="s">
        <v>419</v>
      </c>
      <c r="G54">
        <v>1</v>
      </c>
      <c r="H54" t="s">
        <v>44</v>
      </c>
      <c r="I54">
        <v>12</v>
      </c>
      <c r="J54">
        <v>12</v>
      </c>
    </row>
    <row r="55" spans="1:10" x14ac:dyDescent="0.2">
      <c r="A55" t="s">
        <v>136</v>
      </c>
      <c r="B55" t="s">
        <v>123</v>
      </c>
      <c r="C55" t="s">
        <v>92</v>
      </c>
      <c r="D55" t="s">
        <v>93</v>
      </c>
      <c r="E55" t="s">
        <v>374</v>
      </c>
      <c r="F55" t="s">
        <v>375</v>
      </c>
      <c r="G55">
        <v>1</v>
      </c>
      <c r="H55" t="s">
        <v>44</v>
      </c>
      <c r="I55">
        <v>11</v>
      </c>
      <c r="J55">
        <v>11</v>
      </c>
    </row>
    <row r="56" spans="1:10" x14ac:dyDescent="0.2">
      <c r="A56" t="s">
        <v>136</v>
      </c>
      <c r="B56" t="s">
        <v>123</v>
      </c>
      <c r="C56" t="s">
        <v>92</v>
      </c>
      <c r="D56" t="s">
        <v>93</v>
      </c>
      <c r="E56" t="s">
        <v>420</v>
      </c>
      <c r="F56" t="s">
        <v>421</v>
      </c>
      <c r="G56">
        <v>2</v>
      </c>
      <c r="H56" t="s">
        <v>44</v>
      </c>
      <c r="I56">
        <v>0.4</v>
      </c>
      <c r="J56">
        <v>0.8</v>
      </c>
    </row>
    <row r="57" spans="1:10" x14ac:dyDescent="0.2">
      <c r="A57" t="s">
        <v>136</v>
      </c>
      <c r="B57" t="s">
        <v>123</v>
      </c>
      <c r="C57" t="s">
        <v>92</v>
      </c>
      <c r="D57" t="s">
        <v>93</v>
      </c>
      <c r="E57" t="s">
        <v>422</v>
      </c>
      <c r="F57" t="s">
        <v>423</v>
      </c>
      <c r="G57">
        <v>1</v>
      </c>
      <c r="H57" t="s">
        <v>44</v>
      </c>
      <c r="I57">
        <v>0.87</v>
      </c>
      <c r="J57">
        <v>0.87</v>
      </c>
    </row>
    <row r="58" spans="1:10" x14ac:dyDescent="0.2">
      <c r="A58" t="s">
        <v>136</v>
      </c>
      <c r="B58" t="s">
        <v>123</v>
      </c>
      <c r="C58" t="s">
        <v>92</v>
      </c>
      <c r="D58" t="s">
        <v>93</v>
      </c>
      <c r="E58" t="s">
        <v>424</v>
      </c>
      <c r="F58" t="s">
        <v>425</v>
      </c>
      <c r="G58">
        <v>1</v>
      </c>
      <c r="H58" t="s">
        <v>44</v>
      </c>
      <c r="I58">
        <v>501</v>
      </c>
      <c r="J58">
        <v>501</v>
      </c>
    </row>
    <row r="59" spans="1:10" x14ac:dyDescent="0.2">
      <c r="A59" t="s">
        <v>136</v>
      </c>
      <c r="B59" t="s">
        <v>123</v>
      </c>
      <c r="C59" t="s">
        <v>92</v>
      </c>
      <c r="D59" t="s">
        <v>93</v>
      </c>
      <c r="E59" t="s">
        <v>426</v>
      </c>
      <c r="F59" t="s">
        <v>427</v>
      </c>
      <c r="G59">
        <v>2</v>
      </c>
      <c r="H59" t="s">
        <v>44</v>
      </c>
      <c r="I59">
        <v>4</v>
      </c>
      <c r="J59">
        <v>8</v>
      </c>
    </row>
    <row r="60" spans="1:10" x14ac:dyDescent="0.2">
      <c r="A60" t="s">
        <v>136</v>
      </c>
      <c r="B60" t="s">
        <v>123</v>
      </c>
      <c r="C60" t="s">
        <v>92</v>
      </c>
      <c r="D60" t="s">
        <v>93</v>
      </c>
      <c r="E60" t="s">
        <v>428</v>
      </c>
      <c r="F60" t="s">
        <v>429</v>
      </c>
      <c r="G60">
        <v>4</v>
      </c>
      <c r="H60" t="s">
        <v>44</v>
      </c>
      <c r="I60">
        <v>21.27</v>
      </c>
      <c r="J60">
        <v>85.08</v>
      </c>
    </row>
    <row r="61" spans="1:10" x14ac:dyDescent="0.2">
      <c r="A61" t="s">
        <v>136</v>
      </c>
      <c r="B61" t="s">
        <v>123</v>
      </c>
      <c r="C61" t="s">
        <v>92</v>
      </c>
      <c r="D61" t="s">
        <v>93</v>
      </c>
      <c r="E61" t="s">
        <v>430</v>
      </c>
      <c r="F61" t="s">
        <v>431</v>
      </c>
      <c r="G61">
        <v>1</v>
      </c>
      <c r="H61" t="s">
        <v>44</v>
      </c>
      <c r="I61">
        <v>85</v>
      </c>
      <c r="J61">
        <v>85</v>
      </c>
    </row>
    <row r="62" spans="1:10" x14ac:dyDescent="0.2">
      <c r="A62" t="s">
        <v>136</v>
      </c>
      <c r="B62" t="s">
        <v>123</v>
      </c>
      <c r="C62" t="s">
        <v>92</v>
      </c>
      <c r="D62" t="s">
        <v>93</v>
      </c>
      <c r="E62" t="s">
        <v>432</v>
      </c>
      <c r="F62" t="s">
        <v>433</v>
      </c>
      <c r="G62">
        <v>1</v>
      </c>
      <c r="H62" t="s">
        <v>44</v>
      </c>
      <c r="I62">
        <v>0.4</v>
      </c>
      <c r="J62">
        <v>0.4</v>
      </c>
    </row>
    <row r="63" spans="1:10" x14ac:dyDescent="0.2">
      <c r="A63" t="s">
        <v>136</v>
      </c>
      <c r="B63" t="s">
        <v>123</v>
      </c>
      <c r="C63" t="s">
        <v>92</v>
      </c>
      <c r="D63" t="s">
        <v>93</v>
      </c>
      <c r="E63" t="s">
        <v>434</v>
      </c>
      <c r="F63" t="s">
        <v>435</v>
      </c>
      <c r="G63">
        <v>4</v>
      </c>
      <c r="H63" t="s">
        <v>44</v>
      </c>
      <c r="I63">
        <v>21.27</v>
      </c>
      <c r="J63">
        <v>85.08</v>
      </c>
    </row>
    <row r="64" spans="1:10" x14ac:dyDescent="0.2">
      <c r="A64" t="s">
        <v>136</v>
      </c>
      <c r="B64" t="s">
        <v>123</v>
      </c>
      <c r="C64" t="s">
        <v>92</v>
      </c>
      <c r="D64" t="s">
        <v>93</v>
      </c>
      <c r="E64" t="s">
        <v>356</v>
      </c>
      <c r="F64" t="s">
        <v>357</v>
      </c>
      <c r="G64">
        <v>1</v>
      </c>
      <c r="H64" t="s">
        <v>44</v>
      </c>
      <c r="I64">
        <v>12</v>
      </c>
      <c r="J64">
        <v>12</v>
      </c>
    </row>
    <row r="65" spans="1:10" x14ac:dyDescent="0.2">
      <c r="A65" t="s">
        <v>136</v>
      </c>
      <c r="B65" t="s">
        <v>123</v>
      </c>
      <c r="C65" t="s">
        <v>92</v>
      </c>
      <c r="D65" t="s">
        <v>93</v>
      </c>
      <c r="E65" t="s">
        <v>436</v>
      </c>
      <c r="F65" t="s">
        <v>437</v>
      </c>
      <c r="G65">
        <v>2</v>
      </c>
      <c r="H65" t="s">
        <v>44</v>
      </c>
      <c r="I65">
        <v>2</v>
      </c>
      <c r="J65">
        <v>4</v>
      </c>
    </row>
    <row r="66" spans="1:10" x14ac:dyDescent="0.2">
      <c r="A66" t="s">
        <v>136</v>
      </c>
      <c r="B66" t="s">
        <v>123</v>
      </c>
      <c r="C66" t="s">
        <v>92</v>
      </c>
      <c r="D66" t="s">
        <v>93</v>
      </c>
      <c r="E66" t="s">
        <v>438</v>
      </c>
      <c r="F66" t="s">
        <v>439</v>
      </c>
      <c r="G66">
        <v>1</v>
      </c>
      <c r="H66" t="s">
        <v>44</v>
      </c>
      <c r="I66">
        <v>1</v>
      </c>
      <c r="J66">
        <v>1</v>
      </c>
    </row>
    <row r="67" spans="1:10" x14ac:dyDescent="0.2">
      <c r="A67" t="s">
        <v>136</v>
      </c>
      <c r="B67" t="s">
        <v>123</v>
      </c>
      <c r="C67" t="s">
        <v>92</v>
      </c>
      <c r="D67" t="s">
        <v>93</v>
      </c>
      <c r="E67" t="s">
        <v>440</v>
      </c>
      <c r="F67" t="s">
        <v>441</v>
      </c>
      <c r="G67">
        <v>2</v>
      </c>
      <c r="H67" t="s">
        <v>44</v>
      </c>
      <c r="I67">
        <v>33</v>
      </c>
      <c r="J67">
        <v>66</v>
      </c>
    </row>
    <row r="68" spans="1:10" x14ac:dyDescent="0.2">
      <c r="A68" t="s">
        <v>136</v>
      </c>
      <c r="B68" t="s">
        <v>123</v>
      </c>
      <c r="C68" t="s">
        <v>92</v>
      </c>
      <c r="D68" t="s">
        <v>93</v>
      </c>
      <c r="E68" t="s">
        <v>366</v>
      </c>
      <c r="F68" t="s">
        <v>367</v>
      </c>
      <c r="G68">
        <v>4</v>
      </c>
      <c r="H68" t="s">
        <v>44</v>
      </c>
      <c r="I68">
        <v>1</v>
      </c>
      <c r="J68">
        <v>4</v>
      </c>
    </row>
    <row r="69" spans="1:10" x14ac:dyDescent="0.2">
      <c r="A69" t="s">
        <v>136</v>
      </c>
      <c r="B69" t="s">
        <v>123</v>
      </c>
      <c r="C69" t="s">
        <v>92</v>
      </c>
      <c r="D69" t="s">
        <v>93</v>
      </c>
      <c r="E69" t="s">
        <v>442</v>
      </c>
      <c r="F69" t="s">
        <v>443</v>
      </c>
      <c r="G69">
        <v>1</v>
      </c>
      <c r="H69" t="s">
        <v>44</v>
      </c>
      <c r="I69">
        <v>4.13</v>
      </c>
      <c r="J69">
        <v>4.13</v>
      </c>
    </row>
    <row r="70" spans="1:10" x14ac:dyDescent="0.2">
      <c r="A70" t="s">
        <v>136</v>
      </c>
      <c r="B70" t="s">
        <v>123</v>
      </c>
      <c r="C70" t="s">
        <v>92</v>
      </c>
      <c r="D70" t="s">
        <v>93</v>
      </c>
      <c r="E70" t="s">
        <v>382</v>
      </c>
      <c r="F70" t="s">
        <v>383</v>
      </c>
      <c r="G70">
        <v>1</v>
      </c>
      <c r="H70" t="s">
        <v>44</v>
      </c>
      <c r="I70">
        <v>2</v>
      </c>
      <c r="J70">
        <v>2</v>
      </c>
    </row>
    <row r="71" spans="1:10" x14ac:dyDescent="0.2">
      <c r="A71" t="s">
        <v>136</v>
      </c>
      <c r="B71" t="s">
        <v>123</v>
      </c>
      <c r="C71" t="s">
        <v>92</v>
      </c>
      <c r="D71" t="s">
        <v>93</v>
      </c>
      <c r="E71" t="s">
        <v>444</v>
      </c>
      <c r="F71" t="s">
        <v>445</v>
      </c>
      <c r="G71">
        <v>1</v>
      </c>
      <c r="H71" t="s">
        <v>44</v>
      </c>
      <c r="I71">
        <v>4.95</v>
      </c>
      <c r="J71">
        <v>4.95</v>
      </c>
    </row>
    <row r="72" spans="1:10" x14ac:dyDescent="0.2">
      <c r="A72" t="s">
        <v>136</v>
      </c>
      <c r="B72" t="s">
        <v>123</v>
      </c>
      <c r="C72" t="s">
        <v>92</v>
      </c>
      <c r="D72" t="s">
        <v>93</v>
      </c>
      <c r="E72" t="s">
        <v>407</v>
      </c>
      <c r="F72" t="s">
        <v>408</v>
      </c>
      <c r="G72">
        <v>1</v>
      </c>
      <c r="H72" t="s">
        <v>44</v>
      </c>
      <c r="I72">
        <v>11</v>
      </c>
      <c r="J72">
        <v>11</v>
      </c>
    </row>
    <row r="73" spans="1:10" x14ac:dyDescent="0.2">
      <c r="A73" t="s">
        <v>136</v>
      </c>
      <c r="B73" t="s">
        <v>123</v>
      </c>
      <c r="C73" t="s">
        <v>92</v>
      </c>
      <c r="D73" t="s">
        <v>93</v>
      </c>
      <c r="E73" t="s">
        <v>446</v>
      </c>
      <c r="F73" t="s">
        <v>397</v>
      </c>
      <c r="G73">
        <v>1</v>
      </c>
      <c r="H73" t="s">
        <v>44</v>
      </c>
      <c r="I73">
        <v>11</v>
      </c>
      <c r="J73">
        <v>11</v>
      </c>
    </row>
    <row r="74" spans="1:10" x14ac:dyDescent="0.2">
      <c r="A74" t="s">
        <v>136</v>
      </c>
      <c r="B74" t="s">
        <v>123</v>
      </c>
      <c r="C74" t="s">
        <v>92</v>
      </c>
      <c r="D74" t="s">
        <v>93</v>
      </c>
      <c r="E74" t="s">
        <v>447</v>
      </c>
      <c r="F74" t="s">
        <v>448</v>
      </c>
      <c r="G74">
        <v>1</v>
      </c>
      <c r="H74" t="s">
        <v>44</v>
      </c>
      <c r="I74">
        <v>2</v>
      </c>
      <c r="J74">
        <v>2</v>
      </c>
    </row>
    <row r="75" spans="1:10" x14ac:dyDescent="0.2">
      <c r="A75" t="s">
        <v>136</v>
      </c>
      <c r="B75" t="s">
        <v>123</v>
      </c>
      <c r="C75" t="s">
        <v>92</v>
      </c>
      <c r="D75" t="s">
        <v>93</v>
      </c>
      <c r="E75" t="s">
        <v>449</v>
      </c>
      <c r="F75" t="s">
        <v>450</v>
      </c>
      <c r="G75">
        <v>1</v>
      </c>
      <c r="H75" t="s">
        <v>44</v>
      </c>
      <c r="I75">
        <v>3</v>
      </c>
      <c r="J75">
        <v>3</v>
      </c>
    </row>
    <row r="76" spans="1:10" x14ac:dyDescent="0.2">
      <c r="A76" t="s">
        <v>333</v>
      </c>
      <c r="B76" t="s">
        <v>332</v>
      </c>
      <c r="C76" t="s">
        <v>92</v>
      </c>
      <c r="D76" t="s">
        <v>93</v>
      </c>
      <c r="E76" t="s">
        <v>356</v>
      </c>
      <c r="F76" t="s">
        <v>357</v>
      </c>
      <c r="G76">
        <v>1</v>
      </c>
      <c r="H76" t="s">
        <v>44</v>
      </c>
      <c r="I76">
        <v>12</v>
      </c>
      <c r="J76">
        <v>12</v>
      </c>
    </row>
    <row r="77" spans="1:10" x14ac:dyDescent="0.2">
      <c r="A77" t="s">
        <v>333</v>
      </c>
      <c r="B77" t="s">
        <v>332</v>
      </c>
      <c r="C77" t="s">
        <v>92</v>
      </c>
      <c r="D77" t="s">
        <v>93</v>
      </c>
      <c r="E77" t="s">
        <v>360</v>
      </c>
      <c r="F77" t="s">
        <v>361</v>
      </c>
      <c r="G77">
        <v>2</v>
      </c>
      <c r="H77" t="s">
        <v>44</v>
      </c>
      <c r="I77">
        <v>11</v>
      </c>
      <c r="J77">
        <v>22</v>
      </c>
    </row>
    <row r="78" spans="1:10" x14ac:dyDescent="0.2">
      <c r="A78" t="s">
        <v>333</v>
      </c>
      <c r="B78" t="s">
        <v>332</v>
      </c>
      <c r="C78" t="s">
        <v>92</v>
      </c>
      <c r="D78" t="s">
        <v>93</v>
      </c>
      <c r="E78" t="s">
        <v>411</v>
      </c>
      <c r="F78" t="s">
        <v>389</v>
      </c>
      <c r="G78">
        <v>1</v>
      </c>
      <c r="H78" t="s">
        <v>44</v>
      </c>
      <c r="I78">
        <v>11</v>
      </c>
      <c r="J78">
        <v>11</v>
      </c>
    </row>
    <row r="79" spans="1:10" x14ac:dyDescent="0.2">
      <c r="A79" t="s">
        <v>333</v>
      </c>
      <c r="B79" t="s">
        <v>332</v>
      </c>
      <c r="C79" t="s">
        <v>92</v>
      </c>
      <c r="D79" t="s">
        <v>93</v>
      </c>
      <c r="E79" t="s">
        <v>405</v>
      </c>
      <c r="F79" t="s">
        <v>406</v>
      </c>
      <c r="G79">
        <v>2</v>
      </c>
      <c r="H79" t="s">
        <v>44</v>
      </c>
      <c r="I79">
        <v>1</v>
      </c>
      <c r="J79">
        <v>2</v>
      </c>
    </row>
    <row r="80" spans="1:10" x14ac:dyDescent="0.2">
      <c r="A80" t="s">
        <v>333</v>
      </c>
      <c r="B80" t="s">
        <v>332</v>
      </c>
      <c r="C80" t="s">
        <v>92</v>
      </c>
      <c r="D80" t="s">
        <v>93</v>
      </c>
      <c r="E80" t="s">
        <v>451</v>
      </c>
      <c r="F80" t="s">
        <v>377</v>
      </c>
      <c r="G80">
        <v>3</v>
      </c>
      <c r="H80" t="s">
        <v>44</v>
      </c>
      <c r="I80">
        <v>5</v>
      </c>
      <c r="J80">
        <v>15</v>
      </c>
    </row>
    <row r="81" spans="1:10" x14ac:dyDescent="0.2">
      <c r="A81" t="s">
        <v>333</v>
      </c>
      <c r="B81" t="s">
        <v>332</v>
      </c>
      <c r="C81" t="s">
        <v>92</v>
      </c>
      <c r="D81" t="s">
        <v>93</v>
      </c>
      <c r="E81" t="s">
        <v>452</v>
      </c>
      <c r="F81" t="s">
        <v>453</v>
      </c>
      <c r="G81">
        <v>1</v>
      </c>
      <c r="H81" t="s">
        <v>44</v>
      </c>
      <c r="I81">
        <v>2</v>
      </c>
      <c r="J81">
        <v>2</v>
      </c>
    </row>
    <row r="82" spans="1:10" x14ac:dyDescent="0.2">
      <c r="A82" t="s">
        <v>333</v>
      </c>
      <c r="B82" t="s">
        <v>332</v>
      </c>
      <c r="C82" t="s">
        <v>92</v>
      </c>
      <c r="D82" t="s">
        <v>93</v>
      </c>
      <c r="E82" t="s">
        <v>454</v>
      </c>
      <c r="F82" t="s">
        <v>455</v>
      </c>
      <c r="G82">
        <v>1</v>
      </c>
      <c r="H82" t="s">
        <v>44</v>
      </c>
      <c r="I82">
        <v>2</v>
      </c>
      <c r="J82">
        <v>2</v>
      </c>
    </row>
    <row r="83" spans="1:10" x14ac:dyDescent="0.2">
      <c r="A83" t="s">
        <v>333</v>
      </c>
      <c r="B83" t="s">
        <v>332</v>
      </c>
      <c r="C83" t="s">
        <v>92</v>
      </c>
      <c r="D83" t="s">
        <v>93</v>
      </c>
      <c r="E83" t="s">
        <v>350</v>
      </c>
      <c r="F83" t="s">
        <v>351</v>
      </c>
      <c r="G83">
        <v>3</v>
      </c>
      <c r="H83" t="s">
        <v>44</v>
      </c>
      <c r="I83">
        <v>5</v>
      </c>
      <c r="J83">
        <v>15</v>
      </c>
    </row>
    <row r="84" spans="1:10" x14ac:dyDescent="0.2">
      <c r="A84" t="s">
        <v>333</v>
      </c>
      <c r="B84" t="s">
        <v>332</v>
      </c>
      <c r="C84" t="s">
        <v>92</v>
      </c>
      <c r="D84" t="s">
        <v>93</v>
      </c>
      <c r="E84" t="s">
        <v>456</v>
      </c>
      <c r="F84" t="s">
        <v>457</v>
      </c>
      <c r="G84">
        <v>1</v>
      </c>
      <c r="H84" t="s">
        <v>44</v>
      </c>
      <c r="I84">
        <v>6</v>
      </c>
      <c r="J84">
        <v>6</v>
      </c>
    </row>
    <row r="85" spans="1:10" x14ac:dyDescent="0.2">
      <c r="A85" t="s">
        <v>333</v>
      </c>
      <c r="B85" t="s">
        <v>332</v>
      </c>
      <c r="C85" t="s">
        <v>92</v>
      </c>
      <c r="D85" t="s">
        <v>93</v>
      </c>
      <c r="E85" t="s">
        <v>362</v>
      </c>
      <c r="F85" t="s">
        <v>363</v>
      </c>
      <c r="G85">
        <v>2</v>
      </c>
      <c r="H85" t="s">
        <v>44</v>
      </c>
      <c r="I85">
        <v>13</v>
      </c>
      <c r="J85">
        <v>26</v>
      </c>
    </row>
    <row r="86" spans="1:10" x14ac:dyDescent="0.2">
      <c r="A86" t="s">
        <v>333</v>
      </c>
      <c r="B86" t="s">
        <v>332</v>
      </c>
      <c r="C86" t="s">
        <v>92</v>
      </c>
      <c r="D86" t="s">
        <v>93</v>
      </c>
      <c r="E86" t="s">
        <v>458</v>
      </c>
      <c r="F86" t="s">
        <v>459</v>
      </c>
      <c r="G86">
        <v>1</v>
      </c>
      <c r="H86" t="s">
        <v>44</v>
      </c>
      <c r="I86">
        <v>0.52</v>
      </c>
      <c r="J86">
        <v>0.52</v>
      </c>
    </row>
    <row r="87" spans="1:10" x14ac:dyDescent="0.2">
      <c r="A87" t="s">
        <v>333</v>
      </c>
      <c r="B87" t="s">
        <v>332</v>
      </c>
      <c r="C87" t="s">
        <v>92</v>
      </c>
      <c r="D87" t="s">
        <v>93</v>
      </c>
      <c r="E87" t="s">
        <v>442</v>
      </c>
      <c r="F87" t="s">
        <v>443</v>
      </c>
      <c r="G87">
        <v>1</v>
      </c>
      <c r="H87" t="s">
        <v>44</v>
      </c>
      <c r="I87">
        <v>4.13</v>
      </c>
      <c r="J87">
        <v>4.13</v>
      </c>
    </row>
    <row r="88" spans="1:10" x14ac:dyDescent="0.2">
      <c r="A88" t="s">
        <v>333</v>
      </c>
      <c r="B88" t="s">
        <v>332</v>
      </c>
      <c r="C88" t="s">
        <v>92</v>
      </c>
      <c r="D88" t="s">
        <v>93</v>
      </c>
      <c r="E88" t="s">
        <v>449</v>
      </c>
      <c r="F88" t="s">
        <v>450</v>
      </c>
      <c r="G88">
        <v>1</v>
      </c>
      <c r="H88" t="s">
        <v>44</v>
      </c>
      <c r="I88">
        <v>3</v>
      </c>
      <c r="J88">
        <v>3</v>
      </c>
    </row>
    <row r="89" spans="1:10" x14ac:dyDescent="0.2">
      <c r="A89" t="s">
        <v>333</v>
      </c>
      <c r="B89" t="s">
        <v>332</v>
      </c>
      <c r="C89" t="s">
        <v>92</v>
      </c>
      <c r="D89" t="s">
        <v>93</v>
      </c>
      <c r="E89" t="s">
        <v>460</v>
      </c>
      <c r="F89" t="s">
        <v>461</v>
      </c>
      <c r="G89">
        <v>1</v>
      </c>
      <c r="H89" t="s">
        <v>44</v>
      </c>
      <c r="I89">
        <v>8</v>
      </c>
      <c r="J89">
        <v>8</v>
      </c>
    </row>
    <row r="90" spans="1:10" x14ac:dyDescent="0.2">
      <c r="A90" t="s">
        <v>333</v>
      </c>
      <c r="B90" t="s">
        <v>332</v>
      </c>
      <c r="C90" t="s">
        <v>92</v>
      </c>
      <c r="D90" t="s">
        <v>93</v>
      </c>
      <c r="E90" t="s">
        <v>462</v>
      </c>
      <c r="F90" t="s">
        <v>463</v>
      </c>
      <c r="G90">
        <v>1</v>
      </c>
      <c r="H90" t="s">
        <v>44</v>
      </c>
      <c r="I90">
        <v>7.75</v>
      </c>
      <c r="J90">
        <v>7.75</v>
      </c>
    </row>
    <row r="91" spans="1:10" x14ac:dyDescent="0.2">
      <c r="A91" t="s">
        <v>333</v>
      </c>
      <c r="B91" t="s">
        <v>332</v>
      </c>
      <c r="C91" t="s">
        <v>92</v>
      </c>
      <c r="D91" t="s">
        <v>93</v>
      </c>
      <c r="E91" t="s">
        <v>446</v>
      </c>
      <c r="F91" t="s">
        <v>397</v>
      </c>
      <c r="G91">
        <v>1</v>
      </c>
      <c r="H91" t="s">
        <v>44</v>
      </c>
      <c r="I91">
        <v>11</v>
      </c>
      <c r="J91">
        <v>11</v>
      </c>
    </row>
    <row r="92" spans="1:10" x14ac:dyDescent="0.2">
      <c r="A92" t="s">
        <v>333</v>
      </c>
      <c r="B92" t="s">
        <v>332</v>
      </c>
      <c r="C92" t="s">
        <v>92</v>
      </c>
      <c r="D92" t="s">
        <v>93</v>
      </c>
      <c r="E92" t="s">
        <v>374</v>
      </c>
      <c r="F92" t="s">
        <v>375</v>
      </c>
      <c r="G92">
        <v>1</v>
      </c>
      <c r="H92" t="s">
        <v>44</v>
      </c>
      <c r="I92">
        <v>11</v>
      </c>
      <c r="J92">
        <v>11</v>
      </c>
    </row>
    <row r="93" spans="1:10" x14ac:dyDescent="0.2">
      <c r="A93" t="s">
        <v>333</v>
      </c>
      <c r="B93" t="s">
        <v>332</v>
      </c>
      <c r="C93" t="s">
        <v>92</v>
      </c>
      <c r="D93" t="s">
        <v>93</v>
      </c>
      <c r="E93" t="s">
        <v>464</v>
      </c>
      <c r="F93" t="s">
        <v>408</v>
      </c>
      <c r="G93">
        <v>1</v>
      </c>
      <c r="H93" t="s">
        <v>44</v>
      </c>
      <c r="I93">
        <v>11</v>
      </c>
      <c r="J93">
        <v>11</v>
      </c>
    </row>
    <row r="94" spans="1:10" x14ac:dyDescent="0.2">
      <c r="A94" t="s">
        <v>333</v>
      </c>
      <c r="B94" t="s">
        <v>332</v>
      </c>
      <c r="C94" t="s">
        <v>92</v>
      </c>
      <c r="D94" t="s">
        <v>93</v>
      </c>
      <c r="E94" t="s">
        <v>465</v>
      </c>
      <c r="F94" t="s">
        <v>466</v>
      </c>
      <c r="G94">
        <v>1</v>
      </c>
      <c r="H94" t="s">
        <v>44</v>
      </c>
      <c r="I94">
        <v>4.99</v>
      </c>
      <c r="J94">
        <v>4.99</v>
      </c>
    </row>
    <row r="95" spans="1:10" x14ac:dyDescent="0.2">
      <c r="A95" t="s">
        <v>333</v>
      </c>
      <c r="B95" t="s">
        <v>332</v>
      </c>
      <c r="C95" t="s">
        <v>92</v>
      </c>
      <c r="D95" t="s">
        <v>93</v>
      </c>
      <c r="E95" t="s">
        <v>344</v>
      </c>
      <c r="F95" t="s">
        <v>345</v>
      </c>
      <c r="G95">
        <v>2</v>
      </c>
      <c r="H95" t="s">
        <v>44</v>
      </c>
      <c r="I95">
        <v>11</v>
      </c>
      <c r="J95">
        <v>22</v>
      </c>
    </row>
    <row r="96" spans="1:10" x14ac:dyDescent="0.2">
      <c r="A96" t="s">
        <v>333</v>
      </c>
      <c r="B96" t="s">
        <v>332</v>
      </c>
      <c r="C96" t="s">
        <v>92</v>
      </c>
      <c r="D96" t="s">
        <v>93</v>
      </c>
      <c r="E96" t="s">
        <v>424</v>
      </c>
      <c r="F96" t="s">
        <v>425</v>
      </c>
      <c r="G96">
        <v>1</v>
      </c>
      <c r="H96" t="s">
        <v>44</v>
      </c>
      <c r="I96">
        <v>501</v>
      </c>
      <c r="J96">
        <v>501</v>
      </c>
    </row>
    <row r="97" spans="1:10" x14ac:dyDescent="0.2">
      <c r="A97" t="s">
        <v>333</v>
      </c>
      <c r="B97" t="s">
        <v>332</v>
      </c>
      <c r="C97" t="s">
        <v>92</v>
      </c>
      <c r="D97" t="s">
        <v>93</v>
      </c>
      <c r="E97" t="s">
        <v>467</v>
      </c>
      <c r="F97" t="s">
        <v>433</v>
      </c>
      <c r="G97">
        <v>1</v>
      </c>
      <c r="H97" t="s">
        <v>44</v>
      </c>
      <c r="I97">
        <v>0.4</v>
      </c>
      <c r="J97">
        <v>0.4</v>
      </c>
    </row>
    <row r="98" spans="1:10" x14ac:dyDescent="0.2">
      <c r="A98" t="s">
        <v>329</v>
      </c>
      <c r="B98" t="s">
        <v>327</v>
      </c>
      <c r="C98" t="s">
        <v>92</v>
      </c>
      <c r="D98" t="s">
        <v>93</v>
      </c>
      <c r="E98" t="s">
        <v>424</v>
      </c>
      <c r="F98" t="s">
        <v>425</v>
      </c>
      <c r="G98">
        <v>1</v>
      </c>
      <c r="H98" t="s">
        <v>44</v>
      </c>
      <c r="I98">
        <v>501</v>
      </c>
      <c r="J98">
        <v>501</v>
      </c>
    </row>
    <row r="99" spans="1:10" x14ac:dyDescent="0.2">
      <c r="A99" t="s">
        <v>109</v>
      </c>
      <c r="B99" t="s">
        <v>92</v>
      </c>
      <c r="C99" t="s">
        <v>92</v>
      </c>
      <c r="D99" t="s">
        <v>93</v>
      </c>
      <c r="E99" t="s">
        <v>468</v>
      </c>
      <c r="F99" t="s">
        <v>469</v>
      </c>
      <c r="G99">
        <v>1</v>
      </c>
      <c r="H99" t="s">
        <v>44</v>
      </c>
      <c r="I99">
        <v>358</v>
      </c>
      <c r="J99">
        <v>358</v>
      </c>
    </row>
    <row r="100" spans="1:10" x14ac:dyDescent="0.2">
      <c r="A100" t="s">
        <v>107</v>
      </c>
      <c r="B100" t="s">
        <v>92</v>
      </c>
      <c r="C100" t="s">
        <v>92</v>
      </c>
      <c r="D100" t="s">
        <v>93</v>
      </c>
      <c r="E100" t="s">
        <v>468</v>
      </c>
      <c r="F100" t="s">
        <v>469</v>
      </c>
      <c r="G100">
        <v>1</v>
      </c>
      <c r="H100" t="s">
        <v>44</v>
      </c>
      <c r="I100">
        <v>358</v>
      </c>
      <c r="J100">
        <v>358</v>
      </c>
    </row>
    <row r="101" spans="1:10" x14ac:dyDescent="0.2">
      <c r="A101" t="s">
        <v>105</v>
      </c>
      <c r="B101" t="s">
        <v>92</v>
      </c>
      <c r="C101" t="s">
        <v>92</v>
      </c>
      <c r="D101" t="s">
        <v>93</v>
      </c>
      <c r="E101" t="s">
        <v>468</v>
      </c>
      <c r="F101" t="s">
        <v>469</v>
      </c>
      <c r="G101">
        <v>1</v>
      </c>
      <c r="H101" t="s">
        <v>44</v>
      </c>
      <c r="I101">
        <v>358</v>
      </c>
      <c r="J101">
        <v>358</v>
      </c>
    </row>
    <row r="102" spans="1:10" x14ac:dyDescent="0.2">
      <c r="A102" t="s">
        <v>103</v>
      </c>
      <c r="B102" t="s">
        <v>92</v>
      </c>
      <c r="C102" t="s">
        <v>92</v>
      </c>
      <c r="D102" t="s">
        <v>93</v>
      </c>
      <c r="E102" t="s">
        <v>468</v>
      </c>
      <c r="F102" t="s">
        <v>469</v>
      </c>
      <c r="G102">
        <v>1</v>
      </c>
      <c r="H102" t="s">
        <v>44</v>
      </c>
      <c r="I102">
        <v>358</v>
      </c>
      <c r="J102">
        <v>358</v>
      </c>
    </row>
    <row r="103" spans="1:10" x14ac:dyDescent="0.2">
      <c r="A103" t="s">
        <v>99</v>
      </c>
      <c r="B103" t="s">
        <v>97</v>
      </c>
      <c r="C103" t="s">
        <v>92</v>
      </c>
      <c r="D103" t="s">
        <v>93</v>
      </c>
      <c r="E103" t="s">
        <v>470</v>
      </c>
      <c r="F103" t="s">
        <v>471</v>
      </c>
      <c r="G103">
        <v>3</v>
      </c>
      <c r="H103" t="s">
        <v>44</v>
      </c>
      <c r="I103">
        <v>141.56</v>
      </c>
      <c r="J103">
        <v>424.68</v>
      </c>
    </row>
    <row r="104" spans="1:10" x14ac:dyDescent="0.2">
      <c r="A104" t="s">
        <v>118</v>
      </c>
      <c r="B104" t="s">
        <v>92</v>
      </c>
      <c r="C104" t="s">
        <v>92</v>
      </c>
      <c r="D104" t="s">
        <v>93</v>
      </c>
      <c r="E104" t="s">
        <v>468</v>
      </c>
      <c r="F104" t="s">
        <v>469</v>
      </c>
      <c r="G104">
        <v>1</v>
      </c>
      <c r="H104" t="s">
        <v>44</v>
      </c>
      <c r="I104">
        <v>358</v>
      </c>
      <c r="J104">
        <v>358</v>
      </c>
    </row>
    <row r="105" spans="1:10" x14ac:dyDescent="0.2">
      <c r="A105" t="s">
        <v>121</v>
      </c>
      <c r="B105" t="s">
        <v>120</v>
      </c>
      <c r="C105" t="s">
        <v>92</v>
      </c>
      <c r="D105" t="s">
        <v>93</v>
      </c>
      <c r="E105" t="s">
        <v>411</v>
      </c>
      <c r="F105" t="s">
        <v>389</v>
      </c>
      <c r="G105">
        <v>1</v>
      </c>
      <c r="H105" t="s">
        <v>44</v>
      </c>
      <c r="I105">
        <v>11</v>
      </c>
      <c r="J105">
        <v>11</v>
      </c>
    </row>
    <row r="106" spans="1:10" x14ac:dyDescent="0.2">
      <c r="A106" t="s">
        <v>121</v>
      </c>
      <c r="B106" t="s">
        <v>120</v>
      </c>
      <c r="C106" t="s">
        <v>92</v>
      </c>
      <c r="D106" t="s">
        <v>93</v>
      </c>
      <c r="E106" t="s">
        <v>447</v>
      </c>
      <c r="F106" t="s">
        <v>448</v>
      </c>
      <c r="G106">
        <v>2</v>
      </c>
      <c r="H106" t="s">
        <v>44</v>
      </c>
      <c r="I106">
        <v>2</v>
      </c>
      <c r="J106">
        <v>4</v>
      </c>
    </row>
    <row r="107" spans="1:10" x14ac:dyDescent="0.2">
      <c r="A107" t="s">
        <v>121</v>
      </c>
      <c r="B107" t="s">
        <v>120</v>
      </c>
      <c r="C107" t="s">
        <v>92</v>
      </c>
      <c r="D107" t="s">
        <v>93</v>
      </c>
      <c r="E107" t="s">
        <v>374</v>
      </c>
      <c r="F107" t="s">
        <v>375</v>
      </c>
      <c r="G107">
        <v>1</v>
      </c>
      <c r="H107" t="s">
        <v>44</v>
      </c>
      <c r="I107">
        <v>11</v>
      </c>
      <c r="J107">
        <v>11</v>
      </c>
    </row>
    <row r="108" spans="1:10" x14ac:dyDescent="0.2">
      <c r="A108" t="s">
        <v>121</v>
      </c>
      <c r="B108" t="s">
        <v>120</v>
      </c>
      <c r="C108" t="s">
        <v>92</v>
      </c>
      <c r="D108" t="s">
        <v>93</v>
      </c>
      <c r="E108" t="s">
        <v>418</v>
      </c>
      <c r="F108" t="s">
        <v>419</v>
      </c>
      <c r="G108">
        <v>1</v>
      </c>
      <c r="H108" t="s">
        <v>44</v>
      </c>
      <c r="I108">
        <v>12</v>
      </c>
      <c r="J108">
        <v>12</v>
      </c>
    </row>
    <row r="109" spans="1:10" x14ac:dyDescent="0.2">
      <c r="A109" t="s">
        <v>121</v>
      </c>
      <c r="B109" t="s">
        <v>120</v>
      </c>
      <c r="C109" t="s">
        <v>92</v>
      </c>
      <c r="D109" t="s">
        <v>93</v>
      </c>
      <c r="E109" t="s">
        <v>472</v>
      </c>
      <c r="F109" t="s">
        <v>473</v>
      </c>
      <c r="G109">
        <v>1</v>
      </c>
      <c r="H109" t="s">
        <v>44</v>
      </c>
      <c r="I109">
        <v>27</v>
      </c>
      <c r="J109">
        <v>27</v>
      </c>
    </row>
    <row r="110" spans="1:10" x14ac:dyDescent="0.2">
      <c r="A110" t="s">
        <v>121</v>
      </c>
      <c r="B110" t="s">
        <v>120</v>
      </c>
      <c r="C110" t="s">
        <v>92</v>
      </c>
      <c r="D110" t="s">
        <v>93</v>
      </c>
      <c r="E110" t="s">
        <v>366</v>
      </c>
      <c r="F110" t="s">
        <v>367</v>
      </c>
      <c r="G110">
        <v>4</v>
      </c>
      <c r="H110" t="s">
        <v>44</v>
      </c>
      <c r="I110">
        <v>1</v>
      </c>
      <c r="J110">
        <v>4</v>
      </c>
    </row>
    <row r="111" spans="1:10" x14ac:dyDescent="0.2">
      <c r="A111" t="s">
        <v>121</v>
      </c>
      <c r="B111" t="s">
        <v>120</v>
      </c>
      <c r="C111" t="s">
        <v>92</v>
      </c>
      <c r="D111" t="s">
        <v>93</v>
      </c>
      <c r="E111" t="s">
        <v>334</v>
      </c>
      <c r="F111" t="s">
        <v>335</v>
      </c>
      <c r="G111">
        <v>2</v>
      </c>
      <c r="H111" t="s">
        <v>44</v>
      </c>
      <c r="I111">
        <v>147</v>
      </c>
      <c r="J111">
        <v>294</v>
      </c>
    </row>
    <row r="112" spans="1:10" x14ac:dyDescent="0.2">
      <c r="A112" t="s">
        <v>121</v>
      </c>
      <c r="B112" t="s">
        <v>120</v>
      </c>
      <c r="C112" t="s">
        <v>92</v>
      </c>
      <c r="D112" t="s">
        <v>93</v>
      </c>
      <c r="E112" t="s">
        <v>474</v>
      </c>
      <c r="F112" t="s">
        <v>475</v>
      </c>
      <c r="G112">
        <v>2</v>
      </c>
      <c r="H112" t="s">
        <v>44</v>
      </c>
      <c r="I112">
        <v>21.27</v>
      </c>
      <c r="J112">
        <v>42.54</v>
      </c>
    </row>
    <row r="113" spans="1:10" x14ac:dyDescent="0.2">
      <c r="A113" t="s">
        <v>121</v>
      </c>
      <c r="B113" t="s">
        <v>120</v>
      </c>
      <c r="C113" t="s">
        <v>92</v>
      </c>
      <c r="D113" t="s">
        <v>93</v>
      </c>
      <c r="E113" t="s">
        <v>440</v>
      </c>
      <c r="F113" t="s">
        <v>441</v>
      </c>
      <c r="G113">
        <v>2</v>
      </c>
      <c r="H113" t="s">
        <v>44</v>
      </c>
      <c r="I113">
        <v>33</v>
      </c>
      <c r="J113">
        <v>66</v>
      </c>
    </row>
    <row r="114" spans="1:10" x14ac:dyDescent="0.2">
      <c r="A114" t="s">
        <v>121</v>
      </c>
      <c r="B114" t="s">
        <v>120</v>
      </c>
      <c r="C114" t="s">
        <v>92</v>
      </c>
      <c r="D114" t="s">
        <v>93</v>
      </c>
      <c r="E114" t="s">
        <v>407</v>
      </c>
      <c r="F114" t="s">
        <v>408</v>
      </c>
      <c r="G114">
        <v>1</v>
      </c>
      <c r="H114" t="s">
        <v>44</v>
      </c>
      <c r="I114">
        <v>11</v>
      </c>
      <c r="J114">
        <v>11</v>
      </c>
    </row>
    <row r="115" spans="1:10" x14ac:dyDescent="0.2">
      <c r="A115" t="s">
        <v>121</v>
      </c>
      <c r="B115" t="s">
        <v>120</v>
      </c>
      <c r="C115" t="s">
        <v>92</v>
      </c>
      <c r="D115" t="s">
        <v>93</v>
      </c>
      <c r="E115" t="s">
        <v>350</v>
      </c>
      <c r="F115" t="s">
        <v>351</v>
      </c>
      <c r="G115">
        <v>2</v>
      </c>
      <c r="H115" t="s">
        <v>44</v>
      </c>
      <c r="I115">
        <v>5</v>
      </c>
      <c r="J115">
        <v>10</v>
      </c>
    </row>
    <row r="116" spans="1:10" x14ac:dyDescent="0.2">
      <c r="A116" t="s">
        <v>121</v>
      </c>
      <c r="B116" t="s">
        <v>120</v>
      </c>
      <c r="C116" t="s">
        <v>92</v>
      </c>
      <c r="D116" t="s">
        <v>93</v>
      </c>
      <c r="E116" t="s">
        <v>396</v>
      </c>
      <c r="F116" t="s">
        <v>397</v>
      </c>
      <c r="G116">
        <v>1</v>
      </c>
      <c r="H116" t="s">
        <v>44</v>
      </c>
      <c r="I116">
        <v>11</v>
      </c>
      <c r="J116">
        <v>11</v>
      </c>
    </row>
    <row r="117" spans="1:10" x14ac:dyDescent="0.2">
      <c r="A117" t="s">
        <v>121</v>
      </c>
      <c r="B117" t="s">
        <v>120</v>
      </c>
      <c r="C117" t="s">
        <v>92</v>
      </c>
      <c r="D117" t="s">
        <v>93</v>
      </c>
      <c r="E117" t="s">
        <v>476</v>
      </c>
      <c r="F117" t="s">
        <v>477</v>
      </c>
      <c r="G117">
        <v>1</v>
      </c>
      <c r="H117" t="s">
        <v>44</v>
      </c>
      <c r="I117">
        <v>117</v>
      </c>
      <c r="J117">
        <v>117</v>
      </c>
    </row>
    <row r="118" spans="1:10" x14ac:dyDescent="0.2">
      <c r="A118" t="s">
        <v>121</v>
      </c>
      <c r="B118" t="s">
        <v>120</v>
      </c>
      <c r="C118" t="s">
        <v>92</v>
      </c>
      <c r="D118" t="s">
        <v>93</v>
      </c>
      <c r="E118" t="s">
        <v>356</v>
      </c>
      <c r="F118" t="s">
        <v>357</v>
      </c>
      <c r="G118">
        <v>1</v>
      </c>
      <c r="H118" t="s">
        <v>44</v>
      </c>
      <c r="I118">
        <v>12</v>
      </c>
      <c r="J118">
        <v>12</v>
      </c>
    </row>
    <row r="119" spans="1:10" x14ac:dyDescent="0.2">
      <c r="A119" t="s">
        <v>121</v>
      </c>
      <c r="B119" t="s">
        <v>120</v>
      </c>
      <c r="C119" t="s">
        <v>92</v>
      </c>
      <c r="D119" t="s">
        <v>93</v>
      </c>
      <c r="E119" t="s">
        <v>478</v>
      </c>
      <c r="F119" t="s">
        <v>479</v>
      </c>
      <c r="G119">
        <v>2</v>
      </c>
      <c r="H119" t="s">
        <v>44</v>
      </c>
      <c r="I119">
        <v>21.27</v>
      </c>
      <c r="J119">
        <v>42.54</v>
      </c>
    </row>
    <row r="120" spans="1:10" x14ac:dyDescent="0.2">
      <c r="A120" t="s">
        <v>121</v>
      </c>
      <c r="B120" t="s">
        <v>120</v>
      </c>
      <c r="C120" t="s">
        <v>92</v>
      </c>
      <c r="D120" t="s">
        <v>93</v>
      </c>
      <c r="E120" t="s">
        <v>436</v>
      </c>
      <c r="F120" t="s">
        <v>437</v>
      </c>
      <c r="G120">
        <v>2</v>
      </c>
      <c r="H120" t="s">
        <v>44</v>
      </c>
      <c r="I120">
        <v>2</v>
      </c>
      <c r="J120">
        <v>4</v>
      </c>
    </row>
    <row r="121" spans="1:10" x14ac:dyDescent="0.2">
      <c r="A121" t="s">
        <v>116</v>
      </c>
      <c r="B121" t="s">
        <v>92</v>
      </c>
      <c r="C121" t="s">
        <v>92</v>
      </c>
      <c r="D121" t="s">
        <v>93</v>
      </c>
      <c r="E121" t="s">
        <v>468</v>
      </c>
      <c r="F121" t="s">
        <v>469</v>
      </c>
      <c r="G121">
        <v>1</v>
      </c>
      <c r="H121" t="s">
        <v>44</v>
      </c>
      <c r="I121">
        <v>358</v>
      </c>
      <c r="J121">
        <v>358</v>
      </c>
    </row>
    <row r="122" spans="1:10" x14ac:dyDescent="0.2">
      <c r="A122" t="s">
        <v>114</v>
      </c>
      <c r="B122" t="s">
        <v>111</v>
      </c>
      <c r="C122" t="s">
        <v>92</v>
      </c>
      <c r="D122" t="s">
        <v>93</v>
      </c>
      <c r="E122" t="s">
        <v>364</v>
      </c>
      <c r="F122" t="s">
        <v>365</v>
      </c>
      <c r="G122">
        <v>1</v>
      </c>
      <c r="H122" t="s">
        <v>44</v>
      </c>
      <c r="I122">
        <v>432</v>
      </c>
      <c r="J122">
        <v>432</v>
      </c>
    </row>
    <row r="123" spans="1:10" x14ac:dyDescent="0.2">
      <c r="A123" t="s">
        <v>112</v>
      </c>
      <c r="B123" t="s">
        <v>111</v>
      </c>
      <c r="C123" t="s">
        <v>92</v>
      </c>
      <c r="D123" t="s">
        <v>93</v>
      </c>
      <c r="E123" t="s">
        <v>480</v>
      </c>
      <c r="F123" t="s">
        <v>481</v>
      </c>
      <c r="G123">
        <v>1</v>
      </c>
      <c r="H123" t="s">
        <v>44</v>
      </c>
      <c r="I123">
        <v>19</v>
      </c>
      <c r="J123">
        <v>19</v>
      </c>
    </row>
    <row r="124" spans="1:10" x14ac:dyDescent="0.2">
      <c r="A124" t="s">
        <v>112</v>
      </c>
      <c r="B124" t="s">
        <v>111</v>
      </c>
      <c r="C124" t="s">
        <v>92</v>
      </c>
      <c r="D124" t="s">
        <v>93</v>
      </c>
      <c r="E124" t="s">
        <v>364</v>
      </c>
      <c r="F124" t="s">
        <v>365</v>
      </c>
      <c r="G124">
        <v>1</v>
      </c>
      <c r="H124" t="s">
        <v>44</v>
      </c>
      <c r="I124">
        <v>432</v>
      </c>
      <c r="J124">
        <v>432</v>
      </c>
    </row>
    <row r="125" spans="1:10" x14ac:dyDescent="0.2">
      <c r="A125" t="s">
        <v>112</v>
      </c>
      <c r="B125" t="s">
        <v>111</v>
      </c>
      <c r="C125" t="s">
        <v>92</v>
      </c>
      <c r="D125" t="s">
        <v>93</v>
      </c>
      <c r="E125" t="s">
        <v>398</v>
      </c>
      <c r="F125" t="s">
        <v>347</v>
      </c>
      <c r="G125">
        <v>2</v>
      </c>
      <c r="H125" t="s">
        <v>44</v>
      </c>
      <c r="I125">
        <v>1</v>
      </c>
      <c r="J125">
        <v>2</v>
      </c>
    </row>
    <row r="126" spans="1:10" x14ac:dyDescent="0.2">
      <c r="A126" t="s">
        <v>112</v>
      </c>
      <c r="B126" t="s">
        <v>111</v>
      </c>
      <c r="C126" t="s">
        <v>92</v>
      </c>
      <c r="D126" t="s">
        <v>93</v>
      </c>
      <c r="E126" t="s">
        <v>360</v>
      </c>
      <c r="F126" t="s">
        <v>361</v>
      </c>
      <c r="G126">
        <v>2</v>
      </c>
      <c r="H126" t="s">
        <v>44</v>
      </c>
      <c r="I126">
        <v>11</v>
      </c>
      <c r="J126">
        <v>22</v>
      </c>
    </row>
    <row r="127" spans="1:10" x14ac:dyDescent="0.2">
      <c r="A127" t="s">
        <v>112</v>
      </c>
      <c r="B127" t="s">
        <v>111</v>
      </c>
      <c r="C127" t="s">
        <v>92</v>
      </c>
      <c r="D127" t="s">
        <v>93</v>
      </c>
      <c r="E127" t="s">
        <v>482</v>
      </c>
      <c r="F127" t="s">
        <v>375</v>
      </c>
      <c r="G127">
        <v>1</v>
      </c>
      <c r="H127" t="s">
        <v>44</v>
      </c>
      <c r="I127">
        <v>11</v>
      </c>
      <c r="J127">
        <v>11</v>
      </c>
    </row>
    <row r="128" spans="1:10" x14ac:dyDescent="0.2">
      <c r="A128" t="s">
        <v>112</v>
      </c>
      <c r="B128" t="s">
        <v>111</v>
      </c>
      <c r="C128" t="s">
        <v>92</v>
      </c>
      <c r="D128" t="s">
        <v>93</v>
      </c>
      <c r="E128" t="s">
        <v>446</v>
      </c>
      <c r="F128" t="s">
        <v>397</v>
      </c>
      <c r="G128">
        <v>1</v>
      </c>
      <c r="H128" t="s">
        <v>44</v>
      </c>
      <c r="I128">
        <v>11</v>
      </c>
      <c r="J128">
        <v>11</v>
      </c>
    </row>
    <row r="129" spans="1:10" x14ac:dyDescent="0.2">
      <c r="A129" t="s">
        <v>112</v>
      </c>
      <c r="B129" t="s">
        <v>111</v>
      </c>
      <c r="C129" t="s">
        <v>92</v>
      </c>
      <c r="D129" t="s">
        <v>93</v>
      </c>
      <c r="E129" t="s">
        <v>362</v>
      </c>
      <c r="F129" t="s">
        <v>363</v>
      </c>
      <c r="G129">
        <v>1</v>
      </c>
      <c r="H129" t="s">
        <v>44</v>
      </c>
      <c r="I129">
        <v>13</v>
      </c>
      <c r="J129">
        <v>13</v>
      </c>
    </row>
    <row r="130" spans="1:10" x14ac:dyDescent="0.2">
      <c r="A130" t="s">
        <v>112</v>
      </c>
      <c r="B130" t="s">
        <v>111</v>
      </c>
      <c r="C130" t="s">
        <v>92</v>
      </c>
      <c r="D130" t="s">
        <v>93</v>
      </c>
      <c r="E130" t="s">
        <v>405</v>
      </c>
      <c r="F130" t="s">
        <v>406</v>
      </c>
      <c r="G130">
        <v>1</v>
      </c>
      <c r="H130" t="s">
        <v>44</v>
      </c>
      <c r="I130">
        <v>1</v>
      </c>
      <c r="J130">
        <v>1</v>
      </c>
    </row>
    <row r="131" spans="1:10" x14ac:dyDescent="0.2">
      <c r="A131" t="s">
        <v>112</v>
      </c>
      <c r="B131" t="s">
        <v>111</v>
      </c>
      <c r="C131" t="s">
        <v>92</v>
      </c>
      <c r="D131" t="s">
        <v>93</v>
      </c>
      <c r="E131" t="s">
        <v>483</v>
      </c>
      <c r="F131" t="s">
        <v>484</v>
      </c>
      <c r="G131">
        <v>1</v>
      </c>
      <c r="H131" t="s">
        <v>44</v>
      </c>
      <c r="I131">
        <v>80</v>
      </c>
      <c r="J131">
        <v>80</v>
      </c>
    </row>
    <row r="132" spans="1:10" x14ac:dyDescent="0.2">
      <c r="A132" t="s">
        <v>132</v>
      </c>
      <c r="B132" t="s">
        <v>92</v>
      </c>
      <c r="C132" t="s">
        <v>92</v>
      </c>
      <c r="D132" t="s">
        <v>93</v>
      </c>
      <c r="E132" t="s">
        <v>468</v>
      </c>
      <c r="F132" t="s">
        <v>469</v>
      </c>
      <c r="G132">
        <v>1</v>
      </c>
      <c r="H132" t="s">
        <v>44</v>
      </c>
      <c r="I132">
        <v>358</v>
      </c>
      <c r="J132">
        <v>358</v>
      </c>
    </row>
    <row r="133" spans="1:10" x14ac:dyDescent="0.2">
      <c r="A133" t="s">
        <v>130</v>
      </c>
      <c r="B133" t="s">
        <v>92</v>
      </c>
      <c r="C133" t="s">
        <v>92</v>
      </c>
      <c r="D133" t="s">
        <v>93</v>
      </c>
      <c r="E133" t="s">
        <v>468</v>
      </c>
      <c r="F133" t="s">
        <v>469</v>
      </c>
      <c r="G133">
        <v>1</v>
      </c>
      <c r="H133" t="s">
        <v>44</v>
      </c>
      <c r="I133">
        <v>358</v>
      </c>
      <c r="J133">
        <v>358</v>
      </c>
    </row>
    <row r="134" spans="1:10" x14ac:dyDescent="0.2">
      <c r="A134" t="s">
        <v>128</v>
      </c>
      <c r="B134" t="s">
        <v>92</v>
      </c>
      <c r="C134" t="s">
        <v>92</v>
      </c>
      <c r="D134" t="s">
        <v>93</v>
      </c>
      <c r="E134" t="s">
        <v>468</v>
      </c>
      <c r="F134" t="s">
        <v>469</v>
      </c>
      <c r="G134">
        <v>1</v>
      </c>
      <c r="H134" t="s">
        <v>44</v>
      </c>
      <c r="I134">
        <v>358</v>
      </c>
      <c r="J134">
        <v>358</v>
      </c>
    </row>
    <row r="135" spans="1:10" x14ac:dyDescent="0.2">
      <c r="A135" t="s">
        <v>142</v>
      </c>
      <c r="B135" t="s">
        <v>92</v>
      </c>
      <c r="C135" t="s">
        <v>92</v>
      </c>
      <c r="D135" t="s">
        <v>93</v>
      </c>
      <c r="E135" t="s">
        <v>468</v>
      </c>
      <c r="F135" t="s">
        <v>469</v>
      </c>
      <c r="G135">
        <v>1</v>
      </c>
      <c r="H135" t="s">
        <v>44</v>
      </c>
      <c r="I135">
        <v>358</v>
      </c>
      <c r="J135">
        <v>358</v>
      </c>
    </row>
    <row r="136" spans="1:10" x14ac:dyDescent="0.2">
      <c r="A136" t="s">
        <v>138</v>
      </c>
      <c r="B136" t="s">
        <v>111</v>
      </c>
      <c r="C136" t="s">
        <v>92</v>
      </c>
      <c r="D136" t="s">
        <v>93</v>
      </c>
      <c r="E136" t="s">
        <v>472</v>
      </c>
      <c r="F136" t="s">
        <v>473</v>
      </c>
      <c r="G136">
        <v>1</v>
      </c>
      <c r="H136" t="s">
        <v>44</v>
      </c>
      <c r="I136">
        <v>27</v>
      </c>
      <c r="J136">
        <v>27</v>
      </c>
    </row>
    <row r="137" spans="1:10" x14ac:dyDescent="0.2">
      <c r="A137" t="s">
        <v>140</v>
      </c>
      <c r="B137" t="s">
        <v>92</v>
      </c>
      <c r="C137" t="s">
        <v>92</v>
      </c>
      <c r="D137" t="s">
        <v>93</v>
      </c>
      <c r="E137" t="s">
        <v>468</v>
      </c>
      <c r="F137" t="s">
        <v>469</v>
      </c>
      <c r="G137">
        <v>1</v>
      </c>
      <c r="H137" t="s">
        <v>44</v>
      </c>
      <c r="I137">
        <v>358</v>
      </c>
      <c r="J137">
        <v>358</v>
      </c>
    </row>
    <row r="138" spans="1:10" x14ac:dyDescent="0.2">
      <c r="A138" t="s">
        <v>144</v>
      </c>
      <c r="B138" t="s">
        <v>92</v>
      </c>
      <c r="C138" t="s">
        <v>92</v>
      </c>
      <c r="D138" t="s">
        <v>93</v>
      </c>
      <c r="E138" t="s">
        <v>468</v>
      </c>
      <c r="F138" t="s">
        <v>469</v>
      </c>
      <c r="G138">
        <v>1</v>
      </c>
      <c r="H138" t="s">
        <v>44</v>
      </c>
      <c r="I138">
        <v>358</v>
      </c>
      <c r="J138">
        <v>358</v>
      </c>
    </row>
    <row r="139" spans="1:10" x14ac:dyDescent="0.2">
      <c r="A139" t="s">
        <v>134</v>
      </c>
      <c r="B139" t="s">
        <v>92</v>
      </c>
      <c r="C139" t="s">
        <v>92</v>
      </c>
      <c r="D139" t="s">
        <v>93</v>
      </c>
      <c r="E139" t="s">
        <v>468</v>
      </c>
      <c r="F139" t="s">
        <v>469</v>
      </c>
      <c r="G139">
        <v>1</v>
      </c>
      <c r="H139" t="s">
        <v>44</v>
      </c>
      <c r="I139">
        <v>358</v>
      </c>
      <c r="J139">
        <v>358</v>
      </c>
    </row>
    <row r="140" spans="1:10" x14ac:dyDescent="0.2">
      <c r="A140" t="s">
        <v>150</v>
      </c>
      <c r="B140" t="s">
        <v>92</v>
      </c>
      <c r="C140" t="s">
        <v>92</v>
      </c>
      <c r="D140" t="s">
        <v>93</v>
      </c>
      <c r="E140" t="s">
        <v>468</v>
      </c>
      <c r="F140" t="s">
        <v>469</v>
      </c>
      <c r="G140">
        <v>1</v>
      </c>
      <c r="H140" t="s">
        <v>44</v>
      </c>
      <c r="I140">
        <v>358</v>
      </c>
      <c r="J140">
        <v>358</v>
      </c>
    </row>
    <row r="141" spans="1:10" x14ac:dyDescent="0.2">
      <c r="A141" t="s">
        <v>148</v>
      </c>
      <c r="B141" t="s">
        <v>92</v>
      </c>
      <c r="C141" t="s">
        <v>92</v>
      </c>
      <c r="D141" t="s">
        <v>93</v>
      </c>
      <c r="E141" t="s">
        <v>468</v>
      </c>
      <c r="F141" t="s">
        <v>469</v>
      </c>
      <c r="G141">
        <v>1</v>
      </c>
      <c r="H141" t="s">
        <v>44</v>
      </c>
      <c r="I141">
        <v>358</v>
      </c>
      <c r="J141">
        <v>358</v>
      </c>
    </row>
    <row r="142" spans="1:10" x14ac:dyDescent="0.2">
      <c r="A142" t="s">
        <v>146</v>
      </c>
      <c r="B142" t="s">
        <v>92</v>
      </c>
      <c r="C142" t="s">
        <v>92</v>
      </c>
      <c r="D142" t="s">
        <v>93</v>
      </c>
      <c r="E142" t="s">
        <v>468</v>
      </c>
      <c r="F142" t="s">
        <v>469</v>
      </c>
      <c r="G142">
        <v>1</v>
      </c>
      <c r="H142" t="s">
        <v>44</v>
      </c>
      <c r="I142">
        <v>358</v>
      </c>
      <c r="J142">
        <v>358</v>
      </c>
    </row>
    <row r="143" spans="1:10" x14ac:dyDescent="0.2">
      <c r="A143" t="s">
        <v>154</v>
      </c>
      <c r="B143" t="s">
        <v>97</v>
      </c>
      <c r="C143" t="s">
        <v>92</v>
      </c>
      <c r="D143" t="s">
        <v>93</v>
      </c>
      <c r="E143" t="s">
        <v>364</v>
      </c>
      <c r="F143" t="s">
        <v>365</v>
      </c>
      <c r="G143">
        <v>1</v>
      </c>
      <c r="H143" t="s">
        <v>44</v>
      </c>
      <c r="I143">
        <v>432</v>
      </c>
      <c r="J143">
        <v>432</v>
      </c>
    </row>
    <row r="144" spans="1:10" x14ac:dyDescent="0.2">
      <c r="A144" t="s">
        <v>154</v>
      </c>
      <c r="B144" t="s">
        <v>97</v>
      </c>
      <c r="C144" t="s">
        <v>92</v>
      </c>
      <c r="D144" t="s">
        <v>93</v>
      </c>
      <c r="E144" t="s">
        <v>485</v>
      </c>
      <c r="F144" t="s">
        <v>486</v>
      </c>
      <c r="G144">
        <v>1</v>
      </c>
      <c r="H144" t="s">
        <v>44</v>
      </c>
      <c r="I144">
        <v>0.34</v>
      </c>
      <c r="J144">
        <v>0.34</v>
      </c>
    </row>
    <row r="145" spans="1:10" x14ac:dyDescent="0.2">
      <c r="A145" t="s">
        <v>154</v>
      </c>
      <c r="B145" t="s">
        <v>97</v>
      </c>
      <c r="C145" t="s">
        <v>92</v>
      </c>
      <c r="D145" t="s">
        <v>93</v>
      </c>
      <c r="E145" t="s">
        <v>487</v>
      </c>
      <c r="F145" t="s">
        <v>488</v>
      </c>
      <c r="G145">
        <v>1</v>
      </c>
      <c r="H145" t="s">
        <v>44</v>
      </c>
      <c r="I145">
        <v>0.4</v>
      </c>
      <c r="J145">
        <v>0.4</v>
      </c>
    </row>
    <row r="146" spans="1:10" x14ac:dyDescent="0.2">
      <c r="A146" t="s">
        <v>152</v>
      </c>
      <c r="B146" t="s">
        <v>97</v>
      </c>
      <c r="C146" t="s">
        <v>92</v>
      </c>
      <c r="D146" t="s">
        <v>93</v>
      </c>
      <c r="E146" t="s">
        <v>485</v>
      </c>
      <c r="F146" t="s">
        <v>486</v>
      </c>
      <c r="G146">
        <v>1</v>
      </c>
      <c r="H146" t="s">
        <v>44</v>
      </c>
      <c r="I146">
        <v>0.34</v>
      </c>
      <c r="J146">
        <v>0.34</v>
      </c>
    </row>
    <row r="147" spans="1:10" x14ac:dyDescent="0.2">
      <c r="A147" t="s">
        <v>152</v>
      </c>
      <c r="B147" t="s">
        <v>97</v>
      </c>
      <c r="C147" t="s">
        <v>92</v>
      </c>
      <c r="D147" t="s">
        <v>93</v>
      </c>
      <c r="E147" t="s">
        <v>487</v>
      </c>
      <c r="F147" t="s">
        <v>488</v>
      </c>
      <c r="G147">
        <v>1</v>
      </c>
      <c r="H147" t="s">
        <v>44</v>
      </c>
      <c r="I147">
        <v>0.4</v>
      </c>
      <c r="J147">
        <v>0.4</v>
      </c>
    </row>
    <row r="148" spans="1:10" x14ac:dyDescent="0.2">
      <c r="A148" t="s">
        <v>152</v>
      </c>
      <c r="B148" t="s">
        <v>97</v>
      </c>
      <c r="C148" t="s">
        <v>92</v>
      </c>
      <c r="D148" t="s">
        <v>93</v>
      </c>
      <c r="E148" t="s">
        <v>364</v>
      </c>
      <c r="F148" t="s">
        <v>365</v>
      </c>
      <c r="G148">
        <v>1</v>
      </c>
      <c r="H148" t="s">
        <v>44</v>
      </c>
      <c r="I148">
        <v>432</v>
      </c>
      <c r="J148">
        <v>432</v>
      </c>
    </row>
    <row r="149" spans="1:10" x14ac:dyDescent="0.2">
      <c r="A149" t="s">
        <v>156</v>
      </c>
      <c r="B149" t="s">
        <v>92</v>
      </c>
      <c r="C149" t="s">
        <v>92</v>
      </c>
      <c r="D149" t="s">
        <v>93</v>
      </c>
      <c r="E149" t="s">
        <v>489</v>
      </c>
      <c r="F149" t="s">
        <v>490</v>
      </c>
      <c r="G149">
        <v>1</v>
      </c>
      <c r="H149" t="s">
        <v>44</v>
      </c>
      <c r="I149">
        <v>378.69</v>
      </c>
      <c r="J149">
        <v>378.69</v>
      </c>
    </row>
    <row r="150" spans="1:10" x14ac:dyDescent="0.2">
      <c r="A150" t="s">
        <v>160</v>
      </c>
      <c r="B150" t="s">
        <v>123</v>
      </c>
      <c r="C150" t="s">
        <v>92</v>
      </c>
      <c r="D150" t="s">
        <v>93</v>
      </c>
      <c r="E150" t="s">
        <v>364</v>
      </c>
      <c r="F150" t="s">
        <v>365</v>
      </c>
      <c r="G150">
        <v>1</v>
      </c>
      <c r="H150" t="s">
        <v>44</v>
      </c>
      <c r="I150">
        <v>432</v>
      </c>
      <c r="J150">
        <v>432</v>
      </c>
    </row>
    <row r="151" spans="1:10" x14ac:dyDescent="0.2">
      <c r="A151" t="s">
        <v>166</v>
      </c>
      <c r="B151" t="s">
        <v>165</v>
      </c>
      <c r="C151" t="s">
        <v>92</v>
      </c>
      <c r="D151" t="s">
        <v>93</v>
      </c>
      <c r="E151" t="s">
        <v>491</v>
      </c>
      <c r="F151" t="s">
        <v>492</v>
      </c>
      <c r="G151">
        <v>1</v>
      </c>
      <c r="H151" t="s">
        <v>44</v>
      </c>
      <c r="I151">
        <v>0.87</v>
      </c>
      <c r="J151">
        <v>0.87</v>
      </c>
    </row>
    <row r="152" spans="1:10" x14ac:dyDescent="0.2">
      <c r="A152" t="s">
        <v>166</v>
      </c>
      <c r="B152" t="s">
        <v>165</v>
      </c>
      <c r="C152" t="s">
        <v>92</v>
      </c>
      <c r="D152" t="s">
        <v>93</v>
      </c>
      <c r="E152" t="s">
        <v>493</v>
      </c>
      <c r="F152" t="s">
        <v>494</v>
      </c>
      <c r="G152">
        <v>1</v>
      </c>
      <c r="H152" t="s">
        <v>44</v>
      </c>
      <c r="I152">
        <v>15</v>
      </c>
      <c r="J152">
        <v>15</v>
      </c>
    </row>
    <row r="153" spans="1:10" x14ac:dyDescent="0.2">
      <c r="A153" t="s">
        <v>166</v>
      </c>
      <c r="B153" t="s">
        <v>165</v>
      </c>
      <c r="C153" t="s">
        <v>92</v>
      </c>
      <c r="D153" t="s">
        <v>93</v>
      </c>
      <c r="E153" t="s">
        <v>495</v>
      </c>
      <c r="F153" t="s">
        <v>496</v>
      </c>
      <c r="G153">
        <v>1</v>
      </c>
      <c r="H153" t="s">
        <v>44</v>
      </c>
      <c r="I153">
        <v>2.41</v>
      </c>
      <c r="J153">
        <v>2.41</v>
      </c>
    </row>
    <row r="154" spans="1:10" x14ac:dyDescent="0.2">
      <c r="A154" t="s">
        <v>158</v>
      </c>
      <c r="B154" t="s">
        <v>111</v>
      </c>
      <c r="C154" t="s">
        <v>92</v>
      </c>
      <c r="D154" t="s">
        <v>93</v>
      </c>
      <c r="E154" t="s">
        <v>396</v>
      </c>
      <c r="F154" t="s">
        <v>397</v>
      </c>
      <c r="G154">
        <v>1</v>
      </c>
      <c r="H154" t="s">
        <v>44</v>
      </c>
      <c r="I154">
        <v>11</v>
      </c>
      <c r="J154">
        <v>11</v>
      </c>
    </row>
    <row r="155" spans="1:10" x14ac:dyDescent="0.2">
      <c r="A155" t="s">
        <v>158</v>
      </c>
      <c r="B155" t="s">
        <v>111</v>
      </c>
      <c r="C155" t="s">
        <v>92</v>
      </c>
      <c r="D155" t="s">
        <v>93</v>
      </c>
      <c r="E155" t="s">
        <v>362</v>
      </c>
      <c r="F155" t="s">
        <v>363</v>
      </c>
      <c r="G155">
        <v>2</v>
      </c>
      <c r="H155" t="s">
        <v>44</v>
      </c>
      <c r="I155">
        <v>13</v>
      </c>
      <c r="J155">
        <v>26</v>
      </c>
    </row>
    <row r="156" spans="1:10" x14ac:dyDescent="0.2">
      <c r="A156" t="s">
        <v>158</v>
      </c>
      <c r="B156" t="s">
        <v>111</v>
      </c>
      <c r="C156" t="s">
        <v>92</v>
      </c>
      <c r="D156" t="s">
        <v>93</v>
      </c>
      <c r="E156" t="s">
        <v>364</v>
      </c>
      <c r="F156" t="s">
        <v>365</v>
      </c>
      <c r="G156">
        <v>1</v>
      </c>
      <c r="H156" t="s">
        <v>44</v>
      </c>
      <c r="I156">
        <v>432</v>
      </c>
      <c r="J156">
        <v>432</v>
      </c>
    </row>
    <row r="157" spans="1:10" x14ac:dyDescent="0.2">
      <c r="A157" t="s">
        <v>158</v>
      </c>
      <c r="B157" t="s">
        <v>111</v>
      </c>
      <c r="C157" t="s">
        <v>92</v>
      </c>
      <c r="D157" t="s">
        <v>93</v>
      </c>
      <c r="E157" t="s">
        <v>344</v>
      </c>
      <c r="F157" t="s">
        <v>345</v>
      </c>
      <c r="G157">
        <v>2</v>
      </c>
      <c r="H157" t="s">
        <v>44</v>
      </c>
      <c r="I157">
        <v>11</v>
      </c>
      <c r="J157">
        <v>22</v>
      </c>
    </row>
    <row r="158" spans="1:10" x14ac:dyDescent="0.2">
      <c r="A158" t="s">
        <v>158</v>
      </c>
      <c r="B158" t="s">
        <v>111</v>
      </c>
      <c r="C158" t="s">
        <v>92</v>
      </c>
      <c r="D158" t="s">
        <v>93</v>
      </c>
      <c r="E158" t="s">
        <v>497</v>
      </c>
      <c r="F158" t="s">
        <v>498</v>
      </c>
      <c r="G158">
        <v>1</v>
      </c>
      <c r="H158" t="s">
        <v>44</v>
      </c>
      <c r="I158">
        <v>19</v>
      </c>
      <c r="J158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7AFC-9EDE-4396-8AFB-A85244E53768}">
  <sheetPr codeName="Sheet2"/>
  <dimension ref="A1:Q2"/>
  <sheetViews>
    <sheetView workbookViewId="0">
      <pane ySplit="1" topLeftCell="A2" activePane="bottomLeft" state="frozen"/>
      <selection pane="bottomLeft" activeCell="P41" sqref="P41"/>
    </sheetView>
  </sheetViews>
  <sheetFormatPr defaultColWidth="9" defaultRowHeight="14.25" x14ac:dyDescent="0.2"/>
  <cols>
    <col min="1" max="1" width="14.5" style="27" customWidth="1"/>
    <col min="2" max="2" width="9" style="27"/>
    <col min="3" max="3" width="13.625" style="27" customWidth="1"/>
    <col min="4" max="16384" width="9" style="27"/>
  </cols>
  <sheetData>
    <row r="1" spans="1:17" ht="15" x14ac:dyDescent="0.2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40</v>
      </c>
      <c r="Q1" s="31" t="s">
        <v>41</v>
      </c>
    </row>
    <row r="2" spans="1:17" x14ac:dyDescent="0.2">
      <c r="A2" s="27" t="s">
        <v>499</v>
      </c>
      <c r="B2" s="28">
        <v>45835.863680555558</v>
      </c>
      <c r="C2" s="27" t="s">
        <v>93</v>
      </c>
      <c r="D2" s="27" t="s">
        <v>92</v>
      </c>
      <c r="F2" s="27" t="s">
        <v>42</v>
      </c>
      <c r="G2" s="27" t="s">
        <v>60</v>
      </c>
      <c r="H2" s="27" t="s">
        <v>61</v>
      </c>
      <c r="I2" s="27" t="s">
        <v>46</v>
      </c>
      <c r="J2" s="27" t="s">
        <v>43</v>
      </c>
      <c r="K2" s="27" t="s">
        <v>44</v>
      </c>
      <c r="L2" s="27">
        <v>9.8000000000000007</v>
      </c>
      <c r="M2" s="27">
        <v>-9.8000000000000007</v>
      </c>
      <c r="N2" s="27">
        <v>69956.429999999993</v>
      </c>
      <c r="P2" s="27" t="s">
        <v>500</v>
      </c>
      <c r="Q2" s="27">
        <v>202506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3138-C9A6-4A20-BED1-44E6E45074DE}">
  <sheetPr codeName="Sheet12"/>
  <dimension ref="A1:Q2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2" max="13" width="9.125" bestFit="1" customWidth="1"/>
    <col min="14" max="14" width="10.5" bestFit="1" customWidth="1"/>
    <col min="17" max="17" width="9.125" bestFit="1" customWidth="1"/>
  </cols>
  <sheetData>
    <row r="1" spans="1:17" s="27" customFormat="1" ht="15" x14ac:dyDescent="0.2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37</v>
      </c>
      <c r="N1" s="23" t="s">
        <v>38</v>
      </c>
      <c r="O1" s="23" t="s">
        <v>39</v>
      </c>
      <c r="P1" s="23" t="s">
        <v>40</v>
      </c>
      <c r="Q1" s="31" t="s">
        <v>41</v>
      </c>
    </row>
    <row r="2" spans="1:17" x14ac:dyDescent="0.2">
      <c r="A2" t="s">
        <v>501</v>
      </c>
      <c r="B2" s="61">
        <v>45835.76525462963</v>
      </c>
      <c r="C2" t="s">
        <v>93</v>
      </c>
      <c r="D2" t="s">
        <v>92</v>
      </c>
      <c r="F2" t="s">
        <v>42</v>
      </c>
      <c r="G2" t="s">
        <v>62</v>
      </c>
      <c r="H2" t="s">
        <v>61</v>
      </c>
      <c r="I2" t="s">
        <v>46</v>
      </c>
      <c r="J2" t="s">
        <v>43</v>
      </c>
      <c r="K2" t="s">
        <v>44</v>
      </c>
      <c r="L2">
        <v>378.69</v>
      </c>
      <c r="M2">
        <v>-378.69</v>
      </c>
      <c r="N2">
        <v>65964.460000000006</v>
      </c>
      <c r="P2" t="s">
        <v>502</v>
      </c>
      <c r="Q2">
        <v>202506</v>
      </c>
    </row>
    <row r="3" spans="1:17" x14ac:dyDescent="0.2">
      <c r="A3" t="s">
        <v>503</v>
      </c>
      <c r="B3" s="61">
        <v>45835.76525462963</v>
      </c>
      <c r="C3" t="s">
        <v>93</v>
      </c>
      <c r="D3" t="s">
        <v>92</v>
      </c>
      <c r="F3" t="s">
        <v>42</v>
      </c>
      <c r="G3" t="s">
        <v>62</v>
      </c>
      <c r="H3" t="s">
        <v>61</v>
      </c>
      <c r="I3" t="s">
        <v>46</v>
      </c>
      <c r="J3" t="s">
        <v>43</v>
      </c>
      <c r="K3" t="s">
        <v>44</v>
      </c>
      <c r="L3">
        <v>141.56</v>
      </c>
      <c r="M3">
        <v>-141.56</v>
      </c>
      <c r="N3">
        <v>66343.149999999994</v>
      </c>
      <c r="P3" t="s">
        <v>504</v>
      </c>
      <c r="Q3">
        <v>202506</v>
      </c>
    </row>
    <row r="4" spans="1:17" x14ac:dyDescent="0.2">
      <c r="A4" t="s">
        <v>505</v>
      </c>
      <c r="B4" s="61">
        <v>45835.76525462963</v>
      </c>
      <c r="C4" t="s">
        <v>93</v>
      </c>
      <c r="D4" t="s">
        <v>92</v>
      </c>
      <c r="F4" t="s">
        <v>42</v>
      </c>
      <c r="G4" t="s">
        <v>62</v>
      </c>
      <c r="H4" t="s">
        <v>61</v>
      </c>
      <c r="I4" t="s">
        <v>46</v>
      </c>
      <c r="J4" t="s">
        <v>43</v>
      </c>
      <c r="K4" t="s">
        <v>44</v>
      </c>
      <c r="L4">
        <v>378.69</v>
      </c>
      <c r="M4">
        <v>-378.69</v>
      </c>
      <c r="N4">
        <v>66484.710000000006</v>
      </c>
      <c r="P4" t="s">
        <v>506</v>
      </c>
      <c r="Q4">
        <v>202506</v>
      </c>
    </row>
    <row r="5" spans="1:17" x14ac:dyDescent="0.2">
      <c r="A5" t="s">
        <v>507</v>
      </c>
      <c r="B5" s="61">
        <v>45835.76525462963</v>
      </c>
      <c r="C5" t="s">
        <v>93</v>
      </c>
      <c r="D5" t="s">
        <v>92</v>
      </c>
      <c r="F5" t="s">
        <v>42</v>
      </c>
      <c r="G5" t="s">
        <v>62</v>
      </c>
      <c r="H5" t="s">
        <v>61</v>
      </c>
      <c r="I5" t="s">
        <v>46</v>
      </c>
      <c r="J5" t="s">
        <v>43</v>
      </c>
      <c r="K5" t="s">
        <v>44</v>
      </c>
      <c r="L5">
        <v>432</v>
      </c>
      <c r="M5">
        <v>-432</v>
      </c>
      <c r="N5">
        <v>66923.92</v>
      </c>
      <c r="P5" t="s">
        <v>508</v>
      </c>
      <c r="Q5">
        <v>202506</v>
      </c>
    </row>
    <row r="6" spans="1:17" x14ac:dyDescent="0.2">
      <c r="A6" t="s">
        <v>509</v>
      </c>
      <c r="B6" s="61">
        <v>45835.76525462963</v>
      </c>
      <c r="C6" t="s">
        <v>93</v>
      </c>
      <c r="D6" t="s">
        <v>92</v>
      </c>
      <c r="F6" t="s">
        <v>42</v>
      </c>
      <c r="G6" t="s">
        <v>62</v>
      </c>
      <c r="H6" t="s">
        <v>61</v>
      </c>
      <c r="I6" t="s">
        <v>46</v>
      </c>
      <c r="J6" t="s">
        <v>43</v>
      </c>
      <c r="K6" t="s">
        <v>44</v>
      </c>
      <c r="L6">
        <v>60.52</v>
      </c>
      <c r="M6">
        <v>-60.52</v>
      </c>
      <c r="N6">
        <v>66863.399999999994</v>
      </c>
      <c r="P6" t="s">
        <v>504</v>
      </c>
      <c r="Q6">
        <v>202506</v>
      </c>
    </row>
    <row r="7" spans="1:17" x14ac:dyDescent="0.2">
      <c r="A7" t="s">
        <v>510</v>
      </c>
      <c r="B7" s="61">
        <v>45835.76525462963</v>
      </c>
      <c r="C7" t="s">
        <v>93</v>
      </c>
      <c r="D7" t="s">
        <v>92</v>
      </c>
      <c r="F7" t="s">
        <v>42</v>
      </c>
      <c r="G7" t="s">
        <v>62</v>
      </c>
      <c r="H7" t="s">
        <v>61</v>
      </c>
      <c r="I7" t="s">
        <v>46</v>
      </c>
      <c r="J7" t="s">
        <v>43</v>
      </c>
      <c r="K7" t="s">
        <v>44</v>
      </c>
      <c r="L7">
        <v>378.69</v>
      </c>
      <c r="M7">
        <v>-378.69</v>
      </c>
      <c r="N7">
        <v>67355.92</v>
      </c>
      <c r="P7" t="s">
        <v>511</v>
      </c>
      <c r="Q7">
        <v>202506</v>
      </c>
    </row>
    <row r="8" spans="1:17" x14ac:dyDescent="0.2">
      <c r="A8" t="s">
        <v>512</v>
      </c>
      <c r="B8" s="61">
        <v>45835.76525462963</v>
      </c>
      <c r="C8" t="s">
        <v>93</v>
      </c>
      <c r="D8" t="s">
        <v>92</v>
      </c>
      <c r="F8" t="s">
        <v>42</v>
      </c>
      <c r="G8" t="s">
        <v>62</v>
      </c>
      <c r="H8" t="s">
        <v>61</v>
      </c>
      <c r="I8" t="s">
        <v>46</v>
      </c>
      <c r="J8" t="s">
        <v>43</v>
      </c>
      <c r="K8" t="s">
        <v>44</v>
      </c>
      <c r="L8">
        <v>432</v>
      </c>
      <c r="M8">
        <v>-432</v>
      </c>
      <c r="N8">
        <v>67734.61</v>
      </c>
      <c r="P8" t="s">
        <v>502</v>
      </c>
      <c r="Q8">
        <v>202506</v>
      </c>
    </row>
    <row r="9" spans="1:17" x14ac:dyDescent="0.2">
      <c r="A9" t="s">
        <v>513</v>
      </c>
      <c r="B9" s="61">
        <v>45835.76525462963</v>
      </c>
      <c r="C9" t="s">
        <v>93</v>
      </c>
      <c r="D9" t="s">
        <v>92</v>
      </c>
      <c r="F9" t="s">
        <v>42</v>
      </c>
      <c r="G9" t="s">
        <v>62</v>
      </c>
      <c r="H9" t="s">
        <v>61</v>
      </c>
      <c r="I9" t="s">
        <v>46</v>
      </c>
      <c r="J9" t="s">
        <v>43</v>
      </c>
      <c r="K9" t="s">
        <v>44</v>
      </c>
      <c r="L9">
        <v>432</v>
      </c>
      <c r="M9">
        <v>-432</v>
      </c>
      <c r="N9">
        <v>68166.61</v>
      </c>
      <c r="P9" t="s">
        <v>506</v>
      </c>
      <c r="Q9">
        <v>202506</v>
      </c>
    </row>
    <row r="10" spans="1:17" x14ac:dyDescent="0.2">
      <c r="A10" t="s">
        <v>514</v>
      </c>
      <c r="B10" s="61">
        <v>45835.76525462963</v>
      </c>
      <c r="C10" t="s">
        <v>93</v>
      </c>
      <c r="D10" t="s">
        <v>92</v>
      </c>
      <c r="F10" t="s">
        <v>42</v>
      </c>
      <c r="G10" t="s">
        <v>62</v>
      </c>
      <c r="H10" t="s">
        <v>61</v>
      </c>
      <c r="I10" t="s">
        <v>46</v>
      </c>
      <c r="J10" t="s">
        <v>43</v>
      </c>
      <c r="K10" t="s">
        <v>44</v>
      </c>
      <c r="L10">
        <v>141.56</v>
      </c>
      <c r="M10">
        <v>-141.56</v>
      </c>
      <c r="N10">
        <v>68598.61</v>
      </c>
      <c r="P10" t="s">
        <v>504</v>
      </c>
      <c r="Q10">
        <v>202506</v>
      </c>
    </row>
    <row r="11" spans="1:17" x14ac:dyDescent="0.2">
      <c r="A11" t="s">
        <v>515</v>
      </c>
      <c r="B11" s="61">
        <v>45835.76525462963</v>
      </c>
      <c r="C11" t="s">
        <v>93</v>
      </c>
      <c r="D11" t="s">
        <v>92</v>
      </c>
      <c r="F11" t="s">
        <v>42</v>
      </c>
      <c r="G11" t="s">
        <v>62</v>
      </c>
      <c r="H11" t="s">
        <v>61</v>
      </c>
      <c r="I11" t="s">
        <v>46</v>
      </c>
      <c r="J11" t="s">
        <v>43</v>
      </c>
      <c r="K11" t="s">
        <v>44</v>
      </c>
      <c r="L11">
        <v>378.69</v>
      </c>
      <c r="M11">
        <v>-378.69</v>
      </c>
      <c r="N11">
        <v>68740.17</v>
      </c>
      <c r="P11" t="s">
        <v>508</v>
      </c>
      <c r="Q11">
        <v>202506</v>
      </c>
    </row>
    <row r="12" spans="1:17" x14ac:dyDescent="0.2">
      <c r="A12" t="s">
        <v>516</v>
      </c>
      <c r="B12" s="61">
        <v>45835.76525462963</v>
      </c>
      <c r="C12" t="s">
        <v>93</v>
      </c>
      <c r="D12" t="s">
        <v>92</v>
      </c>
      <c r="F12" t="s">
        <v>42</v>
      </c>
      <c r="G12" t="s">
        <v>62</v>
      </c>
      <c r="H12" t="s">
        <v>61</v>
      </c>
      <c r="I12" t="s">
        <v>46</v>
      </c>
      <c r="J12" t="s">
        <v>43</v>
      </c>
      <c r="K12" t="s">
        <v>44</v>
      </c>
      <c r="L12">
        <v>432</v>
      </c>
      <c r="M12">
        <v>-432</v>
      </c>
      <c r="N12">
        <v>69118.86</v>
      </c>
      <c r="P12" t="s">
        <v>508</v>
      </c>
      <c r="Q12">
        <v>202506</v>
      </c>
    </row>
    <row r="13" spans="1:17" x14ac:dyDescent="0.2">
      <c r="A13" t="s">
        <v>517</v>
      </c>
      <c r="B13" s="61">
        <v>45835.76525462963</v>
      </c>
      <c r="C13" t="s">
        <v>93</v>
      </c>
      <c r="D13" t="s">
        <v>92</v>
      </c>
      <c r="F13" t="s">
        <v>42</v>
      </c>
      <c r="G13" t="s">
        <v>62</v>
      </c>
      <c r="H13" t="s">
        <v>61</v>
      </c>
      <c r="I13" t="s">
        <v>46</v>
      </c>
      <c r="J13" t="s">
        <v>43</v>
      </c>
      <c r="K13" t="s">
        <v>44</v>
      </c>
      <c r="L13">
        <v>141.56</v>
      </c>
      <c r="M13">
        <v>-141.56</v>
      </c>
      <c r="N13">
        <v>69550.86</v>
      </c>
      <c r="P13" t="s">
        <v>504</v>
      </c>
      <c r="Q13">
        <v>202506</v>
      </c>
    </row>
    <row r="14" spans="1:17" x14ac:dyDescent="0.2">
      <c r="A14" t="s">
        <v>518</v>
      </c>
      <c r="B14" s="61">
        <v>45835.76525462963</v>
      </c>
      <c r="C14" t="s">
        <v>93</v>
      </c>
      <c r="D14" t="s">
        <v>92</v>
      </c>
      <c r="F14" t="s">
        <v>42</v>
      </c>
      <c r="G14" t="s">
        <v>62</v>
      </c>
      <c r="H14" t="s">
        <v>61</v>
      </c>
      <c r="I14" t="s">
        <v>46</v>
      </c>
      <c r="J14" t="s">
        <v>43</v>
      </c>
      <c r="K14" t="s">
        <v>44</v>
      </c>
      <c r="L14">
        <v>173.25</v>
      </c>
      <c r="M14">
        <v>-173.25</v>
      </c>
      <c r="N14">
        <v>69692.42</v>
      </c>
      <c r="P14" t="s">
        <v>504</v>
      </c>
      <c r="Q14">
        <v>202506</v>
      </c>
    </row>
    <row r="15" spans="1:17" x14ac:dyDescent="0.2">
      <c r="A15" t="s">
        <v>519</v>
      </c>
      <c r="B15" s="61">
        <v>45835.76525462963</v>
      </c>
      <c r="C15" t="s">
        <v>93</v>
      </c>
      <c r="D15" t="s">
        <v>92</v>
      </c>
      <c r="F15" t="s">
        <v>42</v>
      </c>
      <c r="G15" t="s">
        <v>62</v>
      </c>
      <c r="H15" t="s">
        <v>61</v>
      </c>
      <c r="I15" t="s">
        <v>46</v>
      </c>
      <c r="J15" t="s">
        <v>43</v>
      </c>
      <c r="K15" t="s">
        <v>44</v>
      </c>
      <c r="L15">
        <v>432</v>
      </c>
      <c r="M15">
        <v>-432</v>
      </c>
      <c r="N15">
        <v>69865.67</v>
      </c>
      <c r="P15" t="s">
        <v>511</v>
      </c>
      <c r="Q15">
        <v>202506</v>
      </c>
    </row>
    <row r="16" spans="1:17" x14ac:dyDescent="0.2">
      <c r="A16" t="s">
        <v>520</v>
      </c>
      <c r="B16" s="61">
        <v>45835.76525462963</v>
      </c>
      <c r="C16" t="s">
        <v>93</v>
      </c>
      <c r="D16" t="s">
        <v>92</v>
      </c>
      <c r="F16" t="s">
        <v>42</v>
      </c>
      <c r="G16" t="s">
        <v>62</v>
      </c>
      <c r="H16" t="s">
        <v>61</v>
      </c>
      <c r="I16" t="s">
        <v>46</v>
      </c>
      <c r="J16" t="s">
        <v>43</v>
      </c>
      <c r="K16" t="s">
        <v>44</v>
      </c>
      <c r="L16">
        <v>432</v>
      </c>
      <c r="M16">
        <v>-432</v>
      </c>
      <c r="N16">
        <v>70297.67</v>
      </c>
      <c r="P16" t="s">
        <v>521</v>
      </c>
      <c r="Q16">
        <v>202506</v>
      </c>
    </row>
    <row r="17" spans="1:17" x14ac:dyDescent="0.2">
      <c r="A17" t="s">
        <v>522</v>
      </c>
      <c r="B17" s="61">
        <v>45835.76525462963</v>
      </c>
      <c r="C17" t="s">
        <v>93</v>
      </c>
      <c r="D17" t="s">
        <v>92</v>
      </c>
      <c r="F17" t="s">
        <v>42</v>
      </c>
      <c r="G17" t="s">
        <v>62</v>
      </c>
      <c r="H17" t="s">
        <v>61</v>
      </c>
      <c r="I17" t="s">
        <v>46</v>
      </c>
      <c r="J17" t="s">
        <v>43</v>
      </c>
      <c r="K17" t="s">
        <v>44</v>
      </c>
      <c r="L17">
        <v>141.56</v>
      </c>
      <c r="M17">
        <v>-141.56</v>
      </c>
      <c r="N17">
        <v>70729.67</v>
      </c>
      <c r="P17" t="s">
        <v>504</v>
      </c>
      <c r="Q17">
        <v>202506</v>
      </c>
    </row>
    <row r="18" spans="1:17" x14ac:dyDescent="0.2">
      <c r="A18" t="s">
        <v>523</v>
      </c>
      <c r="B18" s="61">
        <v>45835.76525462963</v>
      </c>
      <c r="C18" t="s">
        <v>93</v>
      </c>
      <c r="D18" t="s">
        <v>92</v>
      </c>
      <c r="F18" t="s">
        <v>42</v>
      </c>
      <c r="G18" t="s">
        <v>62</v>
      </c>
      <c r="H18" t="s">
        <v>61</v>
      </c>
      <c r="I18" t="s">
        <v>46</v>
      </c>
      <c r="J18" t="s">
        <v>43</v>
      </c>
      <c r="K18" t="s">
        <v>44</v>
      </c>
      <c r="L18">
        <v>378.69</v>
      </c>
      <c r="M18">
        <v>-378.69</v>
      </c>
      <c r="N18">
        <v>70871.23</v>
      </c>
      <c r="P18" t="s">
        <v>521</v>
      </c>
      <c r="Q18">
        <v>202506</v>
      </c>
    </row>
    <row r="19" spans="1:17" x14ac:dyDescent="0.2">
      <c r="A19" t="s">
        <v>524</v>
      </c>
      <c r="B19" s="61">
        <v>45835.76525462963</v>
      </c>
      <c r="C19" t="s">
        <v>93</v>
      </c>
      <c r="D19" t="s">
        <v>92</v>
      </c>
      <c r="F19" t="s">
        <v>42</v>
      </c>
      <c r="G19" t="s">
        <v>62</v>
      </c>
      <c r="H19" t="s">
        <v>61</v>
      </c>
      <c r="I19" t="s">
        <v>46</v>
      </c>
      <c r="J19" t="s">
        <v>43</v>
      </c>
      <c r="K19" t="s">
        <v>44</v>
      </c>
      <c r="L19">
        <v>141.56</v>
      </c>
      <c r="M19">
        <v>-141.56</v>
      </c>
      <c r="N19">
        <v>71249.919999999998</v>
      </c>
      <c r="P19" t="s">
        <v>504</v>
      </c>
      <c r="Q19">
        <v>202506</v>
      </c>
    </row>
    <row r="20" spans="1:17" x14ac:dyDescent="0.2">
      <c r="A20" t="s">
        <v>525</v>
      </c>
      <c r="B20" s="61">
        <v>45835.76525462963</v>
      </c>
      <c r="C20" t="s">
        <v>93</v>
      </c>
      <c r="D20" t="s">
        <v>92</v>
      </c>
      <c r="F20" t="s">
        <v>42</v>
      </c>
      <c r="G20" t="s">
        <v>62</v>
      </c>
      <c r="H20" t="s">
        <v>61</v>
      </c>
      <c r="I20" t="s">
        <v>46</v>
      </c>
      <c r="J20" t="s">
        <v>43</v>
      </c>
      <c r="K20" t="s">
        <v>44</v>
      </c>
      <c r="L20">
        <v>378.69</v>
      </c>
      <c r="M20">
        <v>-378.69</v>
      </c>
      <c r="N20">
        <v>71391.48</v>
      </c>
      <c r="P20" t="s">
        <v>511</v>
      </c>
      <c r="Q20">
        <v>202506</v>
      </c>
    </row>
    <row r="21" spans="1:17" x14ac:dyDescent="0.2">
      <c r="A21" t="s">
        <v>526</v>
      </c>
      <c r="B21" s="61">
        <v>45835.76525462963</v>
      </c>
      <c r="C21" t="s">
        <v>93</v>
      </c>
      <c r="D21" t="s">
        <v>92</v>
      </c>
      <c r="F21" t="s">
        <v>42</v>
      </c>
      <c r="G21" t="s">
        <v>62</v>
      </c>
      <c r="H21" t="s">
        <v>61</v>
      </c>
      <c r="I21" t="s">
        <v>46</v>
      </c>
      <c r="J21" t="s">
        <v>43</v>
      </c>
      <c r="K21" t="s">
        <v>44</v>
      </c>
      <c r="L21">
        <v>432</v>
      </c>
      <c r="M21">
        <v>-432</v>
      </c>
      <c r="N21">
        <v>71770.17</v>
      </c>
      <c r="P21" t="s">
        <v>508</v>
      </c>
      <c r="Q21">
        <v>202506</v>
      </c>
    </row>
    <row r="22" spans="1:17" x14ac:dyDescent="0.2">
      <c r="A22" t="s">
        <v>527</v>
      </c>
      <c r="B22" s="61">
        <v>45835.76525462963</v>
      </c>
      <c r="C22" t="s">
        <v>93</v>
      </c>
      <c r="D22" t="s">
        <v>92</v>
      </c>
      <c r="F22" t="s">
        <v>42</v>
      </c>
      <c r="G22" t="s">
        <v>62</v>
      </c>
      <c r="H22" t="s">
        <v>61</v>
      </c>
      <c r="I22" t="s">
        <v>46</v>
      </c>
      <c r="J22" t="s">
        <v>43</v>
      </c>
      <c r="K22" t="s">
        <v>44</v>
      </c>
      <c r="L22">
        <v>432</v>
      </c>
      <c r="M22">
        <v>-432</v>
      </c>
      <c r="N22">
        <v>72202.17</v>
      </c>
      <c r="P22" t="s">
        <v>508</v>
      </c>
      <c r="Q22">
        <v>202506</v>
      </c>
    </row>
    <row r="23" spans="1:17" x14ac:dyDescent="0.2">
      <c r="A23" t="s">
        <v>528</v>
      </c>
      <c r="B23" s="61">
        <v>45835.76525462963</v>
      </c>
      <c r="C23" t="s">
        <v>93</v>
      </c>
      <c r="D23" t="s">
        <v>92</v>
      </c>
      <c r="F23" t="s">
        <v>42</v>
      </c>
      <c r="G23" t="s">
        <v>62</v>
      </c>
      <c r="H23" t="s">
        <v>61</v>
      </c>
      <c r="I23" t="s">
        <v>46</v>
      </c>
      <c r="J23" t="s">
        <v>43</v>
      </c>
      <c r="K23" t="s">
        <v>44</v>
      </c>
      <c r="L23">
        <v>378.69</v>
      </c>
      <c r="M23">
        <v>-378.69</v>
      </c>
      <c r="N23">
        <v>72634.17</v>
      </c>
      <c r="P23" t="s">
        <v>506</v>
      </c>
      <c r="Q23">
        <v>202506</v>
      </c>
    </row>
    <row r="24" spans="1:17" x14ac:dyDescent="0.2">
      <c r="A24" t="s">
        <v>529</v>
      </c>
      <c r="B24" s="61">
        <v>45835.76525462963</v>
      </c>
      <c r="C24" t="s">
        <v>93</v>
      </c>
      <c r="D24" t="s">
        <v>92</v>
      </c>
      <c r="F24" t="s">
        <v>42</v>
      </c>
      <c r="G24" t="s">
        <v>62</v>
      </c>
      <c r="H24" t="s">
        <v>61</v>
      </c>
      <c r="I24" t="s">
        <v>46</v>
      </c>
      <c r="J24" t="s">
        <v>43</v>
      </c>
      <c r="K24" t="s">
        <v>44</v>
      </c>
      <c r="L24">
        <v>378.69</v>
      </c>
      <c r="M24">
        <v>-378.69</v>
      </c>
      <c r="N24">
        <v>73012.86</v>
      </c>
      <c r="P24" t="s">
        <v>511</v>
      </c>
      <c r="Q24">
        <v>202506</v>
      </c>
    </row>
    <row r="25" spans="1:17" x14ac:dyDescent="0.2">
      <c r="A25" t="s">
        <v>530</v>
      </c>
      <c r="B25" s="61">
        <v>45835.76525462963</v>
      </c>
      <c r="C25" t="s">
        <v>93</v>
      </c>
      <c r="D25" t="s">
        <v>92</v>
      </c>
      <c r="F25" t="s">
        <v>42</v>
      </c>
      <c r="G25" t="s">
        <v>62</v>
      </c>
      <c r="H25" t="s">
        <v>61</v>
      </c>
      <c r="I25" t="s">
        <v>46</v>
      </c>
      <c r="J25" t="s">
        <v>43</v>
      </c>
      <c r="K25" t="s">
        <v>44</v>
      </c>
      <c r="L25">
        <v>432</v>
      </c>
      <c r="M25">
        <v>-432</v>
      </c>
      <c r="N25">
        <v>73391.55</v>
      </c>
      <c r="P25" t="s">
        <v>508</v>
      </c>
      <c r="Q25">
        <v>202506</v>
      </c>
    </row>
    <row r="26" spans="1:17" x14ac:dyDescent="0.2">
      <c r="A26" t="s">
        <v>531</v>
      </c>
      <c r="B26" s="61">
        <v>45835.76525462963</v>
      </c>
      <c r="C26" t="s">
        <v>93</v>
      </c>
      <c r="D26" t="s">
        <v>92</v>
      </c>
      <c r="F26" t="s">
        <v>42</v>
      </c>
      <c r="G26" t="s">
        <v>62</v>
      </c>
      <c r="H26" t="s">
        <v>61</v>
      </c>
      <c r="I26" t="s">
        <v>46</v>
      </c>
      <c r="J26" t="s">
        <v>43</v>
      </c>
      <c r="K26" t="s">
        <v>44</v>
      </c>
      <c r="L26">
        <v>432</v>
      </c>
      <c r="M26">
        <v>-432</v>
      </c>
      <c r="N26">
        <v>73823.55</v>
      </c>
      <c r="P26" t="s">
        <v>508</v>
      </c>
      <c r="Q26">
        <v>202506</v>
      </c>
    </row>
    <row r="27" spans="1:17" x14ac:dyDescent="0.2">
      <c r="A27" t="s">
        <v>532</v>
      </c>
      <c r="B27" s="61">
        <v>45835.76525462963</v>
      </c>
      <c r="C27" t="s">
        <v>93</v>
      </c>
      <c r="D27" t="s">
        <v>92</v>
      </c>
      <c r="F27" t="s">
        <v>42</v>
      </c>
      <c r="G27" t="s">
        <v>62</v>
      </c>
      <c r="H27" t="s">
        <v>61</v>
      </c>
      <c r="I27" t="s">
        <v>46</v>
      </c>
      <c r="J27" t="s">
        <v>43</v>
      </c>
      <c r="K27" t="s">
        <v>44</v>
      </c>
      <c r="L27">
        <v>378.69</v>
      </c>
      <c r="M27">
        <v>-378.69</v>
      </c>
      <c r="N27">
        <v>74255.55</v>
      </c>
      <c r="P27" t="s">
        <v>508</v>
      </c>
      <c r="Q27">
        <v>202506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7012-6023-4428-A23F-956526054B5B}">
  <sheetPr codeName="Sheet7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6.5" x14ac:dyDescent="0.35"/>
  <cols>
    <col min="1" max="1" width="9" style="32"/>
    <col min="2" max="2" width="15.375" style="32" customWidth="1"/>
    <col min="3" max="3" width="17.75" style="32" customWidth="1"/>
    <col min="4" max="11" width="9" style="32"/>
    <col min="12" max="12" width="10.625" style="32" bestFit="1" customWidth="1"/>
    <col min="13" max="13" width="11.375" style="32" bestFit="1" customWidth="1"/>
    <col min="14" max="14" width="10.5" style="32" bestFit="1" customWidth="1"/>
    <col min="15" max="15" width="9" style="32"/>
    <col min="16" max="16" width="16.625" style="32" customWidth="1"/>
    <col min="17" max="17" width="9.375" style="32" bestFit="1" customWidth="1"/>
    <col min="18" max="16384" width="9" style="32"/>
  </cols>
  <sheetData>
    <row r="1" spans="1:17" x14ac:dyDescent="0.35">
      <c r="A1" s="23" t="s">
        <v>27</v>
      </c>
      <c r="B1" s="23" t="s">
        <v>28</v>
      </c>
      <c r="C1" s="24" t="s">
        <v>1</v>
      </c>
      <c r="D1" s="24" t="s">
        <v>0</v>
      </c>
      <c r="E1" s="23" t="s">
        <v>29</v>
      </c>
      <c r="F1" s="23" t="s">
        <v>30</v>
      </c>
      <c r="G1" s="23" t="s">
        <v>31</v>
      </c>
      <c r="H1" s="23" t="s">
        <v>32</v>
      </c>
      <c r="I1" s="23" t="s">
        <v>33</v>
      </c>
      <c r="J1" s="23" t="s">
        <v>34</v>
      </c>
      <c r="K1" s="23" t="s">
        <v>35</v>
      </c>
      <c r="L1" s="23" t="s">
        <v>36</v>
      </c>
      <c r="M1" s="23" t="s">
        <v>63</v>
      </c>
      <c r="N1" s="23" t="s">
        <v>38</v>
      </c>
      <c r="O1" s="23" t="s">
        <v>39</v>
      </c>
      <c r="P1" s="23" t="s">
        <v>40</v>
      </c>
      <c r="Q1" s="31" t="s">
        <v>41</v>
      </c>
    </row>
    <row r="3" spans="1:17" x14ac:dyDescent="0.35">
      <c r="A3" s="32" t="s">
        <v>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411-31EE-4E4A-8433-05C14569AE6E}">
  <sheetPr codeName="Sheet8"/>
  <dimension ref="A1:O2"/>
  <sheetViews>
    <sheetView zoomScale="85" zoomScaleNormal="85" workbookViewId="0">
      <pane ySplit="1" topLeftCell="A2" activePane="bottomLeft" state="frozen"/>
      <selection pane="bottomLeft" activeCell="F15" sqref="F15"/>
    </sheetView>
  </sheetViews>
  <sheetFormatPr defaultColWidth="9" defaultRowHeight="14.25" x14ac:dyDescent="0.2"/>
  <cols>
    <col min="1" max="1" width="25.625" customWidth="1"/>
    <col min="2" max="2" width="11" style="41" customWidth="1"/>
    <col min="3" max="3" width="5.625" bestFit="1" customWidth="1"/>
    <col min="4" max="4" width="11.625" customWidth="1"/>
    <col min="5" max="5" width="24.625" customWidth="1"/>
    <col min="6" max="6" width="25.125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5.25" bestFit="1" customWidth="1"/>
    <col min="13" max="13" width="7.875" bestFit="1" customWidth="1"/>
    <col min="14" max="14" width="15.375" style="42" customWidth="1"/>
    <col min="15" max="15" width="18.125" customWidth="1"/>
  </cols>
  <sheetData>
    <row r="1" spans="1:15" ht="43.5" customHeight="1" x14ac:dyDescent="0.2">
      <c r="A1" s="33" t="s">
        <v>64</v>
      </c>
      <c r="B1" s="34" t="s">
        <v>65</v>
      </c>
      <c r="C1" s="35" t="s">
        <v>66</v>
      </c>
      <c r="D1" s="33" t="s">
        <v>67</v>
      </c>
      <c r="E1" s="36" t="s">
        <v>68</v>
      </c>
      <c r="F1" s="36" t="s">
        <v>69</v>
      </c>
      <c r="G1" s="36" t="s">
        <v>70</v>
      </c>
      <c r="H1" s="37" t="s">
        <v>71</v>
      </c>
      <c r="I1" s="37" t="s">
        <v>72</v>
      </c>
      <c r="J1" s="36" t="s">
        <v>73</v>
      </c>
      <c r="K1" s="38" t="s">
        <v>74</v>
      </c>
      <c r="L1" s="38" t="s">
        <v>75</v>
      </c>
      <c r="M1" s="39" t="s">
        <v>76</v>
      </c>
      <c r="N1" s="40" t="s">
        <v>77</v>
      </c>
      <c r="O1" s="36" t="s">
        <v>78</v>
      </c>
    </row>
    <row r="2" spans="1:15" x14ac:dyDescent="0.2">
      <c r="A2" t="s">
        <v>79</v>
      </c>
      <c r="B2" s="41">
        <v>713</v>
      </c>
      <c r="C2" t="s">
        <v>44</v>
      </c>
      <c r="E2" t="s">
        <v>533</v>
      </c>
      <c r="F2" t="s">
        <v>534</v>
      </c>
      <c r="G2" t="s">
        <v>535</v>
      </c>
      <c r="H2" t="s">
        <v>92</v>
      </c>
      <c r="I2" t="s">
        <v>93</v>
      </c>
      <c r="J2" t="s">
        <v>536</v>
      </c>
      <c r="K2" t="s">
        <v>537</v>
      </c>
      <c r="L2">
        <v>1</v>
      </c>
      <c r="M2">
        <v>202506</v>
      </c>
      <c r="N2" s="42">
        <v>45824.83148148148</v>
      </c>
      <c r="O2" t="s">
        <v>538</v>
      </c>
    </row>
  </sheetData>
  <phoneticPr fontId="2" type="noConversion"/>
  <conditionalFormatting sqref="E1">
    <cfRule type="duplicateValues" dxfId="3" priority="1"/>
    <cfRule type="duplicateValues" dxfId="2" priority="2"/>
  </conditionalFormatting>
  <conditionalFormatting sqref="F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3FBD-028B-4A66-9703-923C393DD979}">
  <sheetPr codeName="Sheet9"/>
  <dimension ref="A1:L3"/>
  <sheetViews>
    <sheetView workbookViewId="0">
      <pane ySplit="1" topLeftCell="A2" activePane="bottomLeft" state="frozen"/>
      <selection pane="bottomLeft" activeCell="F8" sqref="F8"/>
    </sheetView>
  </sheetViews>
  <sheetFormatPr defaultRowHeight="14.25" x14ac:dyDescent="0.2"/>
  <cols>
    <col min="1" max="1" width="10.5" bestFit="1" customWidth="1"/>
    <col min="2" max="2" width="23.625" bestFit="1" customWidth="1"/>
    <col min="3" max="3" width="24.5" customWidth="1"/>
    <col min="4" max="4" width="19.25" customWidth="1"/>
    <col min="5" max="6" width="18.125" customWidth="1"/>
    <col min="7" max="12" width="11.625" customWidth="1"/>
  </cols>
  <sheetData>
    <row r="1" spans="1:12" ht="63.75" customHeight="1" x14ac:dyDescent="0.2">
      <c r="A1" s="29" t="s">
        <v>80</v>
      </c>
      <c r="B1" s="29" t="s">
        <v>81</v>
      </c>
      <c r="C1" s="37" t="s">
        <v>82</v>
      </c>
      <c r="D1" s="37" t="s">
        <v>83</v>
      </c>
      <c r="E1" s="29" t="s">
        <v>84</v>
      </c>
      <c r="F1" s="29" t="s">
        <v>85</v>
      </c>
      <c r="G1" s="29" t="s">
        <v>86</v>
      </c>
      <c r="H1" s="29" t="s">
        <v>87</v>
      </c>
      <c r="I1" s="29" t="s">
        <v>88</v>
      </c>
      <c r="J1" s="29" t="s">
        <v>89</v>
      </c>
      <c r="K1" s="29" t="s">
        <v>90</v>
      </c>
      <c r="L1" s="29" t="s">
        <v>91</v>
      </c>
    </row>
    <row r="3" spans="1:12" x14ac:dyDescent="0.2">
      <c r="A3" t="s">
        <v>95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monthly bill</vt:lpstr>
      <vt:lpstr>Accessories discount</vt:lpstr>
      <vt:lpstr>spare parts fee</vt:lpstr>
      <vt:lpstr>service fee</vt:lpstr>
      <vt:lpstr>incentive labor fee</vt:lpstr>
      <vt:lpstr>tariff compensation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mandi.yang(杨曼迪)</dc:creator>
  <cp:lastModifiedBy>mandi.yang(杨曼迪)</cp:lastModifiedBy>
  <dcterms:created xsi:type="dcterms:W3CDTF">2025-07-22T07:52:10Z</dcterms:created>
  <dcterms:modified xsi:type="dcterms:W3CDTF">2025-07-22T07:52:22Z</dcterms:modified>
</cp:coreProperties>
</file>