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农机-海外\账单\单位月结账单\"/>
    </mc:Choice>
  </mc:AlternateContent>
  <xr:revisionPtr revIDLastSave="0" documentId="8_{3C5846BA-A0B4-497C-B665-AE2CD63C89FA}" xr6:coauthVersionLast="36" xr6:coauthVersionMax="36" xr10:uidLastSave="{00000000-0000-0000-0000-000000000000}"/>
  <bookViews>
    <workbookView xWindow="0" yWindow="0" windowWidth="28800" windowHeight="12135" xr2:uid="{C25D51C5-0C3A-41AE-92B8-0BA9670D521F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tariff compensation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1" hidden="1">'Accessories discount'!$A$1:$Q$1</definedName>
    <definedName name="_xlnm._FilterDatabase" localSheetId="9" hidden="1">'DOA to CM'!$A$1:$P$1</definedName>
    <definedName name="_xlnm._FilterDatabase" localSheetId="5" hidden="1">'Maintenance list'!$A$1:$J$1</definedName>
    <definedName name="_xlnm._FilterDatabase" localSheetId="10" hidden="1">'pre-payment balance'!$A$1:$L$1</definedName>
    <definedName name="_xlnm._FilterDatabase" localSheetId="3" hidden="1">'service fee'!$A$1:$Q$1</definedName>
    <definedName name="_xlnm._FilterDatabase" localSheetId="2" hidden="1">'spare parts fee'!$A$1:$Q$1</definedName>
    <definedName name="_xlnm._FilterDatabase" localSheetId="4" hidden="1">'tariff compensation'!$A$1:$Q$1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7" i="3" s="1"/>
  <c r="E13" i="3"/>
  <c r="E12" i="3"/>
  <c r="E11" i="3"/>
  <c r="E10" i="3"/>
  <c r="E9" i="3"/>
  <c r="E8" i="3"/>
  <c r="E7" i="3"/>
  <c r="E14" i="3" s="1"/>
  <c r="E5" i="3"/>
  <c r="E6" i="3" s="1"/>
  <c r="E15" i="3" l="1"/>
</calcChain>
</file>

<file path=xl/sharedStrings.xml><?xml version="1.0" encoding="utf-8"?>
<sst xmlns="http://schemas.openxmlformats.org/spreadsheetml/2006/main" count="3323" uniqueCount="598">
  <si>
    <t>Distributor Name</t>
    <phoneticPr fontId="2" type="noConversion"/>
  </si>
  <si>
    <t>Distributor Account</t>
    <phoneticPr fontId="2" type="noConversion"/>
  </si>
  <si>
    <t>tariff compensation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</si>
  <si>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</si>
  <si>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</si>
  <si>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</si>
  <si>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Oct</t>
    </r>
    <phoneticPr fontId="2" type="noConversion"/>
  </si>
  <si>
    <t>Dealer</t>
  </si>
  <si>
    <t>Dealer Account：</t>
  </si>
  <si>
    <t>Credit Trading</t>
  </si>
  <si>
    <t>Amount</t>
  </si>
  <si>
    <t>Remarks</t>
    <phoneticPr fontId="2" type="noConversion"/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</si>
  <si>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</si>
  <si>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</si>
  <si>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</si>
  <si>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</si>
  <si>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</si>
  <si>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</si>
  <si>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</si>
  <si>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</si>
  <si>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</si>
  <si>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</si>
  <si>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</si>
  <si>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</si>
  <si>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</si>
  <si>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</si>
  <si>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</si>
  <si>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</si>
  <si>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  <phoneticPr fontId="2" type="noConversion"/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</si>
  <si>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</si>
  <si>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</si>
  <si>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</si>
  <si>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</si>
  <si>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</si>
  <si>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</si>
  <si>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</si>
  <si>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</si>
  <si>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</si>
  <si>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</si>
  <si>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Remarks</t>
  </si>
  <si>
    <t>Month</t>
  </si>
  <si>
    <t>Quota adjustment</t>
  </si>
  <si>
    <t>Order material fee</t>
  </si>
  <si>
    <t>deduction</t>
  </si>
  <si>
    <t>Manual adjustment</t>
  </si>
  <si>
    <t>USD</t>
  </si>
  <si>
    <t>Increase</t>
  </si>
  <si>
    <t>Local repair-in warranty</t>
  </si>
  <si>
    <t>Repair spare parts fee</t>
  </si>
  <si>
    <t>Automatically generate</t>
  </si>
  <si>
    <t>Month</t>
    <phoneticPr fontId="2" type="noConversion"/>
  </si>
  <si>
    <t>Repair service fee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</si>
  <si>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</si>
  <si>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</si>
  <si>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</si>
  <si>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</si>
  <si>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</si>
  <si>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</si>
  <si>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</si>
  <si>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</si>
  <si>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</si>
  <si>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</si>
  <si>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BC.AG.SS000706.02</t>
  </si>
  <si>
    <t>【T25】10028动力电机</t>
  </si>
  <si>
    <t>plus-minus</t>
    <phoneticPr fontId="2" type="noConversion"/>
  </si>
  <si>
    <t>other</t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</si>
  <si>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  <phoneticPr fontId="2" type="noConversion"/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</si>
  <si>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</si>
  <si>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</si>
  <si>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t>CM单号
Credit number</t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</si>
  <si>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</si>
  <si>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</si>
  <si>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</si>
  <si>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</si>
  <si>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</si>
  <si>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</si>
  <si>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</si>
  <si>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</si>
  <si>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</si>
  <si>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</si>
  <si>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</si>
  <si>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</si>
  <si>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</si>
  <si>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</si>
  <si>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</si>
  <si>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</si>
  <si>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</si>
  <si>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</si>
  <si>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</si>
  <si>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</si>
  <si>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</si>
  <si>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</si>
  <si>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</si>
  <si>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</si>
  <si>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DronePro Comercio e Assistencia Tecnica Ltda</t>
  </si>
  <si>
    <t>HUADA-agras</t>
  </si>
  <si>
    <t>HUADA-agras</t>
    <phoneticPr fontId="2" type="noConversion"/>
  </si>
  <si>
    <t>FQFO251021000001</t>
  </si>
  <si>
    <t>FQAO251020000007</t>
  </si>
  <si>
    <t>CAS-26676630-J8Z3H7</t>
  </si>
  <si>
    <t>FQFO251017000344</t>
  </si>
  <si>
    <t>FQAO251017000008</t>
  </si>
  <si>
    <t>CAS-26221806-D3Y9H7</t>
  </si>
  <si>
    <t>FQFO251013000302</t>
  </si>
  <si>
    <t>FQAO251013000002</t>
  </si>
  <si>
    <t>CAS-26223901-P9V2B7</t>
  </si>
  <si>
    <t>FQFO251031000282</t>
  </si>
  <si>
    <t>Horizont Drones</t>
  </si>
  <si>
    <t>FWRC251028000143</t>
  </si>
  <si>
    <t>FQFO251030001002</t>
  </si>
  <si>
    <t>FWRC251025000225</t>
  </si>
  <si>
    <t>FQFO251030000918</t>
  </si>
  <si>
    <t>FWRC251030000285</t>
  </si>
  <si>
    <t>FQFO251030000882</t>
  </si>
  <si>
    <t>DNT - Drone Norte -Uruara</t>
  </si>
  <si>
    <t>FWRC251030000301</t>
  </si>
  <si>
    <t>FQFO251030000001</t>
  </si>
  <si>
    <t>FWRC251030000287</t>
  </si>
  <si>
    <t>FQFO251029000201</t>
  </si>
  <si>
    <t>FWRC251029000167</t>
  </si>
  <si>
    <t>FQFO251028000322</t>
  </si>
  <si>
    <t>AGROGEO COMERCIO E SERVICOS DE ENG E CONSULT FLORESTAL LTDA</t>
  </si>
  <si>
    <t>FWRC251027000140</t>
  </si>
  <si>
    <t>FQFO251028000233</t>
  </si>
  <si>
    <t>Agrominas Produtos Agropecuários LTDA</t>
  </si>
  <si>
    <t>FWRC251027000152</t>
  </si>
  <si>
    <t>FQFO251028000227</t>
  </si>
  <si>
    <t>FWRC251027000159</t>
  </si>
  <si>
    <t>FQFO251028000179</t>
  </si>
  <si>
    <t>FWRC251027000173</t>
  </si>
  <si>
    <t>FQFO251028000141</t>
  </si>
  <si>
    <t>FWRC251028000193</t>
  </si>
  <si>
    <t>FQFO251028000121</t>
  </si>
  <si>
    <t>FWRC251028000200</t>
  </si>
  <si>
    <t>FQFO251028000041</t>
  </si>
  <si>
    <t>FWRC251025000103</t>
  </si>
  <si>
    <t>FQFO251027000361</t>
  </si>
  <si>
    <t>VRJ COMERCIO DE DRONES</t>
  </si>
  <si>
    <t>FWRC251021000254</t>
  </si>
  <si>
    <t>FQFO251027000248</t>
  </si>
  <si>
    <t>FWRC251024000195</t>
  </si>
  <si>
    <t>FQFO251027000098</t>
  </si>
  <si>
    <t>FWRC251013000171</t>
  </si>
  <si>
    <t>FQFO251024000100</t>
  </si>
  <si>
    <t>FWRC251023000153</t>
  </si>
  <si>
    <t>FQFO251024000036</t>
  </si>
  <si>
    <t>DRONE NORTE</t>
  </si>
  <si>
    <t>FWRC251020000187</t>
  </si>
  <si>
    <t>FQFO251023000234</t>
  </si>
  <si>
    <t>FWRC251021000220</t>
  </si>
  <si>
    <t>FQFO251021000454</t>
  </si>
  <si>
    <t>FWRC251020000222</t>
  </si>
  <si>
    <t>FQFO251021000334</t>
  </si>
  <si>
    <t>FWRC251014000159</t>
  </si>
  <si>
    <t>FQFO251021000275</t>
  </si>
  <si>
    <t>FWRC251021000239</t>
  </si>
  <si>
    <t>FQFO251021000101</t>
  </si>
  <si>
    <t>FWRC251020000200</t>
  </si>
  <si>
    <t>FQFO251020000356</t>
  </si>
  <si>
    <t>FWRC251017000135</t>
  </si>
  <si>
    <t>FQFO251020000130</t>
  </si>
  <si>
    <t>FWRC251018000108</t>
  </si>
  <si>
    <t>FQFO251017000235</t>
  </si>
  <si>
    <t>FWRC251016000222</t>
  </si>
  <si>
    <t>FQFO251017000027</t>
  </si>
  <si>
    <t>FWRC251017000258</t>
  </si>
  <si>
    <t>FQFO251017000020</t>
  </si>
  <si>
    <t>FWRC251017000262</t>
  </si>
  <si>
    <t>FQFO251016000631</t>
  </si>
  <si>
    <t>FWRC251016000168</t>
  </si>
  <si>
    <t>FQFO251016000213</t>
  </si>
  <si>
    <t>FWRC251014000200</t>
  </si>
  <si>
    <t>FQFO251016000205</t>
  </si>
  <si>
    <t>FWRC251014000203</t>
  </si>
  <si>
    <t>FQFO251016000197</t>
  </si>
  <si>
    <t>FWRC251014000204</t>
  </si>
  <si>
    <t>FQFO251016000189</t>
  </si>
  <si>
    <t>FWRC251014000206</t>
  </si>
  <si>
    <t>FQFO251016000169</t>
  </si>
  <si>
    <t>FWRC251014000209</t>
  </si>
  <si>
    <t>FQFO251016000159</t>
  </si>
  <si>
    <t>FWRC251014000211</t>
  </si>
  <si>
    <t>FQFO251016000157</t>
  </si>
  <si>
    <t>FWRC251014000213</t>
  </si>
  <si>
    <t>FQFO251016000151</t>
  </si>
  <si>
    <t>FWRC251014000214</t>
  </si>
  <si>
    <t>FQFO251016000145</t>
  </si>
  <si>
    <t>FWRC251014000216</t>
  </si>
  <si>
    <t>FQFO251016000141</t>
  </si>
  <si>
    <t>FWRC251014000217</t>
  </si>
  <si>
    <t>FQFO251016000137</t>
  </si>
  <si>
    <t>FWRC251014000219</t>
  </si>
  <si>
    <t>FQFO251016000009</t>
  </si>
  <si>
    <t>FWRC251014000207</t>
  </si>
  <si>
    <t>FQFO251016000007</t>
  </si>
  <si>
    <t>FWRC251014000218</t>
  </si>
  <si>
    <t>FQFO251015000009</t>
  </si>
  <si>
    <t>FWRC250709000319</t>
  </si>
  <si>
    <t>FQFO251014000403</t>
  </si>
  <si>
    <t>FWRC251013000173</t>
  </si>
  <si>
    <t>FQFO251013000007</t>
  </si>
  <si>
    <t>FWRC250605000308</t>
  </si>
  <si>
    <t>FQFO251011000180</t>
  </si>
  <si>
    <t>FWRC251010000195</t>
  </si>
  <si>
    <t>FQFO251011000118</t>
  </si>
  <si>
    <t>FWRC251011000210</t>
  </si>
  <si>
    <t>FQFO251009000742</t>
  </si>
  <si>
    <t>FWRC251009000299</t>
  </si>
  <si>
    <t>FQFO251009000625</t>
  </si>
  <si>
    <t>FWRC251008000188</t>
  </si>
  <si>
    <t>FQFO251009000545</t>
  </si>
  <si>
    <t>FWRC251004000142</t>
  </si>
  <si>
    <t>FQFO251009000307</t>
  </si>
  <si>
    <t>FWRC251006000237</t>
  </si>
  <si>
    <t>FQFO251009000016</t>
  </si>
  <si>
    <t>AgroTerra</t>
  </si>
  <si>
    <t>FWRC251008000255</t>
  </si>
  <si>
    <t>FQFO251006000160</t>
  </si>
  <si>
    <t>FWRC251002000187</t>
  </si>
  <si>
    <t>FQFO251006000138</t>
  </si>
  <si>
    <t>FWRC251003000117</t>
  </si>
  <si>
    <t>FQFO251006000106</t>
  </si>
  <si>
    <t>FWRC251003000130</t>
  </si>
  <si>
    <t>FQFO251006000052</t>
  </si>
  <si>
    <t>FWRC251003000226</t>
  </si>
  <si>
    <t>FQFO251003000819</t>
  </si>
  <si>
    <t>FWRC251001000270</t>
  </si>
  <si>
    <t>FQFO251003000733</t>
  </si>
  <si>
    <t>PARAÍSO DOS DRONES</t>
  </si>
  <si>
    <t>FWRC251002000281</t>
  </si>
  <si>
    <t>FQFO251003000515</t>
  </si>
  <si>
    <t>FWRC250924000228</t>
  </si>
  <si>
    <t>FQFO251003000450</t>
  </si>
  <si>
    <t>FWRC251003000228</t>
  </si>
  <si>
    <t>FQFO251003000343</t>
  </si>
  <si>
    <t>DNT pacaja</t>
  </si>
  <si>
    <t>FWRC251001000177</t>
  </si>
  <si>
    <t>FQFO251003000191</t>
  </si>
  <si>
    <t>FWRC250930000173</t>
  </si>
  <si>
    <t>FQFO251003000183</t>
  </si>
  <si>
    <t>FWRC250930000172</t>
  </si>
  <si>
    <t>FQFO251003000171</t>
  </si>
  <si>
    <t>FWRC250930000171</t>
  </si>
  <si>
    <t>FQFO251003000165</t>
  </si>
  <si>
    <t>FWRC250930000170</t>
  </si>
  <si>
    <t>FQFO251003000153</t>
  </si>
  <si>
    <t>FWRC250930000169</t>
  </si>
  <si>
    <t>FQFO251003000139</t>
  </si>
  <si>
    <t>FWRC250930000168</t>
  </si>
  <si>
    <t>FQFO251003000125</t>
  </si>
  <si>
    <t>FWRC250930000167</t>
  </si>
  <si>
    <t>FQFO251003000121</t>
  </si>
  <si>
    <t>FWRC250930000166</t>
  </si>
  <si>
    <t>FQFO251003000117</t>
  </si>
  <si>
    <t>FWRC250930000165</t>
  </si>
  <si>
    <t>FQFO251003000113</t>
  </si>
  <si>
    <t>FWRC250930000164</t>
  </si>
  <si>
    <t>FQFO251003000105</t>
  </si>
  <si>
    <t>FWRC250929000231</t>
  </si>
  <si>
    <t>FQFO251003000097</t>
  </si>
  <si>
    <t>FWRC250929000230</t>
  </si>
  <si>
    <t>FQFO251003000093</t>
  </si>
  <si>
    <t>FWRC250929000228</t>
  </si>
  <si>
    <t>Huada Agricola Comercial LTDA</t>
  </si>
  <si>
    <t>取消结算</t>
  </si>
  <si>
    <t>FQFO251031000283</t>
  </si>
  <si>
    <t>FQFO251030001003</t>
  </si>
  <si>
    <t>FQFO251030000919</t>
  </si>
  <si>
    <t>FQFO251030000883</t>
  </si>
  <si>
    <t>FQFO251030000002</t>
  </si>
  <si>
    <t>FQFO251029000202</t>
  </si>
  <si>
    <t>FQFO251028000323</t>
  </si>
  <si>
    <t>FQFO251028000234</t>
  </si>
  <si>
    <t>FQFO251028000228</t>
  </si>
  <si>
    <t>FQFO251028000180</t>
  </si>
  <si>
    <t>FQFO251028000122</t>
  </si>
  <si>
    <t>FQFO251028000042</t>
  </si>
  <si>
    <t>FQFO251027000249</t>
  </si>
  <si>
    <t>FQFO251027000099</t>
  </si>
  <si>
    <t>FQFO251024000101</t>
  </si>
  <si>
    <t>FQFO251024000037</t>
  </si>
  <si>
    <t>FQFO251023000235</t>
  </si>
  <si>
    <t>FQFO251021000455</t>
  </si>
  <si>
    <t>FQFO251021000335</t>
  </si>
  <si>
    <t>FQFO251021000276</t>
  </si>
  <si>
    <t>FQFO251021000102</t>
  </si>
  <si>
    <t>FQFO251020000357</t>
  </si>
  <si>
    <t>FQFO251020000131</t>
  </si>
  <si>
    <t>FQFO251017000236</t>
  </si>
  <si>
    <t>FQFO251017000028</t>
  </si>
  <si>
    <t>FQFO251017000021</t>
  </si>
  <si>
    <t>FQFO251016000632</t>
  </si>
  <si>
    <t>FQFO251016000214</t>
  </si>
  <si>
    <t>FQFO251016000206</t>
  </si>
  <si>
    <t>FQFO251016000198</t>
  </si>
  <si>
    <t>FQFO251016000190</t>
  </si>
  <si>
    <t>FQFO251016000170</t>
  </si>
  <si>
    <t>FQFO251016000160</t>
  </si>
  <si>
    <t>FQFO251016000158</t>
  </si>
  <si>
    <t>FQFO251016000152</t>
  </si>
  <si>
    <t>FQFO251016000146</t>
  </si>
  <si>
    <t>FQFO251016000142</t>
  </si>
  <si>
    <t>FQFO251016000138</t>
  </si>
  <si>
    <t>FQFO251016000010</t>
  </si>
  <si>
    <t>FQFO251016000008</t>
  </si>
  <si>
    <t>FQFO251014000404</t>
  </si>
  <si>
    <t>FQFO251013000008</t>
  </si>
  <si>
    <t>FQFO251011000181</t>
  </si>
  <si>
    <t>FQFO251011000119</t>
  </si>
  <si>
    <t>FQFO251009000743</t>
  </si>
  <si>
    <t>FQFO251009000626</t>
  </si>
  <si>
    <t>FQFO251009000546</t>
  </si>
  <si>
    <t>FQFO251009000308</t>
  </si>
  <si>
    <t>FQFO251006000161</t>
  </si>
  <si>
    <t>FQFO251006000139</t>
  </si>
  <si>
    <t>FQFO251006000107</t>
  </si>
  <si>
    <t>FQFO251006000053</t>
  </si>
  <si>
    <t>FQFO251003000820</t>
  </si>
  <si>
    <t>FQFO251003000734</t>
  </si>
  <si>
    <t>FQFO251003000516</t>
  </si>
  <si>
    <t>FQFO251003000451</t>
  </si>
  <si>
    <t>FQFO251003000344</t>
  </si>
  <si>
    <t>FQFO251003000192</t>
  </si>
  <si>
    <t>FQFO251003000184</t>
  </si>
  <si>
    <t>FQFO251003000172</t>
  </si>
  <si>
    <t>FQFO251003000166</t>
  </si>
  <si>
    <t>FQFO251003000154</t>
  </si>
  <si>
    <t>FQFO251003000140</t>
  </si>
  <si>
    <t>FQFO251003000126</t>
  </si>
  <si>
    <t>FQFO251003000122</t>
  </si>
  <si>
    <t>FQFO251003000118</t>
  </si>
  <si>
    <t>FQFO251003000114</t>
  </si>
  <si>
    <t>FQFO251003000106</t>
  </si>
  <si>
    <t>FQFO251003000098</t>
  </si>
  <si>
    <t>FQFO251003000094</t>
  </si>
  <si>
    <t>FQFO251121000078</t>
  </si>
  <si>
    <t>FQAO251119000004</t>
  </si>
  <si>
    <t>Horizont Drones,2025.10 tariff compensation，S-25-11-19-01</t>
  </si>
  <si>
    <t>FQFO251121000074</t>
  </si>
  <si>
    <t>VRJ COMERCIO DE DRONES,2025.10 tariff compensation，S-25-11-19-01</t>
  </si>
  <si>
    <t>FQFO251121000075</t>
  </si>
  <si>
    <t>Agrominas Produtos Agropecuários LTDA,2025.10 tariff compensation，S-25-11-19-01</t>
  </si>
  <si>
    <t>FQFO251121000076</t>
  </si>
  <si>
    <t>Huada Agricola Comercial LTDA,2025.10 tariff compensation，S-25-11-19-01</t>
  </si>
  <si>
    <t>FQFO251121000077</t>
  </si>
  <si>
    <t>AgroTerra,2025.10 tariff compensation，S-25-11-19-01</t>
  </si>
  <si>
    <t>FQFO251121000073</t>
  </si>
  <si>
    <t>PARAÍSO DOS DRONES,2025.10 tariff compensation，S-25-11-19-01</t>
  </si>
  <si>
    <t>FQFO251121000072</t>
  </si>
  <si>
    <t>AGROGEO COMERCIO E SERVICOS DE ENG E CONSULT FLORESTAL LTDA,2025.10 tariff compensation，S-25-11-19-01</t>
  </si>
  <si>
    <t>FQFO251121000071</t>
  </si>
  <si>
    <t>DNT - Drone Norte -Uruara,2025.10 tariff compensation，S-25-11-19-01</t>
  </si>
  <si>
    <t>FQFO251121000070</t>
  </si>
  <si>
    <t>DRONE NORTE,2025.10 tariff compensation，S-25-11-19-01</t>
  </si>
  <si>
    <t>FQFO251121000069</t>
  </si>
  <si>
    <t>DNT pacaja,2025.10 tariff compensation，S-25-11-19-01</t>
  </si>
  <si>
    <t>BC.AG.SS000690.01</t>
  </si>
  <si>
    <t>【T50/T25】喷洒电源模块</t>
  </si>
  <si>
    <t>YC.DZ.BC000062.01</t>
  </si>
  <si>
    <t>T30/T10充电器电源模块（HJ）</t>
  </si>
  <si>
    <t>BC.AG.SS000728.01</t>
  </si>
  <si>
    <t>DB800 智能飞行电池上盖组件</t>
  </si>
  <si>
    <t>BC.AG.SS000566.01</t>
  </si>
  <si>
    <t>10033动力电机-M4</t>
  </si>
  <si>
    <t>YC.XC.XX001014.06</t>
  </si>
  <si>
    <t>【T50/T25】FPV信号线</t>
  </si>
  <si>
    <t>YC.XC.DD000579.05</t>
  </si>
  <si>
    <t>【T25】M1&amp;M2机臂电调复合线A</t>
  </si>
  <si>
    <t>YC.JG.QX002996.03</t>
  </si>
  <si>
    <t>【T25】电机座</t>
  </si>
  <si>
    <t>YC.JG.FP000027.03</t>
  </si>
  <si>
    <t>【T25】电机保护罩</t>
  </si>
  <si>
    <t>YC.WJ.L00877.00</t>
  </si>
  <si>
    <t>【T50/T25】M3防滑螺母</t>
  </si>
  <si>
    <t>BC.AG.SS000703.01</t>
  </si>
  <si>
    <t>【T25】M2机臂（左前）</t>
  </si>
  <si>
    <t>YC.WJ.LL000232.02</t>
  </si>
  <si>
    <t>【T50/T25】M40-HC01000100-072028-5103-N_01</t>
  </si>
  <si>
    <t>YC.ST.LL000215.02</t>
  </si>
  <si>
    <t>【T25】M50-HC01200120-087050-5103-Y</t>
  </si>
  <si>
    <t>YC.WJ.L00873.02</t>
  </si>
  <si>
    <t>【T50/T25】螺丝 M30-HC1880-55-85</t>
  </si>
  <si>
    <t>YC.JG.ZS003553.02</t>
  </si>
  <si>
    <t>【T25】反桨（CW）</t>
  </si>
  <si>
    <t>YC.JG.LD000045.02</t>
  </si>
  <si>
    <t>【T25】机臂固定螺栓</t>
  </si>
  <si>
    <t>YC.JG.ZS003552.02</t>
  </si>
  <si>
    <t>【T25】正桨（CCW）</t>
  </si>
  <si>
    <t>YC.JG.BJ001760.06</t>
  </si>
  <si>
    <t>【T25】脚架铝管</t>
  </si>
  <si>
    <t>BC.AG.SS000702.01</t>
  </si>
  <si>
    <t>【T25】M1机臂（右前）</t>
  </si>
  <si>
    <t>YC.JG.QX003012.03</t>
  </si>
  <si>
    <t>【T50/T25】锁紧扣手柄</t>
  </si>
  <si>
    <t>YC.JG.ZS003468.06</t>
  </si>
  <si>
    <t>【T50/T25】脚架三通</t>
  </si>
  <si>
    <t>YC.ST.LL000017.01</t>
  </si>
  <si>
    <t>【T50/T25】螺丝 M30-HC02800070-055030-0003-Y</t>
  </si>
  <si>
    <t>BC.AG.SS000838.01</t>
  </si>
  <si>
    <t>【T50/T25】航电模块L</t>
  </si>
  <si>
    <t>BC.AG.SS000939.02.F</t>
  </si>
  <si>
    <t>【T50/T25】前雷达模块</t>
  </si>
  <si>
    <t>YC.JG.ZS001306.05</t>
  </si>
  <si>
    <t>【T25】在位检测支架</t>
  </si>
  <si>
    <t>YC.JG.ZS003465.07</t>
  </si>
  <si>
    <t>【T50/T25】脚架固定件（左前）</t>
  </si>
  <si>
    <t>BC.AG.SS000704.01</t>
  </si>
  <si>
    <t>【T25】M3机臂（左后）</t>
  </si>
  <si>
    <t>YC.XC.XX001011.05</t>
  </si>
  <si>
    <t>【T50/T25】前雷达信号线</t>
  </si>
  <si>
    <t>YC.JG.QX002975.03</t>
  </si>
  <si>
    <t>【T25】桨夹</t>
  </si>
  <si>
    <t>YC.JG.ZS003400.09</t>
  </si>
  <si>
    <t>【T25】喷杆外壳</t>
  </si>
  <si>
    <t>BC.AG.SS000707.01</t>
  </si>
  <si>
    <t>【T50/T25】电磁阀组件</t>
  </si>
  <si>
    <t>BC.AG.SS000689.01</t>
  </si>
  <si>
    <t>【T25】机框组件</t>
  </si>
  <si>
    <t>BC.AG.SS000705.01</t>
  </si>
  <si>
    <t>【T25】M4机臂（右后）</t>
  </si>
  <si>
    <t>YC.JG.YZ000672.04</t>
  </si>
  <si>
    <t>【T50/T25】前雷达底座</t>
  </si>
  <si>
    <t>YC.ST.LL000226.01</t>
  </si>
  <si>
    <t>【T50/T25】M30-HC01450080-100020-5103-Y</t>
  </si>
  <si>
    <t>YC.JG.YZ000671.06</t>
  </si>
  <si>
    <t>【T50/T25】前雷达支架</t>
  </si>
  <si>
    <t>YC.JG.ZS003389.05</t>
  </si>
  <si>
    <t>【T50/T25】前壳顶盖</t>
  </si>
  <si>
    <t>YC.JG.MQ001280.03</t>
  </si>
  <si>
    <t>【T25】橡胶垫片</t>
  </si>
  <si>
    <t>YC.WJ.LL000213.02</t>
  </si>
  <si>
    <t>【T50/T25】M30-HT01930060-110025-5103-Y</t>
  </si>
  <si>
    <t>YC.JG.ZS003387.06</t>
  </si>
  <si>
    <t>【T50/T25】前壳主体</t>
  </si>
  <si>
    <t>BC.AG.SS000671.03</t>
  </si>
  <si>
    <t>【T50/T25】前视觉组件</t>
  </si>
  <si>
    <t>YC.ST.LL000122.01</t>
  </si>
  <si>
    <t>【T50/T25】螺丝 M25-HC00780040-040020-5108-N</t>
  </si>
  <si>
    <t>YC.WJ.L00871.02</t>
  </si>
  <si>
    <t>【T50/T25】螺丝 M30-HC100100-55-85</t>
  </si>
  <si>
    <t>YC.ST.LL000209.02</t>
  </si>
  <si>
    <t>【T50/T25】螺丝 M50-HF01430102-116041-0003-Y</t>
  </si>
  <si>
    <t>YC.JG.MY001011.05</t>
  </si>
  <si>
    <t>【T50/T25】称重橡胶头</t>
  </si>
  <si>
    <t>YC.JG.ZS003488.01</t>
  </si>
  <si>
    <t>【T25】电机上盖</t>
  </si>
  <si>
    <t>YC.ST.LL000208.01</t>
  </si>
  <si>
    <t>【T50/T25】M20-TC00700060-033010-0004-Y</t>
  </si>
  <si>
    <t>YC.JG.ZS003386.06</t>
  </si>
  <si>
    <t>【T50/T25】前壳前盖</t>
  </si>
  <si>
    <t>YC.JG.MQ001292.03</t>
  </si>
  <si>
    <t>【T25】特氟龙垫片</t>
  </si>
  <si>
    <t>BC.AG.SS000668.02</t>
  </si>
  <si>
    <t>【T50】10033动力电机</t>
  </si>
  <si>
    <t>YC.JG.ZS003467.05</t>
  </si>
  <si>
    <t>【T50/T25】脚架固定件（右后）</t>
  </si>
  <si>
    <t>YC.JG.ZS003464.04</t>
  </si>
  <si>
    <t>【T50/T25】脚架固定件（右前）</t>
  </si>
  <si>
    <t>YC.JG.QX002089.01</t>
  </si>
  <si>
    <t>【T50/T25】锁紧扣机臂转轴</t>
  </si>
  <si>
    <t>YC.JG.QX003014.01</t>
  </si>
  <si>
    <t>【T50/T25】卡扣转轴</t>
  </si>
  <si>
    <t>YC.JG.ZS003492.04</t>
  </si>
  <si>
    <t>【T50/T25】雷达右支撑</t>
  </si>
  <si>
    <t>YC.JG.ZS002291.09</t>
  </si>
  <si>
    <t>【T25】喷杆固定座</t>
  </si>
  <si>
    <t>YC.JG.BJ002409.04</t>
  </si>
  <si>
    <t>【T50/T25】E形卡簧（外径 6mm）</t>
  </si>
  <si>
    <t>YC.JG.ZS003400.08</t>
  </si>
  <si>
    <t>YC.JG.ZS003600.05</t>
  </si>
  <si>
    <t>【T50/T25】称重支架（左）</t>
  </si>
  <si>
    <t>YC.JG.ZS002235.07</t>
  </si>
  <si>
    <t>【T50/T25】快拆滤网</t>
  </si>
  <si>
    <t>YC.JG.ZS003458.05</t>
  </si>
  <si>
    <t>【T50/T25】离心甩盘下盘</t>
  </si>
  <si>
    <t>YC.JG.ZS003459.04</t>
  </si>
  <si>
    <t>【T50/T25】离心甩盘上盘</t>
  </si>
  <si>
    <t>YC.JG.ZS002232.06</t>
  </si>
  <si>
    <t>【T50/T25】水箱三通</t>
  </si>
  <si>
    <t>YC.JG.ZS003599.05</t>
  </si>
  <si>
    <t>【T50/T25】称重支架（右）</t>
  </si>
  <si>
    <t>YC.JG.ZS003452.04</t>
  </si>
  <si>
    <t>【T50/T25】外壳侧盖</t>
  </si>
  <si>
    <t>BC.AG.SS000701.01</t>
  </si>
  <si>
    <t>【T50/T25】锁紧卡扣组件</t>
  </si>
  <si>
    <t>YC.JG.CS000017.05</t>
  </si>
  <si>
    <t>【T25】水箱（20L）</t>
  </si>
  <si>
    <t>BC.AG.SS000940.02.F</t>
  </si>
  <si>
    <t>【T50/T25】后雷达模块</t>
  </si>
  <si>
    <t>BC.AG.SS000752.01</t>
  </si>
  <si>
    <t>【T50/T25】喷杆螺母</t>
  </si>
  <si>
    <t>YC.ST.LL000148.01</t>
  </si>
  <si>
    <t>【T50/T25】M40-HC01400140-070039-4105-Y</t>
  </si>
  <si>
    <t>YC.JG.TT000165.01</t>
  </si>
  <si>
    <t>【T50/T25】卡扣扭簧</t>
  </si>
  <si>
    <t>BC.AG.SS000709.01</t>
  </si>
  <si>
    <t>【T50/T25】液位计传感器组件</t>
  </si>
  <si>
    <t>YC.JG.ZS003466.05</t>
  </si>
  <si>
    <t>【T50/T25】脚架固定件（左后）</t>
  </si>
  <si>
    <t>YC.JG.ZS003465.04</t>
  </si>
  <si>
    <t>YC.JG.QX002088.03</t>
  </si>
  <si>
    <t>【T50/T25】锁紧扣连杆</t>
  </si>
  <si>
    <t>BC.AG.SS000706.01</t>
  </si>
  <si>
    <t>YC.JG.XW000110.02</t>
  </si>
  <si>
    <t>【T50/T25】脚架横杆（后）</t>
  </si>
  <si>
    <t>YC.JG.ZS003493.04</t>
  </si>
  <si>
    <t>【T50/T25】雷达左支撑</t>
  </si>
  <si>
    <t>YC.JG.ZS003417.08</t>
  </si>
  <si>
    <t>【T50/T25】叶轮泵隔离套</t>
  </si>
  <si>
    <t>BC.AG.SS000986.01</t>
  </si>
  <si>
    <t>180度弯头组件</t>
  </si>
  <si>
    <t>YC.JG.ZS003496.04</t>
  </si>
  <si>
    <t>【小播撒】料箱盖</t>
  </si>
  <si>
    <t>BC.AG.SS000565.02</t>
  </si>
  <si>
    <t>【T50/T25】离心电机</t>
  </si>
  <si>
    <t>BC.AG.SS000543.01</t>
  </si>
  <si>
    <t>【T50/T25】叶轮泵电机</t>
  </si>
  <si>
    <t>YC.XC.XX001109.02</t>
  </si>
  <si>
    <t>【T50/T25】离心喷头转接线</t>
  </si>
  <si>
    <t>BC.AG.SS000471.01</t>
  </si>
  <si>
    <t>【T50/T25】水箱液位计</t>
  </si>
  <si>
    <t>YC.JG.CS000017.07</t>
  </si>
  <si>
    <t>YC.XC.XX001002.04</t>
  </si>
  <si>
    <t>【T50/T25】喷洒一分四信号线</t>
  </si>
  <si>
    <t>BC.AG.SS000546.01</t>
  </si>
  <si>
    <t>【T40/T20P】喷洒转接板组件</t>
  </si>
  <si>
    <t>BC.AG.SS000554.01</t>
  </si>
  <si>
    <t>【T40/T20P】喷洒模块</t>
  </si>
  <si>
    <t>BC.AG.SS000700.01</t>
  </si>
  <si>
    <t>【T50/T25】电调模块</t>
  </si>
  <si>
    <t>BC.AG.SS000835.01</t>
  </si>
  <si>
    <t>DB1560 智能飞行电池上盖组件</t>
  </si>
  <si>
    <t>BC.AG.SS000727.02</t>
  </si>
  <si>
    <t>DB1560 智能飞行电池上盖组件（已加密）</t>
  </si>
  <si>
    <t>BC.AG.SS000691.01</t>
  </si>
  <si>
    <t>【T50】分电板模块</t>
  </si>
  <si>
    <t>BC.AG.SS000673.01</t>
  </si>
  <si>
    <t>【T50】称重模块</t>
  </si>
  <si>
    <t>BC.AG.SS000860.01</t>
  </si>
  <si>
    <t>称重模块</t>
  </si>
  <si>
    <t>BC.AG.SS000549.01</t>
  </si>
  <si>
    <t>【T40/T20P】FPV模块</t>
  </si>
  <si>
    <t>BC.AG.SS000724.01</t>
  </si>
  <si>
    <t>C10000 P2智能充电器 AC-DC电源模块</t>
  </si>
  <si>
    <t>BC.AG.SS000720.01</t>
  </si>
  <si>
    <t>T50 DC-DC电源模块（OLT）</t>
  </si>
  <si>
    <t>BC.AG.SS000871.02</t>
  </si>
  <si>
    <t>电磁阀组件</t>
  </si>
  <si>
    <t>BC.AG.SS000677.01</t>
  </si>
  <si>
    <t>【T50/T25】补光灯组件</t>
  </si>
  <si>
    <t>YC.XC.XX001012.07</t>
  </si>
  <si>
    <t>【T50/T25】后雷达信号线</t>
  </si>
  <si>
    <t>YC.JG.MY000712.04</t>
  </si>
  <si>
    <t>【T50/T25】离心阀胶圈</t>
  </si>
  <si>
    <t>YC.JG.MY000387.02</t>
  </si>
  <si>
    <t>【大播撒/小播撒】电机防尘罩</t>
  </si>
  <si>
    <t>YC.XJ.QT000194.02</t>
  </si>
  <si>
    <t>【T50/T25】液位计安装螺母密封圈</t>
  </si>
  <si>
    <t>YC.JG.MY001038.01</t>
  </si>
  <si>
    <t>【T50/T25】减震橡胶</t>
  </si>
  <si>
    <t>YC.JG.MY000732.03</t>
  </si>
  <si>
    <t>【大播撒/小播撒】防尘罩2</t>
  </si>
  <si>
    <t>YC.JG.MY000759.02</t>
  </si>
  <si>
    <t>【T25】机臂开口橡胶</t>
  </si>
  <si>
    <t>YC.BZ.RB000011.04</t>
  </si>
  <si>
    <t>【T50/T25】料箱挂绳</t>
  </si>
  <si>
    <t>YC.JG.JS000033.07</t>
  </si>
  <si>
    <t>【T50/T25】流量计出水口管</t>
  </si>
  <si>
    <t>YC.JG.ZS002251.03</t>
  </si>
  <si>
    <t>【T50/T25】水箱盖</t>
  </si>
  <si>
    <t>YC.SJ.WS002423.02</t>
  </si>
  <si>
    <t>【T50/T25】水箱盖箍环</t>
  </si>
  <si>
    <t>YC.JG.ZS003418.04</t>
  </si>
  <si>
    <t>【T50/T25】叶轮泵泵壳</t>
  </si>
  <si>
    <t>YC.JG.ZS002291.11</t>
  </si>
  <si>
    <t>YC.JG.ZS003464.07</t>
  </si>
  <si>
    <t>YC.JG.ZS001306.04</t>
  </si>
  <si>
    <t>YC.JG.ZS003460.01</t>
  </si>
  <si>
    <t>【T50/T25】水管螺母（M15）</t>
  </si>
  <si>
    <t>YC.XC.XX001001.04</t>
  </si>
  <si>
    <t>【T50/T25】喷洒转接线</t>
  </si>
  <si>
    <t>YC.JG.ZS003388.07</t>
  </si>
  <si>
    <t>【T50/T25】前壳底板</t>
  </si>
  <si>
    <t>YC.WJ.L00961.01</t>
  </si>
  <si>
    <t>【T50/T25】M4不锈钢防松螺母</t>
  </si>
  <si>
    <t>YC.ST.LL000339.01</t>
  </si>
  <si>
    <t>【T50/T25】螺丝 M40-HC03500120-070040-5103-N</t>
  </si>
  <si>
    <t>YC.JG.ZS002389.07</t>
  </si>
  <si>
    <t>【T50/T25】叶轮泵保护罩</t>
  </si>
  <si>
    <t>YC.JG.MY000679.02</t>
  </si>
  <si>
    <t>【T50/T25】水箱盖密封圈</t>
  </si>
  <si>
    <t>YC.JG.MQ001294.01</t>
  </si>
  <si>
    <t>【T50/T25】航电射频导热垫</t>
  </si>
  <si>
    <t>BC.AG.SS000680.01</t>
  </si>
  <si>
    <t>【T25】称重模块</t>
  </si>
  <si>
    <t>YC.JG.ZS002229.04</t>
  </si>
  <si>
    <t>【T50/T25】称重模块线夹</t>
  </si>
  <si>
    <t>This item is not involved this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</si>
</sst>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4" fontId="6" fillId="0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 wrapText="1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178" fontId="21" fillId="10" borderId="0" xfId="0" applyNumberFormat="1" applyFont="1" applyFill="1" applyBorder="1" applyAlignment="1">
      <alignment horizontal="center" vertical="center" wrapText="1"/>
    </xf>
    <xf numFmtId="14" fontId="21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7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3657251C-88BA-4471-BC6C-FA9C2ADB033C}"/>
    <cellStyle name="常规 4 2 2" xfId="2" xr:uid="{9AAC4DF1-230B-4F28-804D-0BBA64567746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D8C9-A36A-473A-B6BD-6F0CB6E4715D}">
  <sheetPr codeName="Sheet4"/>
  <dimension ref="B1:F17"/>
  <sheetViews>
    <sheetView showGridLines="0" tabSelected="1" zoomScale="85" zoomScaleNormal="85" workbookViewId="0">
      <selection activeCell="E15" sqref="E15"/>
    </sheetView>
  </sheetViews>
  <sheetFormatPr defaultColWidth="9" defaultRowHeight="14.25" x14ac:dyDescent="0.2"/>
  <cols>
    <col min="1" max="1" width="3.375" style="2" customWidth="1"/>
    <col min="2" max="2" width="20.375" style="2" customWidth="1"/>
    <col min="3" max="3" width="8.875" style="2" customWidth="1"/>
    <col min="4" max="4" width="32.875" style="2" customWidth="1"/>
    <col min="5" max="5" width="16.875" style="2" customWidth="1"/>
    <col min="6" max="6" width="54.375" style="2" customWidth="1"/>
    <col min="7" max="7" width="17.75" style="2" customWidth="1"/>
    <col min="8" max="16384" width="9" style="2"/>
  </cols>
  <sheetData>
    <row r="1" spans="2:6" ht="13.5" customHeight="1" x14ac:dyDescent="0.2"/>
    <row r="2" spans="2:6" ht="46.5" customHeight="1" x14ac:dyDescent="0.2">
      <c r="B2" s="47" t="s">
        <v>6</v>
      </c>
      <c r="C2" s="48"/>
      <c r="D2" s="48"/>
      <c r="E2" s="48"/>
      <c r="F2" s="49"/>
    </row>
    <row r="3" spans="2:6" ht="18.75" customHeight="1" x14ac:dyDescent="0.2">
      <c r="B3" s="3" t="s">
        <v>7</v>
      </c>
      <c r="C3" s="50" t="s">
        <v>94</v>
      </c>
      <c r="D3" s="51"/>
      <c r="E3" s="3" t="s">
        <v>8</v>
      </c>
      <c r="F3" s="4" t="s">
        <v>96</v>
      </c>
    </row>
    <row r="4" spans="2:6" ht="18" x14ac:dyDescent="0.2">
      <c r="B4" s="52" t="s">
        <v>9</v>
      </c>
      <c r="C4" s="53"/>
      <c r="D4" s="54"/>
      <c r="E4" s="5" t="s">
        <v>10</v>
      </c>
      <c r="F4" s="6" t="s">
        <v>11</v>
      </c>
    </row>
    <row r="5" spans="2:6" ht="16.899999999999999" customHeight="1" x14ac:dyDescent="0.2">
      <c r="B5" s="7" t="s">
        <v>12</v>
      </c>
      <c r="C5" s="8">
        <v>1</v>
      </c>
      <c r="D5" s="9" t="s">
        <v>13</v>
      </c>
      <c r="E5" s="10">
        <f>SUMIF('Accessories discount'!C:C,F3,'Accessories discount'!M:M)</f>
        <v>-42408.800000000003</v>
      </c>
      <c r="F5" s="11"/>
    </row>
    <row r="6" spans="2:6" ht="16.899999999999999" customHeight="1" x14ac:dyDescent="0.2">
      <c r="B6" s="55" t="s">
        <v>14</v>
      </c>
      <c r="C6" s="56"/>
      <c r="D6" s="57"/>
      <c r="E6" s="10">
        <f>E5</f>
        <v>-42408.800000000003</v>
      </c>
      <c r="F6" s="12"/>
    </row>
    <row r="7" spans="2:6" ht="16.899999999999999" customHeight="1" x14ac:dyDescent="0.2">
      <c r="B7" s="58" t="s">
        <v>15</v>
      </c>
      <c r="C7" s="13">
        <v>1</v>
      </c>
      <c r="D7" s="9" t="s">
        <v>16</v>
      </c>
      <c r="E7" s="10">
        <f>SUMIF('spare parts fee'!C:C,'monthly bill'!F3,'spare parts fee'!M:M)</f>
        <v>25077.74</v>
      </c>
      <c r="F7" s="12"/>
    </row>
    <row r="8" spans="2:6" ht="16.899999999999999" customHeight="1" x14ac:dyDescent="0.2">
      <c r="B8" s="58"/>
      <c r="C8" s="13">
        <v>2</v>
      </c>
      <c r="D8" s="9" t="s">
        <v>17</v>
      </c>
      <c r="E8" s="14">
        <f>SUMIF('service fee'!C:C,'monthly bill'!F3,'service fee'!M:M)</f>
        <v>632</v>
      </c>
      <c r="F8" s="12"/>
    </row>
    <row r="9" spans="2:6" ht="16.899999999999999" customHeight="1" x14ac:dyDescent="0.2">
      <c r="B9" s="58"/>
      <c r="C9" s="13">
        <v>3</v>
      </c>
      <c r="D9" s="9" t="s">
        <v>2</v>
      </c>
      <c r="E9" s="14">
        <f>SUMIF('tariff compensation'!C:C,'monthly bill'!F3,'tariff compensation'!M:M)</f>
        <v>11786.54</v>
      </c>
      <c r="F9" s="12"/>
    </row>
    <row r="10" spans="2:6" ht="16.899999999999999" customHeight="1" x14ac:dyDescent="0.2">
      <c r="B10" s="58"/>
      <c r="C10" s="13">
        <v>4</v>
      </c>
      <c r="D10" s="9" t="s">
        <v>3</v>
      </c>
      <c r="E10" s="14">
        <f>SUMIF('service red-line deduction'!C:C,'monthly bill'!F3,'service red-line deduction'!M:M)</f>
        <v>0</v>
      </c>
      <c r="F10" s="12"/>
    </row>
    <row r="11" spans="2:6" ht="16.899999999999999" customHeight="1" x14ac:dyDescent="0.2">
      <c r="B11" s="58"/>
      <c r="C11" s="13">
        <v>5</v>
      </c>
      <c r="D11" s="9" t="s">
        <v>4</v>
      </c>
      <c r="E11" s="14">
        <f>SUMIF('bad parts deduction'!C:C,'monthly bill'!F3,'bad parts deduction'!M:M)</f>
        <v>0</v>
      </c>
      <c r="F11" s="12"/>
    </row>
    <row r="12" spans="2:6" ht="16.899999999999999" customHeight="1" x14ac:dyDescent="0.2">
      <c r="B12" s="58"/>
      <c r="C12" s="13">
        <v>6</v>
      </c>
      <c r="D12" s="9" t="s">
        <v>5</v>
      </c>
      <c r="E12" s="14">
        <f>SUMIF('other compensation'!C:C,'monthly bill'!F3,'other compensation'!M:M)</f>
        <v>0</v>
      </c>
      <c r="F12" s="12"/>
    </row>
    <row r="13" spans="2:6" ht="16.899999999999999" customHeight="1" x14ac:dyDescent="0.2">
      <c r="B13" s="58"/>
      <c r="C13" s="13">
        <v>7</v>
      </c>
      <c r="D13" s="9" t="s">
        <v>18</v>
      </c>
      <c r="E13" s="14">
        <f>SUMIF('DOA to CM'!J:J,'monthly bill'!F3,'DOA to CM'!B:B)</f>
        <v>0</v>
      </c>
      <c r="F13" s="12"/>
    </row>
    <row r="14" spans="2:6" ht="16.899999999999999" customHeight="1" x14ac:dyDescent="0.2">
      <c r="B14" s="55" t="s">
        <v>19</v>
      </c>
      <c r="C14" s="56"/>
      <c r="D14" s="57"/>
      <c r="E14" s="14">
        <f>E7+E8+E10+E11+E12+E13+E9</f>
        <v>37496.28</v>
      </c>
      <c r="F14" s="12"/>
    </row>
    <row r="15" spans="2:6" ht="16.5" x14ac:dyDescent="0.2">
      <c r="B15" s="41" t="s">
        <v>20</v>
      </c>
      <c r="C15" s="42"/>
      <c r="D15" s="43"/>
      <c r="E15" s="15">
        <f>E14+E6</f>
        <v>-4912.5200000000041</v>
      </c>
      <c r="F15" s="12" t="s">
        <v>21</v>
      </c>
    </row>
    <row r="16" spans="2:6" s="21" customFormat="1" ht="16.5" x14ac:dyDescent="0.2">
      <c r="B16" s="16" t="s">
        <v>22</v>
      </c>
      <c r="C16" s="17">
        <v>1</v>
      </c>
      <c r="D16" s="18" t="s">
        <v>23</v>
      </c>
      <c r="E16" s="19">
        <f>SUMIF('pre-payment balance'!D:D,F3,'pre-payment balance'!K:K)</f>
        <v>0</v>
      </c>
      <c r="F16" s="20"/>
    </row>
    <row r="17" spans="2:6" s="21" customFormat="1" ht="16.5" x14ac:dyDescent="0.2">
      <c r="B17" s="44" t="s">
        <v>24</v>
      </c>
      <c r="C17" s="45"/>
      <c r="D17" s="46"/>
      <c r="E17" s="22">
        <f>E16</f>
        <v>0</v>
      </c>
      <c r="F17" s="1" t="s">
        <v>25</v>
      </c>
    </row>
  </sheetData>
  <mergeCells count="8">
    <mergeCell ref="B15:D15"/>
    <mergeCell ref="B17:D17"/>
    <mergeCell ref="B2:F2"/>
    <mergeCell ref="C3:D3"/>
    <mergeCell ref="B4:D4"/>
    <mergeCell ref="B6:D6"/>
    <mergeCell ref="B7:B13"/>
    <mergeCell ref="B14:D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8677-D6F9-47EF-B6C6-5DA659537788}">
  <sheetPr codeName="Sheet5"/>
  <dimension ref="A1:Q4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2" spans="1:17" x14ac:dyDescent="0.2">
      <c r="A2" t="s">
        <v>97</v>
      </c>
      <c r="B2" s="59">
        <v>45951.415451388886</v>
      </c>
      <c r="C2" t="s">
        <v>95</v>
      </c>
      <c r="D2" t="s">
        <v>94</v>
      </c>
      <c r="F2" t="s">
        <v>41</v>
      </c>
      <c r="G2" t="s">
        <v>98</v>
      </c>
      <c r="H2" t="s">
        <v>42</v>
      </c>
      <c r="I2" t="s">
        <v>43</v>
      </c>
      <c r="J2" t="s">
        <v>44</v>
      </c>
      <c r="K2" t="s">
        <v>45</v>
      </c>
      <c r="L2">
        <v>1066.81</v>
      </c>
      <c r="M2">
        <v>-1066.81</v>
      </c>
      <c r="N2">
        <v>690</v>
      </c>
      <c r="P2" t="s">
        <v>99</v>
      </c>
      <c r="Q2" s="26">
        <v>202510</v>
      </c>
    </row>
    <row r="3" spans="1:17" x14ac:dyDescent="0.2">
      <c r="A3" t="s">
        <v>100</v>
      </c>
      <c r="B3" s="59">
        <v>45947.91034722222</v>
      </c>
      <c r="C3" t="s">
        <v>95</v>
      </c>
      <c r="D3" t="s">
        <v>94</v>
      </c>
      <c r="F3" t="s">
        <v>41</v>
      </c>
      <c r="G3" t="s">
        <v>101</v>
      </c>
      <c r="H3" t="s">
        <v>42</v>
      </c>
      <c r="I3" t="s">
        <v>43</v>
      </c>
      <c r="J3" t="s">
        <v>44</v>
      </c>
      <c r="K3" t="s">
        <v>45</v>
      </c>
      <c r="L3">
        <v>26638.49</v>
      </c>
      <c r="M3">
        <v>-26638.49</v>
      </c>
      <c r="N3">
        <v>1066.81</v>
      </c>
      <c r="P3" t="s">
        <v>102</v>
      </c>
      <c r="Q3" s="26">
        <v>202510</v>
      </c>
    </row>
    <row r="4" spans="1:17" x14ac:dyDescent="0.2">
      <c r="A4" t="s">
        <v>103</v>
      </c>
      <c r="B4" s="59">
        <v>45943.984236111108</v>
      </c>
      <c r="C4" t="s">
        <v>95</v>
      </c>
      <c r="D4" t="s">
        <v>94</v>
      </c>
      <c r="F4" t="s">
        <v>41</v>
      </c>
      <c r="G4" t="s">
        <v>104</v>
      </c>
      <c r="H4" t="s">
        <v>42</v>
      </c>
      <c r="I4" t="s">
        <v>43</v>
      </c>
      <c r="J4" t="s">
        <v>44</v>
      </c>
      <c r="K4" t="s">
        <v>45</v>
      </c>
      <c r="L4">
        <v>14703.5</v>
      </c>
      <c r="M4">
        <v>-14703.5</v>
      </c>
      <c r="N4">
        <v>21443.78</v>
      </c>
      <c r="P4" t="s">
        <v>105</v>
      </c>
      <c r="Q4" s="26">
        <v>202510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F0D6-989F-41FE-B4CE-A654C44CDCE2}">
  <sheetPr codeName="Sheet6"/>
  <dimension ref="A1:Q76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7.375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bestFit="1" customWidth="1"/>
    <col min="8" max="8" width="21.25" bestFit="1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2" spans="1:17" x14ac:dyDescent="0.2">
      <c r="A2" t="s">
        <v>106</v>
      </c>
      <c r="B2" s="59">
        <v>45961.798298611109</v>
      </c>
      <c r="C2" t="s">
        <v>95</v>
      </c>
      <c r="D2" t="s">
        <v>94</v>
      </c>
      <c r="E2" t="s">
        <v>107</v>
      </c>
      <c r="F2" t="s">
        <v>47</v>
      </c>
      <c r="G2" t="s">
        <v>108</v>
      </c>
      <c r="H2" t="s">
        <v>48</v>
      </c>
      <c r="I2" t="s">
        <v>46</v>
      </c>
      <c r="J2" t="s">
        <v>49</v>
      </c>
      <c r="K2" t="s">
        <v>45</v>
      </c>
      <c r="L2">
        <v>283.12</v>
      </c>
      <c r="M2">
        <v>283.12</v>
      </c>
      <c r="N2">
        <v>14202.74</v>
      </c>
      <c r="Q2">
        <v>202510</v>
      </c>
    </row>
    <row r="3" spans="1:17" x14ac:dyDescent="0.2">
      <c r="A3" t="s">
        <v>109</v>
      </c>
      <c r="B3" s="59">
        <v>45960.847384259258</v>
      </c>
      <c r="C3" t="s">
        <v>95</v>
      </c>
      <c r="D3" t="s">
        <v>94</v>
      </c>
      <c r="F3" t="s">
        <v>47</v>
      </c>
      <c r="G3" t="s">
        <v>110</v>
      </c>
      <c r="H3" t="s">
        <v>48</v>
      </c>
      <c r="I3" t="s">
        <v>46</v>
      </c>
      <c r="J3" t="s">
        <v>49</v>
      </c>
      <c r="K3" t="s">
        <v>45</v>
      </c>
      <c r="L3">
        <v>1253.83</v>
      </c>
      <c r="M3">
        <v>1253.83</v>
      </c>
      <c r="N3">
        <v>13892.62</v>
      </c>
      <c r="Q3">
        <v>202510</v>
      </c>
    </row>
    <row r="4" spans="1:17" x14ac:dyDescent="0.2">
      <c r="A4" t="s">
        <v>111</v>
      </c>
      <c r="B4" s="59">
        <v>45960.845393518517</v>
      </c>
      <c r="C4" t="s">
        <v>95</v>
      </c>
      <c r="D4" t="s">
        <v>94</v>
      </c>
      <c r="F4" t="s">
        <v>47</v>
      </c>
      <c r="G4" t="s">
        <v>112</v>
      </c>
      <c r="H4" t="s">
        <v>48</v>
      </c>
      <c r="I4" t="s">
        <v>46</v>
      </c>
      <c r="J4" t="s">
        <v>49</v>
      </c>
      <c r="K4" t="s">
        <v>45</v>
      </c>
      <c r="L4">
        <v>261.25</v>
      </c>
      <c r="M4">
        <v>261.25</v>
      </c>
      <c r="N4">
        <v>12631.79</v>
      </c>
      <c r="Q4">
        <v>202510</v>
      </c>
    </row>
    <row r="5" spans="1:17" x14ac:dyDescent="0.2">
      <c r="A5" t="s">
        <v>113</v>
      </c>
      <c r="B5" s="59">
        <v>45960.844398148147</v>
      </c>
      <c r="C5" t="s">
        <v>95</v>
      </c>
      <c r="D5" t="s">
        <v>94</v>
      </c>
      <c r="E5" t="s">
        <v>114</v>
      </c>
      <c r="F5" t="s">
        <v>47</v>
      </c>
      <c r="G5" t="s">
        <v>115</v>
      </c>
      <c r="H5" t="s">
        <v>48</v>
      </c>
      <c r="I5" t="s">
        <v>46</v>
      </c>
      <c r="J5" t="s">
        <v>49</v>
      </c>
      <c r="K5" t="s">
        <v>45</v>
      </c>
      <c r="L5">
        <v>149</v>
      </c>
      <c r="M5">
        <v>149</v>
      </c>
      <c r="N5">
        <v>12363.54</v>
      </c>
      <c r="Q5">
        <v>202510</v>
      </c>
    </row>
    <row r="6" spans="1:17" x14ac:dyDescent="0.2">
      <c r="A6" t="s">
        <v>116</v>
      </c>
      <c r="B6" s="59">
        <v>45960.438506944447</v>
      </c>
      <c r="C6" t="s">
        <v>95</v>
      </c>
      <c r="D6" t="s">
        <v>94</v>
      </c>
      <c r="F6" t="s">
        <v>47</v>
      </c>
      <c r="G6" t="s">
        <v>117</v>
      </c>
      <c r="H6" t="s">
        <v>48</v>
      </c>
      <c r="I6" t="s">
        <v>46</v>
      </c>
      <c r="J6" t="s">
        <v>49</v>
      </c>
      <c r="K6" t="s">
        <v>45</v>
      </c>
      <c r="L6">
        <v>261.25</v>
      </c>
      <c r="M6">
        <v>261.25</v>
      </c>
      <c r="N6">
        <v>8052.68</v>
      </c>
      <c r="Q6">
        <v>202510</v>
      </c>
    </row>
    <row r="7" spans="1:17" x14ac:dyDescent="0.2">
      <c r="A7" t="s">
        <v>118</v>
      </c>
      <c r="B7" s="59">
        <v>45959.861990740741</v>
      </c>
      <c r="C7" t="s">
        <v>95</v>
      </c>
      <c r="D7" t="s">
        <v>94</v>
      </c>
      <c r="F7" t="s">
        <v>47</v>
      </c>
      <c r="G7" t="s">
        <v>119</v>
      </c>
      <c r="H7" t="s">
        <v>48</v>
      </c>
      <c r="I7" t="s">
        <v>46</v>
      </c>
      <c r="J7" t="s">
        <v>49</v>
      </c>
      <c r="K7" t="s">
        <v>45</v>
      </c>
      <c r="L7">
        <v>224</v>
      </c>
      <c r="M7">
        <v>224</v>
      </c>
      <c r="N7">
        <v>7784.43</v>
      </c>
      <c r="Q7">
        <v>202510</v>
      </c>
    </row>
    <row r="8" spans="1:17" x14ac:dyDescent="0.2">
      <c r="A8" t="s">
        <v>120</v>
      </c>
      <c r="B8" s="59">
        <v>45958.910925925928</v>
      </c>
      <c r="C8" t="s">
        <v>95</v>
      </c>
      <c r="D8" t="s">
        <v>94</v>
      </c>
      <c r="E8" t="s">
        <v>121</v>
      </c>
      <c r="F8" t="s">
        <v>47</v>
      </c>
      <c r="G8" t="s">
        <v>122</v>
      </c>
      <c r="H8" t="s">
        <v>48</v>
      </c>
      <c r="I8" t="s">
        <v>46</v>
      </c>
      <c r="J8" t="s">
        <v>49</v>
      </c>
      <c r="K8" t="s">
        <v>45</v>
      </c>
      <c r="L8">
        <v>570</v>
      </c>
      <c r="M8">
        <v>570</v>
      </c>
      <c r="N8">
        <v>7553.43</v>
      </c>
      <c r="Q8">
        <v>202510</v>
      </c>
    </row>
    <row r="9" spans="1:17" x14ac:dyDescent="0.2">
      <c r="A9" t="s">
        <v>123</v>
      </c>
      <c r="B9" s="59">
        <v>45958.908530092594</v>
      </c>
      <c r="C9" t="s">
        <v>95</v>
      </c>
      <c r="D9" t="s">
        <v>94</v>
      </c>
      <c r="E9" t="s">
        <v>124</v>
      </c>
      <c r="F9" t="s">
        <v>47</v>
      </c>
      <c r="G9" t="s">
        <v>125</v>
      </c>
      <c r="H9" t="s">
        <v>48</v>
      </c>
      <c r="I9" t="s">
        <v>46</v>
      </c>
      <c r="J9" t="s">
        <v>49</v>
      </c>
      <c r="K9" t="s">
        <v>45</v>
      </c>
      <c r="L9">
        <v>432</v>
      </c>
      <c r="M9">
        <v>432</v>
      </c>
      <c r="N9">
        <v>6956.43</v>
      </c>
      <c r="Q9">
        <v>202510</v>
      </c>
    </row>
    <row r="10" spans="1:17" x14ac:dyDescent="0.2">
      <c r="A10" t="s">
        <v>126</v>
      </c>
      <c r="B10" s="59">
        <v>45958.908321759256</v>
      </c>
      <c r="C10" t="s">
        <v>95</v>
      </c>
      <c r="D10" t="s">
        <v>94</v>
      </c>
      <c r="F10" t="s">
        <v>47</v>
      </c>
      <c r="G10" t="s">
        <v>127</v>
      </c>
      <c r="H10" t="s">
        <v>48</v>
      </c>
      <c r="I10" t="s">
        <v>46</v>
      </c>
      <c r="J10" t="s">
        <v>49</v>
      </c>
      <c r="K10" t="s">
        <v>45</v>
      </c>
      <c r="L10">
        <v>322.87</v>
      </c>
      <c r="M10">
        <v>322.87</v>
      </c>
      <c r="N10">
        <v>6508.43</v>
      </c>
      <c r="Q10">
        <v>202510</v>
      </c>
    </row>
    <row r="11" spans="1:17" x14ac:dyDescent="0.2">
      <c r="A11" t="s">
        <v>128</v>
      </c>
      <c r="B11" s="59">
        <v>45958.906909722224</v>
      </c>
      <c r="C11" t="s">
        <v>95</v>
      </c>
      <c r="D11" t="s">
        <v>94</v>
      </c>
      <c r="F11" t="s">
        <v>47</v>
      </c>
      <c r="G11" t="s">
        <v>129</v>
      </c>
      <c r="H11" t="s">
        <v>48</v>
      </c>
      <c r="I11" t="s">
        <v>46</v>
      </c>
      <c r="J11" t="s">
        <v>49</v>
      </c>
      <c r="K11" t="s">
        <v>45</v>
      </c>
      <c r="L11">
        <v>224</v>
      </c>
      <c r="M11">
        <v>224</v>
      </c>
      <c r="N11">
        <v>6178.56</v>
      </c>
      <c r="Q11">
        <v>202510</v>
      </c>
    </row>
    <row r="12" spans="1:17" x14ac:dyDescent="0.2">
      <c r="A12" t="s">
        <v>130</v>
      </c>
      <c r="B12" s="59">
        <v>45958.905752314815</v>
      </c>
      <c r="C12" t="s">
        <v>95</v>
      </c>
      <c r="D12" t="s">
        <v>94</v>
      </c>
      <c r="E12" t="s">
        <v>107</v>
      </c>
      <c r="F12" t="s">
        <v>47</v>
      </c>
      <c r="G12" t="s">
        <v>131</v>
      </c>
      <c r="H12" t="s">
        <v>48</v>
      </c>
      <c r="I12" t="s">
        <v>46</v>
      </c>
      <c r="J12" t="s">
        <v>49</v>
      </c>
      <c r="K12" t="s">
        <v>45</v>
      </c>
      <c r="L12">
        <v>6</v>
      </c>
      <c r="M12">
        <v>6</v>
      </c>
      <c r="N12">
        <v>5954.56</v>
      </c>
      <c r="Q12">
        <v>202510</v>
      </c>
    </row>
    <row r="13" spans="1:17" x14ac:dyDescent="0.2">
      <c r="A13" t="s">
        <v>132</v>
      </c>
      <c r="B13" s="59">
        <v>45958.905335648145</v>
      </c>
      <c r="C13" t="s">
        <v>95</v>
      </c>
      <c r="D13" t="s">
        <v>94</v>
      </c>
      <c r="F13" t="s">
        <v>47</v>
      </c>
      <c r="G13" t="s">
        <v>133</v>
      </c>
      <c r="H13" t="s">
        <v>48</v>
      </c>
      <c r="I13" t="s">
        <v>46</v>
      </c>
      <c r="J13" t="s">
        <v>49</v>
      </c>
      <c r="K13" t="s">
        <v>45</v>
      </c>
      <c r="L13">
        <v>224</v>
      </c>
      <c r="M13">
        <v>224</v>
      </c>
      <c r="N13">
        <v>5941.56</v>
      </c>
      <c r="Q13">
        <v>202510</v>
      </c>
    </row>
    <row r="14" spans="1:17" x14ac:dyDescent="0.2">
      <c r="A14" t="s">
        <v>134</v>
      </c>
      <c r="B14" s="59">
        <v>45958.903321759259</v>
      </c>
      <c r="C14" t="s">
        <v>95</v>
      </c>
      <c r="D14" t="s">
        <v>94</v>
      </c>
      <c r="E14" t="s">
        <v>114</v>
      </c>
      <c r="F14" t="s">
        <v>47</v>
      </c>
      <c r="G14" t="s">
        <v>135</v>
      </c>
      <c r="H14" t="s">
        <v>48</v>
      </c>
      <c r="I14" t="s">
        <v>46</v>
      </c>
      <c r="J14" t="s">
        <v>49</v>
      </c>
      <c r="K14" t="s">
        <v>45</v>
      </c>
      <c r="L14">
        <v>500.43</v>
      </c>
      <c r="M14">
        <v>500.43</v>
      </c>
      <c r="N14">
        <v>5690.56</v>
      </c>
      <c r="Q14">
        <v>202510</v>
      </c>
    </row>
    <row r="15" spans="1:17" x14ac:dyDescent="0.2">
      <c r="A15" t="s">
        <v>136</v>
      </c>
      <c r="B15" s="59">
        <v>45957.7034375</v>
      </c>
      <c r="C15" t="s">
        <v>95</v>
      </c>
      <c r="D15" t="s">
        <v>94</v>
      </c>
      <c r="E15" t="s">
        <v>137</v>
      </c>
      <c r="F15" t="s">
        <v>47</v>
      </c>
      <c r="G15" t="s">
        <v>138</v>
      </c>
      <c r="H15" t="s">
        <v>48</v>
      </c>
      <c r="I15" t="s">
        <v>46</v>
      </c>
      <c r="J15" t="s">
        <v>49</v>
      </c>
      <c r="K15" t="s">
        <v>45</v>
      </c>
      <c r="L15">
        <v>7</v>
      </c>
      <c r="M15">
        <v>7</v>
      </c>
      <c r="N15">
        <v>5190.13</v>
      </c>
      <c r="Q15">
        <v>202510</v>
      </c>
    </row>
    <row r="16" spans="1:17" x14ac:dyDescent="0.2">
      <c r="A16" t="s">
        <v>139</v>
      </c>
      <c r="B16" s="59">
        <v>45957.697662037041</v>
      </c>
      <c r="C16" t="s">
        <v>95</v>
      </c>
      <c r="D16" t="s">
        <v>94</v>
      </c>
      <c r="E16" t="s">
        <v>121</v>
      </c>
      <c r="F16" t="s">
        <v>47</v>
      </c>
      <c r="G16" t="s">
        <v>140</v>
      </c>
      <c r="H16" t="s">
        <v>48</v>
      </c>
      <c r="I16" t="s">
        <v>46</v>
      </c>
      <c r="J16" t="s">
        <v>49</v>
      </c>
      <c r="K16" t="s">
        <v>45</v>
      </c>
      <c r="L16">
        <v>141.56</v>
      </c>
      <c r="M16">
        <v>141.56</v>
      </c>
      <c r="N16">
        <v>5176.13</v>
      </c>
      <c r="Q16">
        <v>202510</v>
      </c>
    </row>
    <row r="17" spans="1:17" x14ac:dyDescent="0.2">
      <c r="A17" t="s">
        <v>141</v>
      </c>
      <c r="B17" s="59">
        <v>45957.692152777781</v>
      </c>
      <c r="C17" t="s">
        <v>95</v>
      </c>
      <c r="D17" t="s">
        <v>94</v>
      </c>
      <c r="E17" t="s">
        <v>107</v>
      </c>
      <c r="F17" t="s">
        <v>47</v>
      </c>
      <c r="G17" t="s">
        <v>142</v>
      </c>
      <c r="H17" t="s">
        <v>48</v>
      </c>
      <c r="I17" t="s">
        <v>46</v>
      </c>
      <c r="J17" t="s">
        <v>49</v>
      </c>
      <c r="K17" t="s">
        <v>45</v>
      </c>
      <c r="L17">
        <v>74</v>
      </c>
      <c r="M17">
        <v>74</v>
      </c>
      <c r="N17">
        <v>5027.57</v>
      </c>
      <c r="Q17">
        <v>202510</v>
      </c>
    </row>
    <row r="18" spans="1:17" x14ac:dyDescent="0.2">
      <c r="A18" t="s">
        <v>143</v>
      </c>
      <c r="B18" s="59">
        <v>45954.651562500003</v>
      </c>
      <c r="C18" t="s">
        <v>95</v>
      </c>
      <c r="D18" t="s">
        <v>94</v>
      </c>
      <c r="F18" t="s">
        <v>47</v>
      </c>
      <c r="G18" t="s">
        <v>144</v>
      </c>
      <c r="H18" t="s">
        <v>48</v>
      </c>
      <c r="I18" t="s">
        <v>46</v>
      </c>
      <c r="J18" t="s">
        <v>49</v>
      </c>
      <c r="K18" t="s">
        <v>45</v>
      </c>
      <c r="L18">
        <v>1826.96</v>
      </c>
      <c r="M18">
        <v>1826.96</v>
      </c>
      <c r="N18">
        <v>4926.57</v>
      </c>
      <c r="Q18">
        <v>202510</v>
      </c>
    </row>
    <row r="19" spans="1:17" x14ac:dyDescent="0.2">
      <c r="A19" t="s">
        <v>145</v>
      </c>
      <c r="B19" s="59">
        <v>45954.649027777778</v>
      </c>
      <c r="C19" t="s">
        <v>95</v>
      </c>
      <c r="D19" t="s">
        <v>94</v>
      </c>
      <c r="E19" t="s">
        <v>146</v>
      </c>
      <c r="F19" t="s">
        <v>47</v>
      </c>
      <c r="G19" t="s">
        <v>147</v>
      </c>
      <c r="H19" t="s">
        <v>48</v>
      </c>
      <c r="I19" t="s">
        <v>46</v>
      </c>
      <c r="J19" t="s">
        <v>49</v>
      </c>
      <c r="K19" t="s">
        <v>45</v>
      </c>
      <c r="L19">
        <v>1129.1099999999999</v>
      </c>
      <c r="M19">
        <v>1129.1099999999999</v>
      </c>
      <c r="N19">
        <v>3092.61</v>
      </c>
      <c r="Q19">
        <v>202510</v>
      </c>
    </row>
    <row r="20" spans="1:17" x14ac:dyDescent="0.2">
      <c r="A20" t="s">
        <v>148</v>
      </c>
      <c r="B20" s="59">
        <v>45953.890740740739</v>
      </c>
      <c r="C20" t="s">
        <v>95</v>
      </c>
      <c r="D20" t="s">
        <v>94</v>
      </c>
      <c r="E20" t="s">
        <v>137</v>
      </c>
      <c r="F20" t="s">
        <v>47</v>
      </c>
      <c r="G20" t="s">
        <v>149</v>
      </c>
      <c r="H20" t="s">
        <v>48</v>
      </c>
      <c r="I20" t="s">
        <v>46</v>
      </c>
      <c r="J20" t="s">
        <v>49</v>
      </c>
      <c r="K20" t="s">
        <v>45</v>
      </c>
      <c r="L20">
        <v>24</v>
      </c>
      <c r="M20">
        <v>24</v>
      </c>
      <c r="N20">
        <v>1956.5</v>
      </c>
      <c r="Q20">
        <v>202510</v>
      </c>
    </row>
    <row r="21" spans="1:17" x14ac:dyDescent="0.2">
      <c r="A21" t="s">
        <v>150</v>
      </c>
      <c r="B21" s="59">
        <v>45951.896018518521</v>
      </c>
      <c r="C21" t="s">
        <v>95</v>
      </c>
      <c r="D21" t="s">
        <v>94</v>
      </c>
      <c r="F21" t="s">
        <v>47</v>
      </c>
      <c r="G21" t="s">
        <v>151</v>
      </c>
      <c r="H21" t="s">
        <v>48</v>
      </c>
      <c r="I21" t="s">
        <v>46</v>
      </c>
      <c r="J21" t="s">
        <v>49</v>
      </c>
      <c r="K21" t="s">
        <v>45</v>
      </c>
      <c r="L21">
        <v>261.25</v>
      </c>
      <c r="M21">
        <v>261.25</v>
      </c>
      <c r="N21">
        <v>1925.5</v>
      </c>
      <c r="Q21">
        <v>202510</v>
      </c>
    </row>
    <row r="22" spans="1:17" x14ac:dyDescent="0.2">
      <c r="A22" t="s">
        <v>152</v>
      </c>
      <c r="B22" s="59">
        <v>45951.893148148149</v>
      </c>
      <c r="C22" t="s">
        <v>95</v>
      </c>
      <c r="D22" t="s">
        <v>94</v>
      </c>
      <c r="E22" t="s">
        <v>121</v>
      </c>
      <c r="F22" t="s">
        <v>47</v>
      </c>
      <c r="G22" t="s">
        <v>153</v>
      </c>
      <c r="H22" t="s">
        <v>48</v>
      </c>
      <c r="I22" t="s">
        <v>46</v>
      </c>
      <c r="J22" t="s">
        <v>49</v>
      </c>
      <c r="K22" t="s">
        <v>45</v>
      </c>
      <c r="L22">
        <v>122</v>
      </c>
      <c r="M22">
        <v>122</v>
      </c>
      <c r="N22">
        <v>1657.25</v>
      </c>
      <c r="Q22">
        <v>202510</v>
      </c>
    </row>
    <row r="23" spans="1:17" x14ac:dyDescent="0.2">
      <c r="A23" t="s">
        <v>154</v>
      </c>
      <c r="B23" s="59">
        <v>45951.891458333332</v>
      </c>
      <c r="C23" t="s">
        <v>95</v>
      </c>
      <c r="D23" t="s">
        <v>94</v>
      </c>
      <c r="E23" t="s">
        <v>107</v>
      </c>
      <c r="F23" t="s">
        <v>47</v>
      </c>
      <c r="G23" t="s">
        <v>155</v>
      </c>
      <c r="H23" t="s">
        <v>48</v>
      </c>
      <c r="I23" t="s">
        <v>46</v>
      </c>
      <c r="J23" t="s">
        <v>49</v>
      </c>
      <c r="K23" t="s">
        <v>45</v>
      </c>
      <c r="L23">
        <v>570</v>
      </c>
      <c r="M23">
        <v>570</v>
      </c>
      <c r="N23">
        <v>1528.25</v>
      </c>
      <c r="Q23">
        <v>202510</v>
      </c>
    </row>
    <row r="24" spans="1:17" x14ac:dyDescent="0.2">
      <c r="A24" t="s">
        <v>156</v>
      </c>
      <c r="B24" s="59">
        <v>45951.884791666664</v>
      </c>
      <c r="C24" t="s">
        <v>95</v>
      </c>
      <c r="D24" t="s">
        <v>94</v>
      </c>
      <c r="F24" t="s">
        <v>47</v>
      </c>
      <c r="G24" t="s">
        <v>157</v>
      </c>
      <c r="H24" t="s">
        <v>48</v>
      </c>
      <c r="I24" t="s">
        <v>46</v>
      </c>
      <c r="J24" t="s">
        <v>49</v>
      </c>
      <c r="K24" t="s">
        <v>45</v>
      </c>
      <c r="L24">
        <v>261.25</v>
      </c>
      <c r="M24">
        <v>261.25</v>
      </c>
      <c r="N24">
        <v>951.25</v>
      </c>
      <c r="Q24">
        <v>202510</v>
      </c>
    </row>
    <row r="25" spans="1:17" x14ac:dyDescent="0.2">
      <c r="A25" t="s">
        <v>158</v>
      </c>
      <c r="B25" s="59">
        <v>45950.680625000001</v>
      </c>
      <c r="C25" t="s">
        <v>95</v>
      </c>
      <c r="D25" t="s">
        <v>94</v>
      </c>
      <c r="F25" t="s">
        <v>47</v>
      </c>
      <c r="G25" t="s">
        <v>159</v>
      </c>
      <c r="H25" t="s">
        <v>48</v>
      </c>
      <c r="I25" t="s">
        <v>46</v>
      </c>
      <c r="J25" t="s">
        <v>49</v>
      </c>
      <c r="K25" t="s">
        <v>45</v>
      </c>
      <c r="L25">
        <v>224</v>
      </c>
      <c r="M25">
        <v>224</v>
      </c>
      <c r="N25">
        <v>1749.81</v>
      </c>
      <c r="Q25">
        <v>202510</v>
      </c>
    </row>
    <row r="26" spans="1:17" x14ac:dyDescent="0.2">
      <c r="A26" t="s">
        <v>160</v>
      </c>
      <c r="B26" s="59">
        <v>45950.671215277776</v>
      </c>
      <c r="C26" t="s">
        <v>95</v>
      </c>
      <c r="D26" t="s">
        <v>94</v>
      </c>
      <c r="E26" t="s">
        <v>107</v>
      </c>
      <c r="F26" t="s">
        <v>47</v>
      </c>
      <c r="G26" t="s">
        <v>161</v>
      </c>
      <c r="H26" t="s">
        <v>48</v>
      </c>
      <c r="I26" t="s">
        <v>46</v>
      </c>
      <c r="J26" t="s">
        <v>49</v>
      </c>
      <c r="K26" t="s">
        <v>45</v>
      </c>
      <c r="L26">
        <v>432</v>
      </c>
      <c r="M26">
        <v>432</v>
      </c>
      <c r="N26">
        <v>1498.81</v>
      </c>
      <c r="Q26">
        <v>202510</v>
      </c>
    </row>
    <row r="27" spans="1:17" x14ac:dyDescent="0.2">
      <c r="A27" t="s">
        <v>162</v>
      </c>
      <c r="B27" s="59">
        <v>45947.851620370369</v>
      </c>
      <c r="C27" t="s">
        <v>95</v>
      </c>
      <c r="D27" t="s">
        <v>94</v>
      </c>
      <c r="E27" t="s">
        <v>114</v>
      </c>
      <c r="F27" t="s">
        <v>47</v>
      </c>
      <c r="G27" t="s">
        <v>163</v>
      </c>
      <c r="H27" t="s">
        <v>48</v>
      </c>
      <c r="I27" t="s">
        <v>46</v>
      </c>
      <c r="J27" t="s">
        <v>49</v>
      </c>
      <c r="K27" t="s">
        <v>45</v>
      </c>
      <c r="L27">
        <v>501</v>
      </c>
      <c r="M27">
        <v>501</v>
      </c>
      <c r="N27">
        <v>27698.3</v>
      </c>
      <c r="Q27">
        <v>202510</v>
      </c>
    </row>
    <row r="28" spans="1:17" x14ac:dyDescent="0.2">
      <c r="A28" t="s">
        <v>164</v>
      </c>
      <c r="B28" s="59">
        <v>45947.843865740739</v>
      </c>
      <c r="C28" t="s">
        <v>95</v>
      </c>
      <c r="D28" t="s">
        <v>94</v>
      </c>
      <c r="E28" t="s">
        <v>107</v>
      </c>
      <c r="F28" t="s">
        <v>47</v>
      </c>
      <c r="G28" t="s">
        <v>165</v>
      </c>
      <c r="H28" t="s">
        <v>48</v>
      </c>
      <c r="I28" t="s">
        <v>46</v>
      </c>
      <c r="J28" t="s">
        <v>49</v>
      </c>
      <c r="K28" t="s">
        <v>45</v>
      </c>
      <c r="L28">
        <v>430.12</v>
      </c>
      <c r="M28">
        <v>430.12</v>
      </c>
      <c r="N28">
        <v>27190.3</v>
      </c>
      <c r="Q28">
        <v>202510</v>
      </c>
    </row>
    <row r="29" spans="1:17" x14ac:dyDescent="0.2">
      <c r="A29" t="s">
        <v>166</v>
      </c>
      <c r="B29" s="59">
        <v>45947.843692129631</v>
      </c>
      <c r="C29" t="s">
        <v>95</v>
      </c>
      <c r="D29" t="s">
        <v>94</v>
      </c>
      <c r="E29" t="s">
        <v>107</v>
      </c>
      <c r="F29" t="s">
        <v>47</v>
      </c>
      <c r="G29" t="s">
        <v>167</v>
      </c>
      <c r="H29" t="s">
        <v>48</v>
      </c>
      <c r="I29" t="s">
        <v>46</v>
      </c>
      <c r="J29" t="s">
        <v>49</v>
      </c>
      <c r="K29" t="s">
        <v>45</v>
      </c>
      <c r="L29">
        <v>114.69</v>
      </c>
      <c r="M29">
        <v>114.69</v>
      </c>
      <c r="N29">
        <v>26753.18</v>
      </c>
      <c r="Q29">
        <v>202510</v>
      </c>
    </row>
    <row r="30" spans="1:17" x14ac:dyDescent="0.2">
      <c r="A30" t="s">
        <v>168</v>
      </c>
      <c r="B30" s="59">
        <v>45946.768275462964</v>
      </c>
      <c r="C30" t="s">
        <v>95</v>
      </c>
      <c r="D30" t="s">
        <v>94</v>
      </c>
      <c r="F30" t="s">
        <v>47</v>
      </c>
      <c r="G30" t="s">
        <v>169</v>
      </c>
      <c r="H30" t="s">
        <v>48</v>
      </c>
      <c r="I30" t="s">
        <v>46</v>
      </c>
      <c r="J30" t="s">
        <v>49</v>
      </c>
      <c r="K30" t="s">
        <v>45</v>
      </c>
      <c r="L30">
        <v>358</v>
      </c>
      <c r="M30">
        <v>358</v>
      </c>
      <c r="N30">
        <v>26631.49</v>
      </c>
      <c r="Q30">
        <v>202510</v>
      </c>
    </row>
    <row r="31" spans="1:17" x14ac:dyDescent="0.2">
      <c r="A31" t="s">
        <v>170</v>
      </c>
      <c r="B31" s="59">
        <v>45946.749490740738</v>
      </c>
      <c r="C31" t="s">
        <v>95</v>
      </c>
      <c r="D31" t="s">
        <v>94</v>
      </c>
      <c r="E31" t="s">
        <v>114</v>
      </c>
      <c r="F31" t="s">
        <v>47</v>
      </c>
      <c r="G31" t="s">
        <v>171</v>
      </c>
      <c r="H31" t="s">
        <v>48</v>
      </c>
      <c r="I31" t="s">
        <v>46</v>
      </c>
      <c r="J31" t="s">
        <v>49</v>
      </c>
      <c r="K31" t="s">
        <v>45</v>
      </c>
      <c r="L31">
        <v>570</v>
      </c>
      <c r="M31">
        <v>570</v>
      </c>
      <c r="N31">
        <v>26266.49</v>
      </c>
      <c r="Q31">
        <v>202510</v>
      </c>
    </row>
    <row r="32" spans="1:17" x14ac:dyDescent="0.2">
      <c r="A32" t="s">
        <v>172</v>
      </c>
      <c r="B32" s="59">
        <v>45946.74927083333</v>
      </c>
      <c r="C32" t="s">
        <v>95</v>
      </c>
      <c r="D32" t="s">
        <v>94</v>
      </c>
      <c r="F32" t="s">
        <v>47</v>
      </c>
      <c r="G32" t="s">
        <v>173</v>
      </c>
      <c r="H32" t="s">
        <v>48</v>
      </c>
      <c r="I32" t="s">
        <v>46</v>
      </c>
      <c r="J32" t="s">
        <v>49</v>
      </c>
      <c r="K32" t="s">
        <v>45</v>
      </c>
      <c r="L32">
        <v>358</v>
      </c>
      <c r="M32">
        <v>358</v>
      </c>
      <c r="N32">
        <v>25689.49</v>
      </c>
      <c r="Q32">
        <v>202510</v>
      </c>
    </row>
    <row r="33" spans="1:17" x14ac:dyDescent="0.2">
      <c r="A33" t="s">
        <v>174</v>
      </c>
      <c r="B33" s="59">
        <v>45946.74894675926</v>
      </c>
      <c r="C33" t="s">
        <v>95</v>
      </c>
      <c r="D33" t="s">
        <v>94</v>
      </c>
      <c r="F33" t="s">
        <v>47</v>
      </c>
      <c r="G33" t="s">
        <v>175</v>
      </c>
      <c r="H33" t="s">
        <v>48</v>
      </c>
      <c r="I33" t="s">
        <v>46</v>
      </c>
      <c r="J33" t="s">
        <v>49</v>
      </c>
      <c r="K33" t="s">
        <v>45</v>
      </c>
      <c r="L33">
        <v>358</v>
      </c>
      <c r="M33">
        <v>358</v>
      </c>
      <c r="N33">
        <v>25324.49</v>
      </c>
      <c r="Q33">
        <v>202510</v>
      </c>
    </row>
    <row r="34" spans="1:17" x14ac:dyDescent="0.2">
      <c r="A34" t="s">
        <v>176</v>
      </c>
      <c r="B34" s="59">
        <v>45946.748553240737</v>
      </c>
      <c r="C34" t="s">
        <v>95</v>
      </c>
      <c r="D34" t="s">
        <v>94</v>
      </c>
      <c r="F34" t="s">
        <v>47</v>
      </c>
      <c r="G34" t="s">
        <v>177</v>
      </c>
      <c r="H34" t="s">
        <v>48</v>
      </c>
      <c r="I34" t="s">
        <v>46</v>
      </c>
      <c r="J34" t="s">
        <v>49</v>
      </c>
      <c r="K34" t="s">
        <v>45</v>
      </c>
      <c r="L34">
        <v>358</v>
      </c>
      <c r="M34">
        <v>358</v>
      </c>
      <c r="N34">
        <v>24959.49</v>
      </c>
      <c r="Q34">
        <v>202510</v>
      </c>
    </row>
    <row r="35" spans="1:17" x14ac:dyDescent="0.2">
      <c r="A35" t="s">
        <v>178</v>
      </c>
      <c r="B35" s="59">
        <v>45946.748032407406</v>
      </c>
      <c r="C35" t="s">
        <v>95</v>
      </c>
      <c r="D35" t="s">
        <v>94</v>
      </c>
      <c r="F35" t="s">
        <v>47</v>
      </c>
      <c r="G35" t="s">
        <v>179</v>
      </c>
      <c r="H35" t="s">
        <v>48</v>
      </c>
      <c r="I35" t="s">
        <v>46</v>
      </c>
      <c r="J35" t="s">
        <v>49</v>
      </c>
      <c r="K35" t="s">
        <v>45</v>
      </c>
      <c r="L35">
        <v>224</v>
      </c>
      <c r="M35">
        <v>224</v>
      </c>
      <c r="N35">
        <v>24594.49</v>
      </c>
      <c r="Q35">
        <v>202510</v>
      </c>
    </row>
    <row r="36" spans="1:17" x14ac:dyDescent="0.2">
      <c r="A36" t="s">
        <v>180</v>
      </c>
      <c r="B36" s="59">
        <v>45946.747615740744</v>
      </c>
      <c r="C36" t="s">
        <v>95</v>
      </c>
      <c r="D36" t="s">
        <v>94</v>
      </c>
      <c r="F36" t="s">
        <v>47</v>
      </c>
      <c r="G36" t="s">
        <v>181</v>
      </c>
      <c r="H36" t="s">
        <v>48</v>
      </c>
      <c r="I36" t="s">
        <v>46</v>
      </c>
      <c r="J36" t="s">
        <v>49</v>
      </c>
      <c r="K36" t="s">
        <v>45</v>
      </c>
      <c r="L36">
        <v>224</v>
      </c>
      <c r="M36">
        <v>224</v>
      </c>
      <c r="N36">
        <v>24363.49</v>
      </c>
      <c r="Q36">
        <v>202510</v>
      </c>
    </row>
    <row r="37" spans="1:17" x14ac:dyDescent="0.2">
      <c r="A37" t="s">
        <v>182</v>
      </c>
      <c r="B37" s="59">
        <v>45946.747534722221</v>
      </c>
      <c r="C37" t="s">
        <v>95</v>
      </c>
      <c r="D37" t="s">
        <v>94</v>
      </c>
      <c r="F37" t="s">
        <v>47</v>
      </c>
      <c r="G37" t="s">
        <v>183</v>
      </c>
      <c r="H37" t="s">
        <v>48</v>
      </c>
      <c r="I37" t="s">
        <v>46</v>
      </c>
      <c r="J37" t="s">
        <v>49</v>
      </c>
      <c r="K37" t="s">
        <v>45</v>
      </c>
      <c r="L37">
        <v>224</v>
      </c>
      <c r="M37">
        <v>224</v>
      </c>
      <c r="N37">
        <v>24132.49</v>
      </c>
      <c r="Q37">
        <v>202510</v>
      </c>
    </row>
    <row r="38" spans="1:17" x14ac:dyDescent="0.2">
      <c r="A38" t="s">
        <v>184</v>
      </c>
      <c r="B38" s="59">
        <v>45946.747395833336</v>
      </c>
      <c r="C38" t="s">
        <v>95</v>
      </c>
      <c r="D38" t="s">
        <v>94</v>
      </c>
      <c r="F38" t="s">
        <v>47</v>
      </c>
      <c r="G38" t="s">
        <v>185</v>
      </c>
      <c r="H38" t="s">
        <v>48</v>
      </c>
      <c r="I38" t="s">
        <v>46</v>
      </c>
      <c r="J38" t="s">
        <v>49</v>
      </c>
      <c r="K38" t="s">
        <v>45</v>
      </c>
      <c r="L38">
        <v>358</v>
      </c>
      <c r="M38">
        <v>358</v>
      </c>
      <c r="N38">
        <v>23901.49</v>
      </c>
      <c r="Q38">
        <v>202510</v>
      </c>
    </row>
    <row r="39" spans="1:17" x14ac:dyDescent="0.2">
      <c r="A39" t="s">
        <v>186</v>
      </c>
      <c r="B39" s="59">
        <v>45946.747256944444</v>
      </c>
      <c r="C39" t="s">
        <v>95</v>
      </c>
      <c r="D39" t="s">
        <v>94</v>
      </c>
      <c r="F39" t="s">
        <v>47</v>
      </c>
      <c r="G39" t="s">
        <v>187</v>
      </c>
      <c r="H39" t="s">
        <v>48</v>
      </c>
      <c r="I39" t="s">
        <v>46</v>
      </c>
      <c r="J39" t="s">
        <v>49</v>
      </c>
      <c r="K39" t="s">
        <v>45</v>
      </c>
      <c r="L39">
        <v>224</v>
      </c>
      <c r="M39">
        <v>224</v>
      </c>
      <c r="N39">
        <v>23536.49</v>
      </c>
      <c r="Q39">
        <v>202510</v>
      </c>
    </row>
    <row r="40" spans="1:17" x14ac:dyDescent="0.2">
      <c r="A40" t="s">
        <v>188</v>
      </c>
      <c r="B40" s="59">
        <v>45946.747129629628</v>
      </c>
      <c r="C40" t="s">
        <v>95</v>
      </c>
      <c r="D40" t="s">
        <v>94</v>
      </c>
      <c r="F40" t="s">
        <v>47</v>
      </c>
      <c r="G40" t="s">
        <v>189</v>
      </c>
      <c r="H40" t="s">
        <v>48</v>
      </c>
      <c r="I40" t="s">
        <v>46</v>
      </c>
      <c r="J40" t="s">
        <v>49</v>
      </c>
      <c r="K40" t="s">
        <v>45</v>
      </c>
      <c r="L40">
        <v>224</v>
      </c>
      <c r="M40">
        <v>224</v>
      </c>
      <c r="N40">
        <v>23305.49</v>
      </c>
      <c r="Q40">
        <v>202510</v>
      </c>
    </row>
    <row r="41" spans="1:17" x14ac:dyDescent="0.2">
      <c r="A41" t="s">
        <v>190</v>
      </c>
      <c r="B41" s="59">
        <v>45946.746944444443</v>
      </c>
      <c r="C41" t="s">
        <v>95</v>
      </c>
      <c r="D41" t="s">
        <v>94</v>
      </c>
      <c r="F41" t="s">
        <v>47</v>
      </c>
      <c r="G41" t="s">
        <v>191</v>
      </c>
      <c r="H41" t="s">
        <v>48</v>
      </c>
      <c r="I41" t="s">
        <v>46</v>
      </c>
      <c r="J41" t="s">
        <v>49</v>
      </c>
      <c r="K41" t="s">
        <v>45</v>
      </c>
      <c r="L41">
        <v>224</v>
      </c>
      <c r="M41">
        <v>224</v>
      </c>
      <c r="N41">
        <v>23074.49</v>
      </c>
      <c r="Q41">
        <v>202510</v>
      </c>
    </row>
    <row r="42" spans="1:17" x14ac:dyDescent="0.2">
      <c r="A42" t="s">
        <v>192</v>
      </c>
      <c r="B42" s="59">
        <v>45946.731249999997</v>
      </c>
      <c r="C42" t="s">
        <v>95</v>
      </c>
      <c r="D42" t="s">
        <v>94</v>
      </c>
      <c r="F42" t="s">
        <v>47</v>
      </c>
      <c r="G42" t="s">
        <v>193</v>
      </c>
      <c r="H42" t="s">
        <v>48</v>
      </c>
      <c r="I42" t="s">
        <v>46</v>
      </c>
      <c r="J42" t="s">
        <v>49</v>
      </c>
      <c r="K42" t="s">
        <v>45</v>
      </c>
      <c r="L42">
        <v>358</v>
      </c>
      <c r="M42">
        <v>358</v>
      </c>
      <c r="N42">
        <v>22843.49</v>
      </c>
      <c r="Q42">
        <v>202510</v>
      </c>
    </row>
    <row r="43" spans="1:17" x14ac:dyDescent="0.2">
      <c r="A43" t="s">
        <v>194</v>
      </c>
      <c r="B43" s="59">
        <v>45946.729872685188</v>
      </c>
      <c r="C43" t="s">
        <v>95</v>
      </c>
      <c r="D43" t="s">
        <v>94</v>
      </c>
      <c r="F43" t="s">
        <v>47</v>
      </c>
      <c r="G43" t="s">
        <v>195</v>
      </c>
      <c r="H43" t="s">
        <v>48</v>
      </c>
      <c r="I43" t="s">
        <v>46</v>
      </c>
      <c r="J43" t="s">
        <v>49</v>
      </c>
      <c r="K43" t="s">
        <v>45</v>
      </c>
      <c r="L43">
        <v>358</v>
      </c>
      <c r="M43">
        <v>358</v>
      </c>
      <c r="N43">
        <v>22478.49</v>
      </c>
      <c r="Q43">
        <v>202510</v>
      </c>
    </row>
    <row r="44" spans="1:17" x14ac:dyDescent="0.2">
      <c r="A44" t="s">
        <v>196</v>
      </c>
      <c r="B44" s="59">
        <v>45945.739976851852</v>
      </c>
      <c r="C44" t="s">
        <v>95</v>
      </c>
      <c r="D44" t="s">
        <v>94</v>
      </c>
      <c r="E44" t="s">
        <v>146</v>
      </c>
      <c r="F44" t="s">
        <v>47</v>
      </c>
      <c r="G44" t="s">
        <v>197</v>
      </c>
      <c r="H44" t="s">
        <v>48</v>
      </c>
      <c r="I44" t="s">
        <v>46</v>
      </c>
      <c r="J44" t="s">
        <v>49</v>
      </c>
      <c r="K44" t="s">
        <v>45</v>
      </c>
      <c r="L44">
        <v>99.71</v>
      </c>
      <c r="M44">
        <v>99.71</v>
      </c>
      <c r="N44">
        <v>22120.49</v>
      </c>
      <c r="Q44">
        <v>202510</v>
      </c>
    </row>
    <row r="45" spans="1:17" x14ac:dyDescent="0.2">
      <c r="A45" t="s">
        <v>198</v>
      </c>
      <c r="B45" s="59">
        <v>45944.802766203706</v>
      </c>
      <c r="C45" t="s">
        <v>95</v>
      </c>
      <c r="D45" t="s">
        <v>94</v>
      </c>
      <c r="E45" t="s">
        <v>146</v>
      </c>
      <c r="F45" t="s">
        <v>47</v>
      </c>
      <c r="G45" t="s">
        <v>199</v>
      </c>
      <c r="H45" t="s">
        <v>48</v>
      </c>
      <c r="I45" t="s">
        <v>46</v>
      </c>
      <c r="J45" t="s">
        <v>49</v>
      </c>
      <c r="K45" t="s">
        <v>45</v>
      </c>
      <c r="L45">
        <v>570</v>
      </c>
      <c r="M45">
        <v>570</v>
      </c>
      <c r="N45">
        <v>22013.78</v>
      </c>
      <c r="Q45">
        <v>202510</v>
      </c>
    </row>
    <row r="46" spans="1:17" x14ac:dyDescent="0.2">
      <c r="A46" t="s">
        <v>200</v>
      </c>
      <c r="B46" s="59">
        <v>45943.480347222219</v>
      </c>
      <c r="C46" t="s">
        <v>95</v>
      </c>
      <c r="D46" t="s">
        <v>94</v>
      </c>
      <c r="E46" t="s">
        <v>124</v>
      </c>
      <c r="F46" t="s">
        <v>47</v>
      </c>
      <c r="G46" t="s">
        <v>201</v>
      </c>
      <c r="H46" t="s">
        <v>48</v>
      </c>
      <c r="I46" t="s">
        <v>46</v>
      </c>
      <c r="J46" t="s">
        <v>49</v>
      </c>
      <c r="K46" t="s">
        <v>45</v>
      </c>
      <c r="L46">
        <v>1380.84</v>
      </c>
      <c r="M46">
        <v>1380.84</v>
      </c>
      <c r="N46">
        <v>36140.28</v>
      </c>
      <c r="Q46">
        <v>202510</v>
      </c>
    </row>
    <row r="47" spans="1:17" x14ac:dyDescent="0.2">
      <c r="A47" t="s">
        <v>202</v>
      </c>
      <c r="B47" s="59">
        <v>45941.732268518521</v>
      </c>
      <c r="C47" t="s">
        <v>95</v>
      </c>
      <c r="D47" t="s">
        <v>94</v>
      </c>
      <c r="E47" t="s">
        <v>146</v>
      </c>
      <c r="F47" t="s">
        <v>47</v>
      </c>
      <c r="G47" t="s">
        <v>203</v>
      </c>
      <c r="H47" t="s">
        <v>48</v>
      </c>
      <c r="I47" t="s">
        <v>46</v>
      </c>
      <c r="J47" t="s">
        <v>49</v>
      </c>
      <c r="K47" t="s">
        <v>45</v>
      </c>
      <c r="L47">
        <v>432</v>
      </c>
      <c r="M47">
        <v>432</v>
      </c>
      <c r="N47">
        <v>34732.44</v>
      </c>
      <c r="Q47">
        <v>202510</v>
      </c>
    </row>
    <row r="48" spans="1:17" x14ac:dyDescent="0.2">
      <c r="A48" t="s">
        <v>204</v>
      </c>
      <c r="B48" s="59">
        <v>45941.729895833334</v>
      </c>
      <c r="C48" t="s">
        <v>95</v>
      </c>
      <c r="D48" t="s">
        <v>94</v>
      </c>
      <c r="E48" t="s">
        <v>137</v>
      </c>
      <c r="F48" t="s">
        <v>47</v>
      </c>
      <c r="G48" t="s">
        <v>205</v>
      </c>
      <c r="H48" t="s">
        <v>48</v>
      </c>
      <c r="I48" t="s">
        <v>46</v>
      </c>
      <c r="J48" t="s">
        <v>49</v>
      </c>
      <c r="K48" t="s">
        <v>45</v>
      </c>
      <c r="L48">
        <v>32.479999999999997</v>
      </c>
      <c r="M48">
        <v>32.479999999999997</v>
      </c>
      <c r="N48">
        <v>34293.440000000002</v>
      </c>
      <c r="Q48">
        <v>202510</v>
      </c>
    </row>
    <row r="49" spans="1:17" x14ac:dyDescent="0.2">
      <c r="A49" t="s">
        <v>206</v>
      </c>
      <c r="B49" s="59">
        <v>45939.673680555556</v>
      </c>
      <c r="C49" t="s">
        <v>95</v>
      </c>
      <c r="D49" t="s">
        <v>94</v>
      </c>
      <c r="E49" t="s">
        <v>107</v>
      </c>
      <c r="F49" t="s">
        <v>47</v>
      </c>
      <c r="G49" t="s">
        <v>207</v>
      </c>
      <c r="H49" t="s">
        <v>48</v>
      </c>
      <c r="I49" t="s">
        <v>46</v>
      </c>
      <c r="J49" t="s">
        <v>49</v>
      </c>
      <c r="K49" t="s">
        <v>45</v>
      </c>
      <c r="L49">
        <v>185.82</v>
      </c>
      <c r="M49">
        <v>185.82</v>
      </c>
      <c r="N49">
        <v>34253.96</v>
      </c>
      <c r="Q49">
        <v>202510</v>
      </c>
    </row>
    <row r="50" spans="1:17" x14ac:dyDescent="0.2">
      <c r="A50" t="s">
        <v>208</v>
      </c>
      <c r="B50" s="59">
        <v>45939.669039351851</v>
      </c>
      <c r="C50" t="s">
        <v>95</v>
      </c>
      <c r="D50" t="s">
        <v>94</v>
      </c>
      <c r="E50" t="s">
        <v>107</v>
      </c>
      <c r="F50" t="s">
        <v>47</v>
      </c>
      <c r="G50" t="s">
        <v>209</v>
      </c>
      <c r="H50" t="s">
        <v>48</v>
      </c>
      <c r="I50" t="s">
        <v>46</v>
      </c>
      <c r="J50" t="s">
        <v>49</v>
      </c>
      <c r="K50" t="s">
        <v>45</v>
      </c>
      <c r="L50">
        <v>432</v>
      </c>
      <c r="M50">
        <v>432</v>
      </c>
      <c r="N50">
        <v>34041.14</v>
      </c>
      <c r="Q50">
        <v>202510</v>
      </c>
    </row>
    <row r="51" spans="1:17" x14ac:dyDescent="0.2">
      <c r="A51" t="s">
        <v>210</v>
      </c>
      <c r="B51" s="59">
        <v>45939.66605324074</v>
      </c>
      <c r="C51" t="s">
        <v>95</v>
      </c>
      <c r="D51" t="s">
        <v>94</v>
      </c>
      <c r="F51" t="s">
        <v>47</v>
      </c>
      <c r="G51" t="s">
        <v>211</v>
      </c>
      <c r="H51" t="s">
        <v>48</v>
      </c>
      <c r="I51" t="s">
        <v>46</v>
      </c>
      <c r="J51" t="s">
        <v>49</v>
      </c>
      <c r="K51" t="s">
        <v>45</v>
      </c>
      <c r="L51">
        <v>869</v>
      </c>
      <c r="M51">
        <v>869</v>
      </c>
      <c r="N51">
        <v>33593.14</v>
      </c>
      <c r="Q51">
        <v>202510</v>
      </c>
    </row>
    <row r="52" spans="1:17" x14ac:dyDescent="0.2">
      <c r="A52" t="s">
        <v>212</v>
      </c>
      <c r="B52" s="59">
        <v>45939.65761574074</v>
      </c>
      <c r="C52" t="s">
        <v>95</v>
      </c>
      <c r="D52" t="s">
        <v>94</v>
      </c>
      <c r="E52" t="s">
        <v>114</v>
      </c>
      <c r="F52" t="s">
        <v>47</v>
      </c>
      <c r="G52" t="s">
        <v>213</v>
      </c>
      <c r="H52" t="s">
        <v>48</v>
      </c>
      <c r="I52" t="s">
        <v>46</v>
      </c>
      <c r="J52" t="s">
        <v>49</v>
      </c>
      <c r="K52" t="s">
        <v>45</v>
      </c>
      <c r="L52">
        <v>501</v>
      </c>
      <c r="M52">
        <v>501</v>
      </c>
      <c r="N52">
        <v>32717.14</v>
      </c>
      <c r="Q52">
        <v>202510</v>
      </c>
    </row>
    <row r="53" spans="1:17" x14ac:dyDescent="0.2">
      <c r="A53" t="s">
        <v>214</v>
      </c>
      <c r="B53" s="59">
        <v>45939.516793981478</v>
      </c>
      <c r="C53" t="s">
        <v>95</v>
      </c>
      <c r="D53" t="s">
        <v>94</v>
      </c>
      <c r="E53" t="s">
        <v>215</v>
      </c>
      <c r="F53" t="s">
        <v>47</v>
      </c>
      <c r="G53" t="s">
        <v>216</v>
      </c>
      <c r="H53" t="s">
        <v>48</v>
      </c>
      <c r="I53" t="s">
        <v>46</v>
      </c>
      <c r="J53" t="s">
        <v>49</v>
      </c>
      <c r="K53" t="s">
        <v>45</v>
      </c>
      <c r="L53">
        <v>44</v>
      </c>
      <c r="M53">
        <v>44</v>
      </c>
      <c r="N53">
        <v>32216.14</v>
      </c>
      <c r="Q53">
        <v>202510</v>
      </c>
    </row>
    <row r="54" spans="1:17" x14ac:dyDescent="0.2">
      <c r="A54" t="s">
        <v>217</v>
      </c>
      <c r="B54" s="59">
        <v>45936.916886574072</v>
      </c>
      <c r="C54" t="s">
        <v>95</v>
      </c>
      <c r="D54" t="s">
        <v>94</v>
      </c>
      <c r="F54" t="s">
        <v>47</v>
      </c>
      <c r="G54" t="s">
        <v>218</v>
      </c>
      <c r="H54" t="s">
        <v>48</v>
      </c>
      <c r="I54" t="s">
        <v>46</v>
      </c>
      <c r="J54" t="s">
        <v>49</v>
      </c>
      <c r="K54" t="s">
        <v>45</v>
      </c>
      <c r="L54">
        <v>317</v>
      </c>
      <c r="M54">
        <v>317</v>
      </c>
      <c r="N54">
        <v>32165.14</v>
      </c>
      <c r="Q54">
        <v>202510</v>
      </c>
    </row>
    <row r="55" spans="1:17" x14ac:dyDescent="0.2">
      <c r="A55" t="s">
        <v>219</v>
      </c>
      <c r="B55" s="59">
        <v>45936.916203703702</v>
      </c>
      <c r="C55" t="s">
        <v>95</v>
      </c>
      <c r="D55" t="s">
        <v>94</v>
      </c>
      <c r="F55" t="s">
        <v>47</v>
      </c>
      <c r="G55" t="s">
        <v>220</v>
      </c>
      <c r="H55" t="s">
        <v>48</v>
      </c>
      <c r="I55" t="s">
        <v>46</v>
      </c>
      <c r="J55" t="s">
        <v>49</v>
      </c>
      <c r="K55" t="s">
        <v>45</v>
      </c>
      <c r="L55">
        <v>11.2</v>
      </c>
      <c r="M55">
        <v>11.2</v>
      </c>
      <c r="N55">
        <v>31841.14</v>
      </c>
      <c r="Q55">
        <v>202510</v>
      </c>
    </row>
    <row r="56" spans="1:17" x14ac:dyDescent="0.2">
      <c r="A56" t="s">
        <v>221</v>
      </c>
      <c r="B56" s="59">
        <v>45936.915347222224</v>
      </c>
      <c r="C56" t="s">
        <v>95</v>
      </c>
      <c r="D56" t="s">
        <v>94</v>
      </c>
      <c r="F56" t="s">
        <v>47</v>
      </c>
      <c r="G56" t="s">
        <v>222</v>
      </c>
      <c r="H56" t="s">
        <v>48</v>
      </c>
      <c r="I56" t="s">
        <v>46</v>
      </c>
      <c r="J56" t="s">
        <v>49</v>
      </c>
      <c r="K56" t="s">
        <v>45</v>
      </c>
      <c r="L56">
        <v>317</v>
      </c>
      <c r="M56">
        <v>317</v>
      </c>
      <c r="N56">
        <v>31822.94</v>
      </c>
      <c r="Q56">
        <v>202510</v>
      </c>
    </row>
    <row r="57" spans="1:17" x14ac:dyDescent="0.2">
      <c r="A57" t="s">
        <v>223</v>
      </c>
      <c r="B57" s="59">
        <v>45936.913159722222</v>
      </c>
      <c r="C57" t="s">
        <v>95</v>
      </c>
      <c r="D57" t="s">
        <v>94</v>
      </c>
      <c r="E57" t="s">
        <v>215</v>
      </c>
      <c r="F57" t="s">
        <v>47</v>
      </c>
      <c r="G57" t="s">
        <v>224</v>
      </c>
      <c r="H57" t="s">
        <v>48</v>
      </c>
      <c r="I57" t="s">
        <v>46</v>
      </c>
      <c r="J57" t="s">
        <v>49</v>
      </c>
      <c r="K57" t="s">
        <v>45</v>
      </c>
      <c r="L57">
        <v>570</v>
      </c>
      <c r="M57">
        <v>570</v>
      </c>
      <c r="N57">
        <v>31498.94</v>
      </c>
      <c r="Q57">
        <v>202510</v>
      </c>
    </row>
    <row r="58" spans="1:17" x14ac:dyDescent="0.2">
      <c r="A58" t="s">
        <v>225</v>
      </c>
      <c r="B58" s="59">
        <v>45933.96303240741</v>
      </c>
      <c r="C58" t="s">
        <v>95</v>
      </c>
      <c r="D58" t="s">
        <v>94</v>
      </c>
      <c r="F58" t="s">
        <v>47</v>
      </c>
      <c r="G58" t="s">
        <v>226</v>
      </c>
      <c r="H58" t="s">
        <v>48</v>
      </c>
      <c r="I58" t="s">
        <v>46</v>
      </c>
      <c r="J58" t="s">
        <v>49</v>
      </c>
      <c r="K58" t="s">
        <v>45</v>
      </c>
      <c r="L58">
        <v>224</v>
      </c>
      <c r="M58">
        <v>224</v>
      </c>
      <c r="N58">
        <v>30921.94</v>
      </c>
      <c r="Q58">
        <v>202510</v>
      </c>
    </row>
    <row r="59" spans="1:17" x14ac:dyDescent="0.2">
      <c r="A59" t="s">
        <v>227</v>
      </c>
      <c r="B59" s="59">
        <v>45933.961180555554</v>
      </c>
      <c r="C59" t="s">
        <v>95</v>
      </c>
      <c r="D59" t="s">
        <v>94</v>
      </c>
      <c r="E59" t="s">
        <v>228</v>
      </c>
      <c r="F59" t="s">
        <v>47</v>
      </c>
      <c r="G59" t="s">
        <v>229</v>
      </c>
      <c r="H59" t="s">
        <v>48</v>
      </c>
      <c r="I59" t="s">
        <v>46</v>
      </c>
      <c r="J59" t="s">
        <v>49</v>
      </c>
      <c r="K59" t="s">
        <v>45</v>
      </c>
      <c r="L59">
        <v>511</v>
      </c>
      <c r="M59">
        <v>511</v>
      </c>
      <c r="N59">
        <v>30690.94</v>
      </c>
      <c r="Q59">
        <v>202510</v>
      </c>
    </row>
    <row r="60" spans="1:17" x14ac:dyDescent="0.2">
      <c r="A60" t="s">
        <v>230</v>
      </c>
      <c r="B60" s="59">
        <v>45933.956261574072</v>
      </c>
      <c r="C60" t="s">
        <v>95</v>
      </c>
      <c r="D60" t="s">
        <v>94</v>
      </c>
      <c r="F60" t="s">
        <v>47</v>
      </c>
      <c r="G60" t="s">
        <v>231</v>
      </c>
      <c r="H60" t="s">
        <v>48</v>
      </c>
      <c r="I60" t="s">
        <v>46</v>
      </c>
      <c r="J60" t="s">
        <v>49</v>
      </c>
      <c r="K60" t="s">
        <v>45</v>
      </c>
      <c r="L60">
        <v>27</v>
      </c>
      <c r="M60">
        <v>27</v>
      </c>
      <c r="N60">
        <v>30172.94</v>
      </c>
      <c r="Q60">
        <v>202510</v>
      </c>
    </row>
    <row r="61" spans="1:17" x14ac:dyDescent="0.2">
      <c r="A61" t="s">
        <v>232</v>
      </c>
      <c r="B61" s="59">
        <v>45933.95517361111</v>
      </c>
      <c r="C61" t="s">
        <v>95</v>
      </c>
      <c r="D61" t="s">
        <v>94</v>
      </c>
      <c r="E61" t="s">
        <v>114</v>
      </c>
      <c r="F61" t="s">
        <v>47</v>
      </c>
      <c r="G61" t="s">
        <v>233</v>
      </c>
      <c r="H61" t="s">
        <v>48</v>
      </c>
      <c r="I61" t="s">
        <v>46</v>
      </c>
      <c r="J61" t="s">
        <v>49</v>
      </c>
      <c r="K61" t="s">
        <v>45</v>
      </c>
      <c r="L61">
        <v>27</v>
      </c>
      <c r="M61">
        <v>27</v>
      </c>
      <c r="N61">
        <v>30138.94</v>
      </c>
      <c r="Q61">
        <v>202510</v>
      </c>
    </row>
    <row r="62" spans="1:17" x14ac:dyDescent="0.2">
      <c r="A62" t="s">
        <v>234</v>
      </c>
      <c r="B62" s="59">
        <v>45933.953310185185</v>
      </c>
      <c r="C62" t="s">
        <v>95</v>
      </c>
      <c r="D62" t="s">
        <v>94</v>
      </c>
      <c r="E62" t="s">
        <v>235</v>
      </c>
      <c r="F62" t="s">
        <v>47</v>
      </c>
      <c r="G62" t="s">
        <v>236</v>
      </c>
      <c r="H62" t="s">
        <v>48</v>
      </c>
      <c r="I62" t="s">
        <v>46</v>
      </c>
      <c r="J62" t="s">
        <v>49</v>
      </c>
      <c r="K62" t="s">
        <v>45</v>
      </c>
      <c r="L62">
        <v>27</v>
      </c>
      <c r="M62">
        <v>27</v>
      </c>
      <c r="N62">
        <v>30104.94</v>
      </c>
      <c r="Q62">
        <v>202510</v>
      </c>
    </row>
    <row r="63" spans="1:17" x14ac:dyDescent="0.2">
      <c r="A63" t="s">
        <v>237</v>
      </c>
      <c r="B63" s="59">
        <v>45933.950601851851</v>
      </c>
      <c r="C63" t="s">
        <v>95</v>
      </c>
      <c r="D63" t="s">
        <v>94</v>
      </c>
      <c r="F63" t="s">
        <v>47</v>
      </c>
      <c r="G63" t="s">
        <v>238</v>
      </c>
      <c r="H63" t="s">
        <v>48</v>
      </c>
      <c r="I63" t="s">
        <v>46</v>
      </c>
      <c r="J63" t="s">
        <v>49</v>
      </c>
      <c r="K63" t="s">
        <v>45</v>
      </c>
      <c r="L63">
        <v>358</v>
      </c>
      <c r="M63">
        <v>358</v>
      </c>
      <c r="N63">
        <v>30070.94</v>
      </c>
      <c r="Q63">
        <v>202510</v>
      </c>
    </row>
    <row r="64" spans="1:17" x14ac:dyDescent="0.2">
      <c r="A64" t="s">
        <v>239</v>
      </c>
      <c r="B64" s="59">
        <v>45933.950486111113</v>
      </c>
      <c r="C64" t="s">
        <v>95</v>
      </c>
      <c r="D64" t="s">
        <v>94</v>
      </c>
      <c r="F64" t="s">
        <v>47</v>
      </c>
      <c r="G64" t="s">
        <v>240</v>
      </c>
      <c r="H64" t="s">
        <v>48</v>
      </c>
      <c r="I64" t="s">
        <v>46</v>
      </c>
      <c r="J64" t="s">
        <v>49</v>
      </c>
      <c r="K64" t="s">
        <v>45</v>
      </c>
      <c r="L64">
        <v>358</v>
      </c>
      <c r="M64">
        <v>358</v>
      </c>
      <c r="N64">
        <v>29705.94</v>
      </c>
      <c r="Q64">
        <v>202510</v>
      </c>
    </row>
    <row r="65" spans="1:17" x14ac:dyDescent="0.2">
      <c r="A65" t="s">
        <v>241</v>
      </c>
      <c r="B65" s="59">
        <v>45933.950277777774</v>
      </c>
      <c r="C65" t="s">
        <v>95</v>
      </c>
      <c r="D65" t="s">
        <v>94</v>
      </c>
      <c r="F65" t="s">
        <v>47</v>
      </c>
      <c r="G65" t="s">
        <v>242</v>
      </c>
      <c r="H65" t="s">
        <v>48</v>
      </c>
      <c r="I65" t="s">
        <v>46</v>
      </c>
      <c r="J65" t="s">
        <v>49</v>
      </c>
      <c r="K65" t="s">
        <v>45</v>
      </c>
      <c r="L65">
        <v>358</v>
      </c>
      <c r="M65">
        <v>358</v>
      </c>
      <c r="N65">
        <v>29340.94</v>
      </c>
      <c r="Q65">
        <v>202510</v>
      </c>
    </row>
    <row r="66" spans="1:17" x14ac:dyDescent="0.2">
      <c r="A66" t="s">
        <v>243</v>
      </c>
      <c r="B66" s="59">
        <v>45933.950173611112</v>
      </c>
      <c r="C66" t="s">
        <v>95</v>
      </c>
      <c r="D66" t="s">
        <v>94</v>
      </c>
      <c r="F66" t="s">
        <v>47</v>
      </c>
      <c r="G66" t="s">
        <v>244</v>
      </c>
      <c r="H66" t="s">
        <v>48</v>
      </c>
      <c r="I66" t="s">
        <v>46</v>
      </c>
      <c r="J66" t="s">
        <v>49</v>
      </c>
      <c r="K66" t="s">
        <v>45</v>
      </c>
      <c r="L66">
        <v>358</v>
      </c>
      <c r="M66">
        <v>358</v>
      </c>
      <c r="N66">
        <v>28975.94</v>
      </c>
      <c r="Q66">
        <v>202510</v>
      </c>
    </row>
    <row r="67" spans="1:17" x14ac:dyDescent="0.2">
      <c r="A67" t="s">
        <v>245</v>
      </c>
      <c r="B67" s="59">
        <v>45933.949930555558</v>
      </c>
      <c r="C67" t="s">
        <v>95</v>
      </c>
      <c r="D67" t="s">
        <v>94</v>
      </c>
      <c r="F67" t="s">
        <v>47</v>
      </c>
      <c r="G67" t="s">
        <v>246</v>
      </c>
      <c r="H67" t="s">
        <v>48</v>
      </c>
      <c r="I67" t="s">
        <v>46</v>
      </c>
      <c r="J67" t="s">
        <v>49</v>
      </c>
      <c r="K67" t="s">
        <v>45</v>
      </c>
      <c r="L67">
        <v>358</v>
      </c>
      <c r="M67">
        <v>358</v>
      </c>
      <c r="N67">
        <v>28610.94</v>
      </c>
      <c r="Q67">
        <v>202510</v>
      </c>
    </row>
    <row r="68" spans="1:17" x14ac:dyDescent="0.2">
      <c r="A68" t="s">
        <v>247</v>
      </c>
      <c r="B68" s="59">
        <v>45933.949664351851</v>
      </c>
      <c r="C68" t="s">
        <v>95</v>
      </c>
      <c r="D68" t="s">
        <v>94</v>
      </c>
      <c r="F68" t="s">
        <v>47</v>
      </c>
      <c r="G68" t="s">
        <v>248</v>
      </c>
      <c r="H68" t="s">
        <v>48</v>
      </c>
      <c r="I68" t="s">
        <v>46</v>
      </c>
      <c r="J68" t="s">
        <v>49</v>
      </c>
      <c r="K68" t="s">
        <v>45</v>
      </c>
      <c r="L68">
        <v>224</v>
      </c>
      <c r="M68">
        <v>224</v>
      </c>
      <c r="N68">
        <v>28245.94</v>
      </c>
      <c r="Q68">
        <v>202510</v>
      </c>
    </row>
    <row r="69" spans="1:17" x14ac:dyDescent="0.2">
      <c r="A69" t="s">
        <v>249</v>
      </c>
      <c r="B69" s="59">
        <v>45933.949386574073</v>
      </c>
      <c r="C69" t="s">
        <v>95</v>
      </c>
      <c r="D69" t="s">
        <v>94</v>
      </c>
      <c r="F69" t="s">
        <v>47</v>
      </c>
      <c r="G69" t="s">
        <v>250</v>
      </c>
      <c r="H69" t="s">
        <v>48</v>
      </c>
      <c r="I69" t="s">
        <v>46</v>
      </c>
      <c r="J69" t="s">
        <v>49</v>
      </c>
      <c r="K69" t="s">
        <v>45</v>
      </c>
      <c r="L69">
        <v>358</v>
      </c>
      <c r="M69">
        <v>358</v>
      </c>
      <c r="N69">
        <v>28014.94</v>
      </c>
      <c r="Q69">
        <v>202510</v>
      </c>
    </row>
    <row r="70" spans="1:17" x14ac:dyDescent="0.2">
      <c r="A70" t="s">
        <v>251</v>
      </c>
      <c r="B70" s="59">
        <v>45933.949328703704</v>
      </c>
      <c r="C70" t="s">
        <v>95</v>
      </c>
      <c r="D70" t="s">
        <v>94</v>
      </c>
      <c r="F70" t="s">
        <v>47</v>
      </c>
      <c r="G70" t="s">
        <v>252</v>
      </c>
      <c r="H70" t="s">
        <v>48</v>
      </c>
      <c r="I70" t="s">
        <v>46</v>
      </c>
      <c r="J70" t="s">
        <v>49</v>
      </c>
      <c r="K70" t="s">
        <v>45</v>
      </c>
      <c r="L70">
        <v>358</v>
      </c>
      <c r="M70">
        <v>358</v>
      </c>
      <c r="N70">
        <v>27649.94</v>
      </c>
      <c r="Q70">
        <v>202510</v>
      </c>
    </row>
    <row r="71" spans="1:17" x14ac:dyDescent="0.2">
      <c r="A71" t="s">
        <v>253</v>
      </c>
      <c r="B71" s="59">
        <v>45933.949224537035</v>
      </c>
      <c r="C71" t="s">
        <v>95</v>
      </c>
      <c r="D71" t="s">
        <v>94</v>
      </c>
      <c r="F71" t="s">
        <v>47</v>
      </c>
      <c r="G71" t="s">
        <v>254</v>
      </c>
      <c r="H71" t="s">
        <v>48</v>
      </c>
      <c r="I71" t="s">
        <v>46</v>
      </c>
      <c r="J71" t="s">
        <v>49</v>
      </c>
      <c r="K71" t="s">
        <v>45</v>
      </c>
      <c r="L71">
        <v>358</v>
      </c>
      <c r="M71">
        <v>358</v>
      </c>
      <c r="N71">
        <v>27284.94</v>
      </c>
      <c r="Q71">
        <v>202510</v>
      </c>
    </row>
    <row r="72" spans="1:17" x14ac:dyDescent="0.2">
      <c r="A72" t="s">
        <v>255</v>
      </c>
      <c r="B72" s="59">
        <v>45933.949131944442</v>
      </c>
      <c r="C72" t="s">
        <v>95</v>
      </c>
      <c r="D72" t="s">
        <v>94</v>
      </c>
      <c r="F72" t="s">
        <v>47</v>
      </c>
      <c r="G72" t="s">
        <v>256</v>
      </c>
      <c r="H72" t="s">
        <v>48</v>
      </c>
      <c r="I72" t="s">
        <v>46</v>
      </c>
      <c r="J72" t="s">
        <v>49</v>
      </c>
      <c r="K72" t="s">
        <v>45</v>
      </c>
      <c r="L72">
        <v>358</v>
      </c>
      <c r="M72">
        <v>358</v>
      </c>
      <c r="N72">
        <v>26919.94</v>
      </c>
      <c r="Q72">
        <v>202510</v>
      </c>
    </row>
    <row r="73" spans="1:17" x14ac:dyDescent="0.2">
      <c r="A73" t="s">
        <v>257</v>
      </c>
      <c r="B73" s="59">
        <v>45933.948946759258</v>
      </c>
      <c r="C73" t="s">
        <v>95</v>
      </c>
      <c r="D73" t="s">
        <v>94</v>
      </c>
      <c r="F73" t="s">
        <v>47</v>
      </c>
      <c r="G73" t="s">
        <v>258</v>
      </c>
      <c r="H73" t="s">
        <v>48</v>
      </c>
      <c r="I73" t="s">
        <v>46</v>
      </c>
      <c r="J73" t="s">
        <v>49</v>
      </c>
      <c r="K73" t="s">
        <v>45</v>
      </c>
      <c r="L73">
        <v>224</v>
      </c>
      <c r="M73">
        <v>224</v>
      </c>
      <c r="N73">
        <v>26554.94</v>
      </c>
      <c r="Q73">
        <v>202510</v>
      </c>
    </row>
    <row r="74" spans="1:17" x14ac:dyDescent="0.2">
      <c r="A74" t="s">
        <v>259</v>
      </c>
      <c r="B74" s="59">
        <v>45933.948854166665</v>
      </c>
      <c r="C74" t="s">
        <v>95</v>
      </c>
      <c r="D74" t="s">
        <v>94</v>
      </c>
      <c r="F74" t="s">
        <v>47</v>
      </c>
      <c r="G74" t="s">
        <v>260</v>
      </c>
      <c r="H74" t="s">
        <v>48</v>
      </c>
      <c r="I74" t="s">
        <v>46</v>
      </c>
      <c r="J74" t="s">
        <v>49</v>
      </c>
      <c r="K74" t="s">
        <v>45</v>
      </c>
      <c r="L74">
        <v>224</v>
      </c>
      <c r="M74">
        <v>224</v>
      </c>
      <c r="N74">
        <v>26323.94</v>
      </c>
      <c r="Q74">
        <v>202510</v>
      </c>
    </row>
    <row r="75" spans="1:17" x14ac:dyDescent="0.2">
      <c r="A75" t="s">
        <v>261</v>
      </c>
      <c r="B75" s="59">
        <v>45933.948784722219</v>
      </c>
      <c r="C75" t="s">
        <v>95</v>
      </c>
      <c r="D75" t="s">
        <v>94</v>
      </c>
      <c r="F75" t="s">
        <v>47</v>
      </c>
      <c r="G75" t="s">
        <v>262</v>
      </c>
      <c r="H75" t="s">
        <v>48</v>
      </c>
      <c r="I75" t="s">
        <v>46</v>
      </c>
      <c r="J75" t="s">
        <v>49</v>
      </c>
      <c r="K75" t="s">
        <v>45</v>
      </c>
      <c r="L75">
        <v>224</v>
      </c>
      <c r="M75">
        <v>224</v>
      </c>
      <c r="N75">
        <v>26092.94</v>
      </c>
      <c r="Q75">
        <v>202510</v>
      </c>
    </row>
    <row r="76" spans="1:17" x14ac:dyDescent="0.2">
      <c r="C76" t="s">
        <v>95</v>
      </c>
      <c r="D76" t="s">
        <v>94</v>
      </c>
      <c r="E76" t="s">
        <v>263</v>
      </c>
      <c r="F76" t="s">
        <v>41</v>
      </c>
      <c r="G76" t="s">
        <v>211</v>
      </c>
      <c r="H76" t="s">
        <v>48</v>
      </c>
      <c r="I76" t="s">
        <v>43</v>
      </c>
      <c r="J76" t="s">
        <v>44</v>
      </c>
      <c r="K76" t="s">
        <v>45</v>
      </c>
      <c r="M76">
        <v>-869</v>
      </c>
      <c r="P76" t="s">
        <v>264</v>
      </c>
      <c r="Q76">
        <v>202510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0DD5-6354-48BA-822E-32BA9673E253}">
  <sheetPr codeName="Sheet10"/>
  <dimension ref="A1:Q72"/>
  <sheetViews>
    <sheetView zoomScale="85" zoomScaleNormal="85" workbookViewId="0">
      <pane ySplit="1" topLeftCell="A2" activePane="bottomLeft" state="frozen"/>
      <selection pane="bottomLeft" activeCell="D6" sqref="D6"/>
    </sheetView>
  </sheetViews>
  <sheetFormatPr defaultRowHeight="14.25" x14ac:dyDescent="0.2"/>
  <cols>
    <col min="1" max="1" width="18.25" customWidth="1"/>
    <col min="2" max="2" width="14.5" customWidth="1"/>
    <col min="3" max="3" width="22.5" customWidth="1"/>
    <col min="4" max="4" width="26" customWidth="1"/>
    <col min="5" max="5" width="14.5" customWidth="1"/>
    <col min="6" max="6" width="13.5" customWidth="1"/>
    <col min="7" max="7" width="16" customWidth="1"/>
    <col min="12" max="12" width="9.375" bestFit="1" customWidth="1"/>
    <col min="13" max="13" width="10.5" bestFit="1" customWidth="1"/>
    <col min="14" max="14" width="10.625" bestFit="1" customWidth="1"/>
    <col min="17" max="17" width="9.37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50</v>
      </c>
    </row>
    <row r="2" spans="1:17" x14ac:dyDescent="0.2">
      <c r="A2" t="s">
        <v>265</v>
      </c>
      <c r="B2" s="59">
        <v>45961.798298611109</v>
      </c>
      <c r="C2" t="s">
        <v>95</v>
      </c>
      <c r="D2" t="s">
        <v>94</v>
      </c>
      <c r="E2" t="s">
        <v>107</v>
      </c>
      <c r="F2" t="s">
        <v>47</v>
      </c>
      <c r="G2" t="s">
        <v>108</v>
      </c>
      <c r="H2" t="s">
        <v>51</v>
      </c>
      <c r="I2" t="s">
        <v>46</v>
      </c>
      <c r="J2" t="s">
        <v>49</v>
      </c>
      <c r="K2" t="s">
        <v>45</v>
      </c>
      <c r="L2">
        <v>7</v>
      </c>
      <c r="M2">
        <v>7</v>
      </c>
      <c r="N2">
        <v>14209.74</v>
      </c>
      <c r="Q2">
        <v>202510</v>
      </c>
    </row>
    <row r="3" spans="1:17" x14ac:dyDescent="0.2">
      <c r="A3" t="s">
        <v>266</v>
      </c>
      <c r="B3" s="59">
        <v>45960.847384259258</v>
      </c>
      <c r="C3" t="s">
        <v>95</v>
      </c>
      <c r="D3" t="s">
        <v>94</v>
      </c>
      <c r="F3" t="s">
        <v>47</v>
      </c>
      <c r="G3" t="s">
        <v>110</v>
      </c>
      <c r="H3" t="s">
        <v>51</v>
      </c>
      <c r="I3" t="s">
        <v>46</v>
      </c>
      <c r="J3" t="s">
        <v>49</v>
      </c>
      <c r="K3" t="s">
        <v>45</v>
      </c>
      <c r="L3">
        <v>27</v>
      </c>
      <c r="M3">
        <v>27</v>
      </c>
      <c r="N3">
        <v>13919.62</v>
      </c>
      <c r="Q3">
        <v>202510</v>
      </c>
    </row>
    <row r="4" spans="1:17" x14ac:dyDescent="0.2">
      <c r="A4" t="s">
        <v>267</v>
      </c>
      <c r="B4" s="59">
        <v>45960.845393518517</v>
      </c>
      <c r="C4" t="s">
        <v>95</v>
      </c>
      <c r="D4" t="s">
        <v>94</v>
      </c>
      <c r="F4" t="s">
        <v>47</v>
      </c>
      <c r="G4" t="s">
        <v>112</v>
      </c>
      <c r="H4" t="s">
        <v>51</v>
      </c>
      <c r="I4" t="s">
        <v>46</v>
      </c>
      <c r="J4" t="s">
        <v>49</v>
      </c>
      <c r="K4" t="s">
        <v>45</v>
      </c>
      <c r="L4">
        <v>7</v>
      </c>
      <c r="M4">
        <v>7</v>
      </c>
      <c r="N4">
        <v>12638.79</v>
      </c>
      <c r="Q4">
        <v>202510</v>
      </c>
    </row>
    <row r="5" spans="1:17" x14ac:dyDescent="0.2">
      <c r="A5" t="s">
        <v>268</v>
      </c>
      <c r="B5" s="59">
        <v>45960.844398148147</v>
      </c>
      <c r="C5" t="s">
        <v>95</v>
      </c>
      <c r="D5" t="s">
        <v>94</v>
      </c>
      <c r="E5" t="s">
        <v>114</v>
      </c>
      <c r="F5" t="s">
        <v>47</v>
      </c>
      <c r="G5" t="s">
        <v>115</v>
      </c>
      <c r="H5" t="s">
        <v>51</v>
      </c>
      <c r="I5" t="s">
        <v>46</v>
      </c>
      <c r="J5" t="s">
        <v>49</v>
      </c>
      <c r="K5" t="s">
        <v>45</v>
      </c>
      <c r="L5">
        <v>7</v>
      </c>
      <c r="M5">
        <v>7</v>
      </c>
      <c r="N5">
        <v>12370.54</v>
      </c>
      <c r="Q5">
        <v>202510</v>
      </c>
    </row>
    <row r="6" spans="1:17" x14ac:dyDescent="0.2">
      <c r="A6" t="s">
        <v>269</v>
      </c>
      <c r="B6" s="59">
        <v>45960.438518518517</v>
      </c>
      <c r="C6" t="s">
        <v>95</v>
      </c>
      <c r="D6" t="s">
        <v>94</v>
      </c>
      <c r="F6" t="s">
        <v>47</v>
      </c>
      <c r="G6" t="s">
        <v>117</v>
      </c>
      <c r="H6" t="s">
        <v>51</v>
      </c>
      <c r="I6" t="s">
        <v>46</v>
      </c>
      <c r="J6" t="s">
        <v>49</v>
      </c>
      <c r="K6" t="s">
        <v>45</v>
      </c>
      <c r="L6">
        <v>7</v>
      </c>
      <c r="M6">
        <v>7</v>
      </c>
      <c r="N6">
        <v>8059.68</v>
      </c>
      <c r="Q6">
        <v>202510</v>
      </c>
    </row>
    <row r="7" spans="1:17" x14ac:dyDescent="0.2">
      <c r="A7" t="s">
        <v>270</v>
      </c>
      <c r="B7" s="59">
        <v>45959.861990740741</v>
      </c>
      <c r="C7" t="s">
        <v>95</v>
      </c>
      <c r="D7" t="s">
        <v>94</v>
      </c>
      <c r="F7" t="s">
        <v>47</v>
      </c>
      <c r="G7" t="s">
        <v>119</v>
      </c>
      <c r="H7" t="s">
        <v>51</v>
      </c>
      <c r="I7" t="s">
        <v>46</v>
      </c>
      <c r="J7" t="s">
        <v>49</v>
      </c>
      <c r="K7" t="s">
        <v>45</v>
      </c>
      <c r="L7">
        <v>7</v>
      </c>
      <c r="M7">
        <v>7</v>
      </c>
      <c r="N7">
        <v>7791.43</v>
      </c>
      <c r="Q7">
        <v>202510</v>
      </c>
    </row>
    <row r="8" spans="1:17" x14ac:dyDescent="0.2">
      <c r="A8" t="s">
        <v>271</v>
      </c>
      <c r="B8" s="59">
        <v>45958.910925925928</v>
      </c>
      <c r="C8" t="s">
        <v>95</v>
      </c>
      <c r="D8" t="s">
        <v>94</v>
      </c>
      <c r="E8" t="s">
        <v>121</v>
      </c>
      <c r="F8" t="s">
        <v>47</v>
      </c>
      <c r="G8" t="s">
        <v>122</v>
      </c>
      <c r="H8" t="s">
        <v>51</v>
      </c>
      <c r="I8" t="s">
        <v>46</v>
      </c>
      <c r="J8" t="s">
        <v>49</v>
      </c>
      <c r="K8" t="s">
        <v>45</v>
      </c>
      <c r="L8">
        <v>7</v>
      </c>
      <c r="M8">
        <v>7</v>
      </c>
      <c r="N8">
        <v>7560.43</v>
      </c>
      <c r="Q8">
        <v>202510</v>
      </c>
    </row>
    <row r="9" spans="1:17" x14ac:dyDescent="0.2">
      <c r="A9" t="s">
        <v>272</v>
      </c>
      <c r="B9" s="59">
        <v>45958.908530092594</v>
      </c>
      <c r="C9" t="s">
        <v>95</v>
      </c>
      <c r="D9" t="s">
        <v>94</v>
      </c>
      <c r="E9" t="s">
        <v>124</v>
      </c>
      <c r="F9" t="s">
        <v>47</v>
      </c>
      <c r="G9" t="s">
        <v>125</v>
      </c>
      <c r="H9" t="s">
        <v>51</v>
      </c>
      <c r="I9" t="s">
        <v>46</v>
      </c>
      <c r="J9" t="s">
        <v>49</v>
      </c>
      <c r="K9" t="s">
        <v>45</v>
      </c>
      <c r="L9">
        <v>27</v>
      </c>
      <c r="M9">
        <v>27</v>
      </c>
      <c r="N9">
        <v>6983.43</v>
      </c>
      <c r="Q9">
        <v>202510</v>
      </c>
    </row>
    <row r="10" spans="1:17" x14ac:dyDescent="0.2">
      <c r="A10" t="s">
        <v>273</v>
      </c>
      <c r="B10" s="59">
        <v>45958.908321759256</v>
      </c>
      <c r="C10" t="s">
        <v>95</v>
      </c>
      <c r="D10" t="s">
        <v>94</v>
      </c>
      <c r="F10" t="s">
        <v>47</v>
      </c>
      <c r="G10" t="s">
        <v>127</v>
      </c>
      <c r="H10" t="s">
        <v>51</v>
      </c>
      <c r="I10" t="s">
        <v>46</v>
      </c>
      <c r="J10" t="s">
        <v>49</v>
      </c>
      <c r="K10" t="s">
        <v>45</v>
      </c>
      <c r="L10">
        <v>16</v>
      </c>
      <c r="M10">
        <v>16</v>
      </c>
      <c r="N10">
        <v>6524.43</v>
      </c>
      <c r="Q10">
        <v>202510</v>
      </c>
    </row>
    <row r="11" spans="1:17" x14ac:dyDescent="0.2">
      <c r="A11" t="s">
        <v>274</v>
      </c>
      <c r="B11" s="59">
        <v>45958.906909722224</v>
      </c>
      <c r="C11" t="s">
        <v>95</v>
      </c>
      <c r="D11" t="s">
        <v>94</v>
      </c>
      <c r="F11" t="s">
        <v>47</v>
      </c>
      <c r="G11" t="s">
        <v>129</v>
      </c>
      <c r="H11" t="s">
        <v>51</v>
      </c>
      <c r="I11" t="s">
        <v>46</v>
      </c>
      <c r="J11" t="s">
        <v>49</v>
      </c>
      <c r="K11" t="s">
        <v>45</v>
      </c>
      <c r="L11">
        <v>7</v>
      </c>
      <c r="M11">
        <v>7</v>
      </c>
      <c r="N11">
        <v>6185.56</v>
      </c>
      <c r="Q11">
        <v>202510</v>
      </c>
    </row>
    <row r="12" spans="1:17" x14ac:dyDescent="0.2">
      <c r="A12" t="s">
        <v>275</v>
      </c>
      <c r="B12" s="59">
        <v>45958.905335648145</v>
      </c>
      <c r="C12" t="s">
        <v>95</v>
      </c>
      <c r="D12" t="s">
        <v>94</v>
      </c>
      <c r="F12" t="s">
        <v>47</v>
      </c>
      <c r="G12" t="s">
        <v>133</v>
      </c>
      <c r="H12" t="s">
        <v>51</v>
      </c>
      <c r="I12" t="s">
        <v>46</v>
      </c>
      <c r="J12" t="s">
        <v>49</v>
      </c>
      <c r="K12" t="s">
        <v>45</v>
      </c>
      <c r="L12">
        <v>7</v>
      </c>
      <c r="M12">
        <v>7</v>
      </c>
      <c r="N12">
        <v>5948.56</v>
      </c>
      <c r="Q12">
        <v>202510</v>
      </c>
    </row>
    <row r="13" spans="1:17" x14ac:dyDescent="0.2">
      <c r="A13" t="s">
        <v>276</v>
      </c>
      <c r="B13" s="59">
        <v>45958.903321759259</v>
      </c>
      <c r="C13" t="s">
        <v>95</v>
      </c>
      <c r="D13" t="s">
        <v>94</v>
      </c>
      <c r="E13" t="s">
        <v>114</v>
      </c>
      <c r="F13" t="s">
        <v>47</v>
      </c>
      <c r="G13" t="s">
        <v>135</v>
      </c>
      <c r="H13" t="s">
        <v>51</v>
      </c>
      <c r="I13" t="s">
        <v>46</v>
      </c>
      <c r="J13" t="s">
        <v>49</v>
      </c>
      <c r="K13" t="s">
        <v>45</v>
      </c>
      <c r="L13">
        <v>27</v>
      </c>
      <c r="M13">
        <v>27</v>
      </c>
      <c r="N13">
        <v>5717.56</v>
      </c>
      <c r="Q13">
        <v>202510</v>
      </c>
    </row>
    <row r="14" spans="1:17" x14ac:dyDescent="0.2">
      <c r="A14" t="s">
        <v>277</v>
      </c>
      <c r="B14" s="59">
        <v>45957.697662037041</v>
      </c>
      <c r="C14" t="s">
        <v>95</v>
      </c>
      <c r="D14" t="s">
        <v>94</v>
      </c>
      <c r="E14" t="s">
        <v>121</v>
      </c>
      <c r="F14" t="s">
        <v>47</v>
      </c>
      <c r="G14" t="s">
        <v>140</v>
      </c>
      <c r="H14" t="s">
        <v>51</v>
      </c>
      <c r="I14" t="s">
        <v>46</v>
      </c>
      <c r="J14" t="s">
        <v>49</v>
      </c>
      <c r="K14" t="s">
        <v>45</v>
      </c>
      <c r="L14">
        <v>7</v>
      </c>
      <c r="M14">
        <v>7</v>
      </c>
      <c r="N14">
        <v>5183.13</v>
      </c>
      <c r="Q14">
        <v>202510</v>
      </c>
    </row>
    <row r="15" spans="1:17" x14ac:dyDescent="0.2">
      <c r="A15" t="s">
        <v>278</v>
      </c>
      <c r="B15" s="59">
        <v>45957.692152777781</v>
      </c>
      <c r="C15" t="s">
        <v>95</v>
      </c>
      <c r="D15" t="s">
        <v>94</v>
      </c>
      <c r="E15" t="s">
        <v>107</v>
      </c>
      <c r="F15" t="s">
        <v>47</v>
      </c>
      <c r="G15" t="s">
        <v>142</v>
      </c>
      <c r="H15" t="s">
        <v>51</v>
      </c>
      <c r="I15" t="s">
        <v>46</v>
      </c>
      <c r="J15" t="s">
        <v>49</v>
      </c>
      <c r="K15" t="s">
        <v>45</v>
      </c>
      <c r="L15">
        <v>7</v>
      </c>
      <c r="M15">
        <v>7</v>
      </c>
      <c r="N15">
        <v>5034.57</v>
      </c>
      <c r="Q15">
        <v>202510</v>
      </c>
    </row>
    <row r="16" spans="1:17" x14ac:dyDescent="0.2">
      <c r="A16" t="s">
        <v>279</v>
      </c>
      <c r="B16" s="59">
        <v>45954.651562500003</v>
      </c>
      <c r="C16" t="s">
        <v>95</v>
      </c>
      <c r="D16" t="s">
        <v>94</v>
      </c>
      <c r="F16" t="s">
        <v>47</v>
      </c>
      <c r="G16" t="s">
        <v>144</v>
      </c>
      <c r="H16" t="s">
        <v>51</v>
      </c>
      <c r="I16" t="s">
        <v>46</v>
      </c>
      <c r="J16" t="s">
        <v>49</v>
      </c>
      <c r="K16" t="s">
        <v>45</v>
      </c>
      <c r="L16">
        <v>27</v>
      </c>
      <c r="M16">
        <v>27</v>
      </c>
      <c r="N16">
        <v>4953.57</v>
      </c>
      <c r="Q16">
        <v>202510</v>
      </c>
    </row>
    <row r="17" spans="1:17" x14ac:dyDescent="0.2">
      <c r="A17" t="s">
        <v>280</v>
      </c>
      <c r="B17" s="59">
        <v>45954.649027777778</v>
      </c>
      <c r="C17" t="s">
        <v>95</v>
      </c>
      <c r="D17" t="s">
        <v>94</v>
      </c>
      <c r="E17" t="s">
        <v>146</v>
      </c>
      <c r="F17" t="s">
        <v>47</v>
      </c>
      <c r="G17" t="s">
        <v>147</v>
      </c>
      <c r="H17" t="s">
        <v>51</v>
      </c>
      <c r="I17" t="s">
        <v>46</v>
      </c>
      <c r="J17" t="s">
        <v>49</v>
      </c>
      <c r="K17" t="s">
        <v>45</v>
      </c>
      <c r="L17">
        <v>7</v>
      </c>
      <c r="M17">
        <v>7</v>
      </c>
      <c r="N17">
        <v>3099.61</v>
      </c>
      <c r="Q17">
        <v>202510</v>
      </c>
    </row>
    <row r="18" spans="1:17" x14ac:dyDescent="0.2">
      <c r="A18" t="s">
        <v>281</v>
      </c>
      <c r="B18" s="59">
        <v>45953.890740740739</v>
      </c>
      <c r="C18" t="s">
        <v>95</v>
      </c>
      <c r="D18" t="s">
        <v>94</v>
      </c>
      <c r="E18" t="s">
        <v>137</v>
      </c>
      <c r="F18" t="s">
        <v>47</v>
      </c>
      <c r="G18" t="s">
        <v>149</v>
      </c>
      <c r="H18" t="s">
        <v>51</v>
      </c>
      <c r="I18" t="s">
        <v>46</v>
      </c>
      <c r="J18" t="s">
        <v>49</v>
      </c>
      <c r="K18" t="s">
        <v>45</v>
      </c>
      <c r="L18">
        <v>7</v>
      </c>
      <c r="M18">
        <v>7</v>
      </c>
      <c r="N18">
        <v>1963.5</v>
      </c>
      <c r="Q18">
        <v>202510</v>
      </c>
    </row>
    <row r="19" spans="1:17" x14ac:dyDescent="0.2">
      <c r="A19" t="s">
        <v>282</v>
      </c>
      <c r="B19" s="59">
        <v>45951.896018518521</v>
      </c>
      <c r="C19" t="s">
        <v>95</v>
      </c>
      <c r="D19" t="s">
        <v>94</v>
      </c>
      <c r="F19" t="s">
        <v>47</v>
      </c>
      <c r="G19" t="s">
        <v>151</v>
      </c>
      <c r="H19" t="s">
        <v>51</v>
      </c>
      <c r="I19" t="s">
        <v>46</v>
      </c>
      <c r="J19" t="s">
        <v>49</v>
      </c>
      <c r="K19" t="s">
        <v>45</v>
      </c>
      <c r="L19">
        <v>7</v>
      </c>
      <c r="M19">
        <v>7</v>
      </c>
      <c r="N19">
        <v>1932.5</v>
      </c>
      <c r="Q19">
        <v>202510</v>
      </c>
    </row>
    <row r="20" spans="1:17" x14ac:dyDescent="0.2">
      <c r="A20" t="s">
        <v>283</v>
      </c>
      <c r="B20" s="59">
        <v>45951.893148148149</v>
      </c>
      <c r="C20" t="s">
        <v>95</v>
      </c>
      <c r="D20" t="s">
        <v>94</v>
      </c>
      <c r="E20" t="s">
        <v>121</v>
      </c>
      <c r="F20" t="s">
        <v>47</v>
      </c>
      <c r="G20" t="s">
        <v>153</v>
      </c>
      <c r="H20" t="s">
        <v>51</v>
      </c>
      <c r="I20" t="s">
        <v>46</v>
      </c>
      <c r="J20" t="s">
        <v>49</v>
      </c>
      <c r="K20" t="s">
        <v>45</v>
      </c>
      <c r="L20">
        <v>7</v>
      </c>
      <c r="M20">
        <v>7</v>
      </c>
      <c r="N20">
        <v>1664.25</v>
      </c>
      <c r="Q20">
        <v>202510</v>
      </c>
    </row>
    <row r="21" spans="1:17" x14ac:dyDescent="0.2">
      <c r="A21" t="s">
        <v>284</v>
      </c>
      <c r="B21" s="59">
        <v>45951.891458333332</v>
      </c>
      <c r="C21" t="s">
        <v>95</v>
      </c>
      <c r="D21" t="s">
        <v>94</v>
      </c>
      <c r="E21" t="s">
        <v>107</v>
      </c>
      <c r="F21" t="s">
        <v>47</v>
      </c>
      <c r="G21" t="s">
        <v>155</v>
      </c>
      <c r="H21" t="s">
        <v>51</v>
      </c>
      <c r="I21" t="s">
        <v>46</v>
      </c>
      <c r="J21" t="s">
        <v>49</v>
      </c>
      <c r="K21" t="s">
        <v>45</v>
      </c>
      <c r="L21">
        <v>7</v>
      </c>
      <c r="M21">
        <v>7</v>
      </c>
      <c r="N21">
        <v>1535.25</v>
      </c>
      <c r="Q21">
        <v>202510</v>
      </c>
    </row>
    <row r="22" spans="1:17" x14ac:dyDescent="0.2">
      <c r="A22" t="s">
        <v>285</v>
      </c>
      <c r="B22" s="59">
        <v>45951.884791666664</v>
      </c>
      <c r="C22" t="s">
        <v>95</v>
      </c>
      <c r="D22" t="s">
        <v>94</v>
      </c>
      <c r="F22" t="s">
        <v>47</v>
      </c>
      <c r="G22" t="s">
        <v>157</v>
      </c>
      <c r="H22" t="s">
        <v>51</v>
      </c>
      <c r="I22" t="s">
        <v>46</v>
      </c>
      <c r="J22" t="s">
        <v>49</v>
      </c>
      <c r="K22" t="s">
        <v>45</v>
      </c>
      <c r="L22">
        <v>7</v>
      </c>
      <c r="M22">
        <v>7</v>
      </c>
      <c r="N22">
        <v>958.25</v>
      </c>
      <c r="Q22">
        <v>202510</v>
      </c>
    </row>
    <row r="23" spans="1:17" x14ac:dyDescent="0.2">
      <c r="A23" t="s">
        <v>286</v>
      </c>
      <c r="B23" s="59">
        <v>45950.680625000001</v>
      </c>
      <c r="C23" t="s">
        <v>95</v>
      </c>
      <c r="D23" t="s">
        <v>94</v>
      </c>
      <c r="F23" t="s">
        <v>47</v>
      </c>
      <c r="G23" t="s">
        <v>159</v>
      </c>
      <c r="H23" t="s">
        <v>51</v>
      </c>
      <c r="I23" t="s">
        <v>46</v>
      </c>
      <c r="J23" t="s">
        <v>49</v>
      </c>
      <c r="K23" t="s">
        <v>45</v>
      </c>
      <c r="L23">
        <v>7</v>
      </c>
      <c r="M23">
        <v>7</v>
      </c>
      <c r="N23">
        <v>1756.81</v>
      </c>
      <c r="Q23">
        <v>202510</v>
      </c>
    </row>
    <row r="24" spans="1:17" x14ac:dyDescent="0.2">
      <c r="A24" t="s">
        <v>287</v>
      </c>
      <c r="B24" s="59">
        <v>45950.671215277776</v>
      </c>
      <c r="C24" t="s">
        <v>95</v>
      </c>
      <c r="D24" t="s">
        <v>94</v>
      </c>
      <c r="E24" t="s">
        <v>107</v>
      </c>
      <c r="F24" t="s">
        <v>47</v>
      </c>
      <c r="G24" t="s">
        <v>161</v>
      </c>
      <c r="H24" t="s">
        <v>51</v>
      </c>
      <c r="I24" t="s">
        <v>46</v>
      </c>
      <c r="J24" t="s">
        <v>49</v>
      </c>
      <c r="K24" t="s">
        <v>45</v>
      </c>
      <c r="L24">
        <v>27</v>
      </c>
      <c r="M24">
        <v>27</v>
      </c>
      <c r="N24">
        <v>1525.81</v>
      </c>
      <c r="Q24">
        <v>202510</v>
      </c>
    </row>
    <row r="25" spans="1:17" x14ac:dyDescent="0.2">
      <c r="A25" t="s">
        <v>288</v>
      </c>
      <c r="B25" s="59">
        <v>45947.851620370369</v>
      </c>
      <c r="C25" t="s">
        <v>95</v>
      </c>
      <c r="D25" t="s">
        <v>94</v>
      </c>
      <c r="E25" t="s">
        <v>114</v>
      </c>
      <c r="F25" t="s">
        <v>47</v>
      </c>
      <c r="G25" t="s">
        <v>163</v>
      </c>
      <c r="H25" t="s">
        <v>51</v>
      </c>
      <c r="I25" t="s">
        <v>46</v>
      </c>
      <c r="J25" t="s">
        <v>49</v>
      </c>
      <c r="K25" t="s">
        <v>45</v>
      </c>
      <c r="L25">
        <v>7</v>
      </c>
      <c r="M25">
        <v>7</v>
      </c>
      <c r="N25">
        <v>27705.3</v>
      </c>
      <c r="Q25">
        <v>202510</v>
      </c>
    </row>
    <row r="26" spans="1:17" x14ac:dyDescent="0.2">
      <c r="A26" t="s">
        <v>289</v>
      </c>
      <c r="B26" s="59">
        <v>45947.843865740739</v>
      </c>
      <c r="C26" t="s">
        <v>95</v>
      </c>
      <c r="D26" t="s">
        <v>94</v>
      </c>
      <c r="E26" t="s">
        <v>107</v>
      </c>
      <c r="F26" t="s">
        <v>47</v>
      </c>
      <c r="G26" t="s">
        <v>165</v>
      </c>
      <c r="H26" t="s">
        <v>51</v>
      </c>
      <c r="I26" t="s">
        <v>46</v>
      </c>
      <c r="J26" t="s">
        <v>49</v>
      </c>
      <c r="K26" t="s">
        <v>45</v>
      </c>
      <c r="L26">
        <v>7</v>
      </c>
      <c r="M26">
        <v>7</v>
      </c>
      <c r="N26">
        <v>27197.3</v>
      </c>
      <c r="Q26">
        <v>202510</v>
      </c>
    </row>
    <row r="27" spans="1:17" x14ac:dyDescent="0.2">
      <c r="A27" t="s">
        <v>290</v>
      </c>
      <c r="B27" s="59">
        <v>45947.843692129631</v>
      </c>
      <c r="C27" t="s">
        <v>95</v>
      </c>
      <c r="D27" t="s">
        <v>94</v>
      </c>
      <c r="E27" t="s">
        <v>107</v>
      </c>
      <c r="F27" t="s">
        <v>47</v>
      </c>
      <c r="G27" t="s">
        <v>167</v>
      </c>
      <c r="H27" t="s">
        <v>51</v>
      </c>
      <c r="I27" t="s">
        <v>46</v>
      </c>
      <c r="J27" t="s">
        <v>49</v>
      </c>
      <c r="K27" t="s">
        <v>45</v>
      </c>
      <c r="L27">
        <v>7</v>
      </c>
      <c r="M27">
        <v>7</v>
      </c>
      <c r="N27">
        <v>26760.18</v>
      </c>
      <c r="Q27">
        <v>202510</v>
      </c>
    </row>
    <row r="28" spans="1:17" x14ac:dyDescent="0.2">
      <c r="A28" t="s">
        <v>291</v>
      </c>
      <c r="B28" s="59">
        <v>45946.768275462964</v>
      </c>
      <c r="C28" t="s">
        <v>95</v>
      </c>
      <c r="D28" t="s">
        <v>94</v>
      </c>
      <c r="F28" t="s">
        <v>47</v>
      </c>
      <c r="G28" t="s">
        <v>169</v>
      </c>
      <c r="H28" t="s">
        <v>51</v>
      </c>
      <c r="I28" t="s">
        <v>46</v>
      </c>
      <c r="J28" t="s">
        <v>49</v>
      </c>
      <c r="K28" t="s">
        <v>45</v>
      </c>
      <c r="L28">
        <v>7</v>
      </c>
      <c r="M28">
        <v>7</v>
      </c>
      <c r="N28">
        <v>26638.49</v>
      </c>
      <c r="Q28">
        <v>202510</v>
      </c>
    </row>
    <row r="29" spans="1:17" x14ac:dyDescent="0.2">
      <c r="A29" t="s">
        <v>292</v>
      </c>
      <c r="B29" s="59">
        <v>45946.749490740738</v>
      </c>
      <c r="C29" t="s">
        <v>95</v>
      </c>
      <c r="D29" t="s">
        <v>94</v>
      </c>
      <c r="E29" t="s">
        <v>114</v>
      </c>
      <c r="F29" t="s">
        <v>47</v>
      </c>
      <c r="G29" t="s">
        <v>171</v>
      </c>
      <c r="H29" t="s">
        <v>51</v>
      </c>
      <c r="I29" t="s">
        <v>46</v>
      </c>
      <c r="J29" t="s">
        <v>49</v>
      </c>
      <c r="K29" t="s">
        <v>45</v>
      </c>
      <c r="L29">
        <v>7</v>
      </c>
      <c r="M29">
        <v>7</v>
      </c>
      <c r="N29">
        <v>26273.49</v>
      </c>
      <c r="Q29">
        <v>202510</v>
      </c>
    </row>
    <row r="30" spans="1:17" x14ac:dyDescent="0.2">
      <c r="A30" t="s">
        <v>293</v>
      </c>
      <c r="B30" s="59">
        <v>45946.74927083333</v>
      </c>
      <c r="C30" t="s">
        <v>95</v>
      </c>
      <c r="D30" t="s">
        <v>94</v>
      </c>
      <c r="F30" t="s">
        <v>47</v>
      </c>
      <c r="G30" t="s">
        <v>173</v>
      </c>
      <c r="H30" t="s">
        <v>51</v>
      </c>
      <c r="I30" t="s">
        <v>46</v>
      </c>
      <c r="J30" t="s">
        <v>49</v>
      </c>
      <c r="K30" t="s">
        <v>45</v>
      </c>
      <c r="L30">
        <v>7</v>
      </c>
      <c r="M30">
        <v>7</v>
      </c>
      <c r="N30">
        <v>25696.49</v>
      </c>
      <c r="Q30">
        <v>202510</v>
      </c>
    </row>
    <row r="31" spans="1:17" x14ac:dyDescent="0.2">
      <c r="A31" t="s">
        <v>294</v>
      </c>
      <c r="B31" s="59">
        <v>45946.74894675926</v>
      </c>
      <c r="C31" t="s">
        <v>95</v>
      </c>
      <c r="D31" t="s">
        <v>94</v>
      </c>
      <c r="F31" t="s">
        <v>47</v>
      </c>
      <c r="G31" t="s">
        <v>175</v>
      </c>
      <c r="H31" t="s">
        <v>51</v>
      </c>
      <c r="I31" t="s">
        <v>46</v>
      </c>
      <c r="J31" t="s">
        <v>49</v>
      </c>
      <c r="K31" t="s">
        <v>45</v>
      </c>
      <c r="L31">
        <v>7</v>
      </c>
      <c r="M31">
        <v>7</v>
      </c>
      <c r="N31">
        <v>25331.49</v>
      </c>
      <c r="Q31">
        <v>202510</v>
      </c>
    </row>
    <row r="32" spans="1:17" x14ac:dyDescent="0.2">
      <c r="A32" t="s">
        <v>295</v>
      </c>
      <c r="B32" s="59">
        <v>45946.748553240737</v>
      </c>
      <c r="C32" t="s">
        <v>95</v>
      </c>
      <c r="D32" t="s">
        <v>94</v>
      </c>
      <c r="F32" t="s">
        <v>47</v>
      </c>
      <c r="G32" t="s">
        <v>177</v>
      </c>
      <c r="H32" t="s">
        <v>51</v>
      </c>
      <c r="I32" t="s">
        <v>46</v>
      </c>
      <c r="J32" t="s">
        <v>49</v>
      </c>
      <c r="K32" t="s">
        <v>45</v>
      </c>
      <c r="L32">
        <v>7</v>
      </c>
      <c r="M32">
        <v>7</v>
      </c>
      <c r="N32">
        <v>24966.49</v>
      </c>
      <c r="Q32">
        <v>202510</v>
      </c>
    </row>
    <row r="33" spans="1:17" x14ac:dyDescent="0.2">
      <c r="A33" t="s">
        <v>296</v>
      </c>
      <c r="B33" s="59">
        <v>45946.748032407406</v>
      </c>
      <c r="C33" t="s">
        <v>95</v>
      </c>
      <c r="D33" t="s">
        <v>94</v>
      </c>
      <c r="F33" t="s">
        <v>47</v>
      </c>
      <c r="G33" t="s">
        <v>179</v>
      </c>
      <c r="H33" t="s">
        <v>51</v>
      </c>
      <c r="I33" t="s">
        <v>46</v>
      </c>
      <c r="J33" t="s">
        <v>49</v>
      </c>
      <c r="K33" t="s">
        <v>45</v>
      </c>
      <c r="L33">
        <v>7</v>
      </c>
      <c r="M33">
        <v>7</v>
      </c>
      <c r="N33">
        <v>24601.49</v>
      </c>
      <c r="Q33">
        <v>202510</v>
      </c>
    </row>
    <row r="34" spans="1:17" x14ac:dyDescent="0.2">
      <c r="A34" t="s">
        <v>297</v>
      </c>
      <c r="B34" s="59">
        <v>45946.747615740744</v>
      </c>
      <c r="C34" t="s">
        <v>95</v>
      </c>
      <c r="D34" t="s">
        <v>94</v>
      </c>
      <c r="F34" t="s">
        <v>47</v>
      </c>
      <c r="G34" t="s">
        <v>181</v>
      </c>
      <c r="H34" t="s">
        <v>51</v>
      </c>
      <c r="I34" t="s">
        <v>46</v>
      </c>
      <c r="J34" t="s">
        <v>49</v>
      </c>
      <c r="K34" t="s">
        <v>45</v>
      </c>
      <c r="L34">
        <v>7</v>
      </c>
      <c r="M34">
        <v>7</v>
      </c>
      <c r="N34">
        <v>24370.49</v>
      </c>
      <c r="Q34">
        <v>202510</v>
      </c>
    </row>
    <row r="35" spans="1:17" x14ac:dyDescent="0.2">
      <c r="A35" t="s">
        <v>298</v>
      </c>
      <c r="B35" s="59">
        <v>45946.747534722221</v>
      </c>
      <c r="C35" t="s">
        <v>95</v>
      </c>
      <c r="D35" t="s">
        <v>94</v>
      </c>
      <c r="F35" t="s">
        <v>47</v>
      </c>
      <c r="G35" t="s">
        <v>183</v>
      </c>
      <c r="H35" t="s">
        <v>51</v>
      </c>
      <c r="I35" t="s">
        <v>46</v>
      </c>
      <c r="J35" t="s">
        <v>49</v>
      </c>
      <c r="K35" t="s">
        <v>45</v>
      </c>
      <c r="L35">
        <v>7</v>
      </c>
      <c r="M35">
        <v>7</v>
      </c>
      <c r="N35">
        <v>24139.49</v>
      </c>
      <c r="Q35">
        <v>202510</v>
      </c>
    </row>
    <row r="36" spans="1:17" x14ac:dyDescent="0.2">
      <c r="A36" t="s">
        <v>299</v>
      </c>
      <c r="B36" s="59">
        <v>45946.747395833336</v>
      </c>
      <c r="C36" t="s">
        <v>95</v>
      </c>
      <c r="D36" t="s">
        <v>94</v>
      </c>
      <c r="F36" t="s">
        <v>47</v>
      </c>
      <c r="G36" t="s">
        <v>185</v>
      </c>
      <c r="H36" t="s">
        <v>51</v>
      </c>
      <c r="I36" t="s">
        <v>46</v>
      </c>
      <c r="J36" t="s">
        <v>49</v>
      </c>
      <c r="K36" t="s">
        <v>45</v>
      </c>
      <c r="L36">
        <v>7</v>
      </c>
      <c r="M36">
        <v>7</v>
      </c>
      <c r="N36">
        <v>23908.49</v>
      </c>
      <c r="Q36">
        <v>202510</v>
      </c>
    </row>
    <row r="37" spans="1:17" x14ac:dyDescent="0.2">
      <c r="A37" t="s">
        <v>300</v>
      </c>
      <c r="B37" s="59">
        <v>45946.747256944444</v>
      </c>
      <c r="C37" t="s">
        <v>95</v>
      </c>
      <c r="D37" t="s">
        <v>94</v>
      </c>
      <c r="F37" t="s">
        <v>47</v>
      </c>
      <c r="G37" t="s">
        <v>187</v>
      </c>
      <c r="H37" t="s">
        <v>51</v>
      </c>
      <c r="I37" t="s">
        <v>46</v>
      </c>
      <c r="J37" t="s">
        <v>49</v>
      </c>
      <c r="K37" t="s">
        <v>45</v>
      </c>
      <c r="L37">
        <v>7</v>
      </c>
      <c r="M37">
        <v>7</v>
      </c>
      <c r="N37">
        <v>23543.49</v>
      </c>
      <c r="Q37">
        <v>202510</v>
      </c>
    </row>
    <row r="38" spans="1:17" x14ac:dyDescent="0.2">
      <c r="A38" t="s">
        <v>301</v>
      </c>
      <c r="B38" s="59">
        <v>45946.747129629628</v>
      </c>
      <c r="C38" t="s">
        <v>95</v>
      </c>
      <c r="D38" t="s">
        <v>94</v>
      </c>
      <c r="F38" t="s">
        <v>47</v>
      </c>
      <c r="G38" t="s">
        <v>189</v>
      </c>
      <c r="H38" t="s">
        <v>51</v>
      </c>
      <c r="I38" t="s">
        <v>46</v>
      </c>
      <c r="J38" t="s">
        <v>49</v>
      </c>
      <c r="K38" t="s">
        <v>45</v>
      </c>
      <c r="L38">
        <v>7</v>
      </c>
      <c r="M38">
        <v>7</v>
      </c>
      <c r="N38">
        <v>23312.49</v>
      </c>
      <c r="Q38">
        <v>202510</v>
      </c>
    </row>
    <row r="39" spans="1:17" x14ac:dyDescent="0.2">
      <c r="A39" t="s">
        <v>302</v>
      </c>
      <c r="B39" s="59">
        <v>45946.746944444443</v>
      </c>
      <c r="C39" t="s">
        <v>95</v>
      </c>
      <c r="D39" t="s">
        <v>94</v>
      </c>
      <c r="F39" t="s">
        <v>47</v>
      </c>
      <c r="G39" t="s">
        <v>191</v>
      </c>
      <c r="H39" t="s">
        <v>51</v>
      </c>
      <c r="I39" t="s">
        <v>46</v>
      </c>
      <c r="J39" t="s">
        <v>49</v>
      </c>
      <c r="K39" t="s">
        <v>45</v>
      </c>
      <c r="L39">
        <v>7</v>
      </c>
      <c r="M39">
        <v>7</v>
      </c>
      <c r="N39">
        <v>23081.49</v>
      </c>
      <c r="Q39">
        <v>202510</v>
      </c>
    </row>
    <row r="40" spans="1:17" x14ac:dyDescent="0.2">
      <c r="A40" t="s">
        <v>303</v>
      </c>
      <c r="B40" s="59">
        <v>45946.731261574074</v>
      </c>
      <c r="C40" t="s">
        <v>95</v>
      </c>
      <c r="D40" t="s">
        <v>94</v>
      </c>
      <c r="F40" t="s">
        <v>47</v>
      </c>
      <c r="G40" t="s">
        <v>193</v>
      </c>
      <c r="H40" t="s">
        <v>51</v>
      </c>
      <c r="I40" t="s">
        <v>46</v>
      </c>
      <c r="J40" t="s">
        <v>49</v>
      </c>
      <c r="K40" t="s">
        <v>45</v>
      </c>
      <c r="L40">
        <v>7</v>
      </c>
      <c r="M40">
        <v>7</v>
      </c>
      <c r="N40">
        <v>22850.49</v>
      </c>
      <c r="Q40">
        <v>202510</v>
      </c>
    </row>
    <row r="41" spans="1:17" x14ac:dyDescent="0.2">
      <c r="A41" t="s">
        <v>304</v>
      </c>
      <c r="B41" s="59">
        <v>45946.729872685188</v>
      </c>
      <c r="C41" t="s">
        <v>95</v>
      </c>
      <c r="D41" t="s">
        <v>94</v>
      </c>
      <c r="F41" t="s">
        <v>47</v>
      </c>
      <c r="G41" t="s">
        <v>195</v>
      </c>
      <c r="H41" t="s">
        <v>51</v>
      </c>
      <c r="I41" t="s">
        <v>46</v>
      </c>
      <c r="J41" t="s">
        <v>49</v>
      </c>
      <c r="K41" t="s">
        <v>45</v>
      </c>
      <c r="L41">
        <v>7</v>
      </c>
      <c r="M41">
        <v>7</v>
      </c>
      <c r="N41">
        <v>22485.49</v>
      </c>
      <c r="Q41">
        <v>202510</v>
      </c>
    </row>
    <row r="42" spans="1:17" x14ac:dyDescent="0.2">
      <c r="A42" t="s">
        <v>305</v>
      </c>
      <c r="B42" s="59">
        <v>45944.802766203706</v>
      </c>
      <c r="C42" t="s">
        <v>95</v>
      </c>
      <c r="D42" t="s">
        <v>94</v>
      </c>
      <c r="E42" t="s">
        <v>146</v>
      </c>
      <c r="F42" t="s">
        <v>47</v>
      </c>
      <c r="G42" t="s">
        <v>199</v>
      </c>
      <c r="H42" t="s">
        <v>51</v>
      </c>
      <c r="I42" t="s">
        <v>46</v>
      </c>
      <c r="J42" t="s">
        <v>49</v>
      </c>
      <c r="K42" t="s">
        <v>45</v>
      </c>
      <c r="L42">
        <v>7</v>
      </c>
      <c r="M42">
        <v>7</v>
      </c>
      <c r="N42">
        <v>22020.78</v>
      </c>
      <c r="Q42">
        <v>202510</v>
      </c>
    </row>
    <row r="43" spans="1:17" x14ac:dyDescent="0.2">
      <c r="A43" t="s">
        <v>306</v>
      </c>
      <c r="B43" s="59">
        <v>45943.480347222219</v>
      </c>
      <c r="C43" t="s">
        <v>95</v>
      </c>
      <c r="D43" t="s">
        <v>94</v>
      </c>
      <c r="E43" t="s">
        <v>124</v>
      </c>
      <c r="F43" t="s">
        <v>47</v>
      </c>
      <c r="G43" t="s">
        <v>201</v>
      </c>
      <c r="H43" t="s">
        <v>51</v>
      </c>
      <c r="I43" t="s">
        <v>46</v>
      </c>
      <c r="J43" t="s">
        <v>49</v>
      </c>
      <c r="K43" t="s">
        <v>45</v>
      </c>
      <c r="L43">
        <v>7</v>
      </c>
      <c r="M43">
        <v>7</v>
      </c>
      <c r="N43">
        <v>36147.279999999999</v>
      </c>
      <c r="Q43">
        <v>202510</v>
      </c>
    </row>
    <row r="44" spans="1:17" x14ac:dyDescent="0.2">
      <c r="A44" t="s">
        <v>307</v>
      </c>
      <c r="B44" s="59">
        <v>45941.732268518521</v>
      </c>
      <c r="C44" t="s">
        <v>95</v>
      </c>
      <c r="D44" t="s">
        <v>94</v>
      </c>
      <c r="E44" t="s">
        <v>146</v>
      </c>
      <c r="F44" t="s">
        <v>47</v>
      </c>
      <c r="G44" t="s">
        <v>203</v>
      </c>
      <c r="H44" t="s">
        <v>51</v>
      </c>
      <c r="I44" t="s">
        <v>46</v>
      </c>
      <c r="J44" t="s">
        <v>49</v>
      </c>
      <c r="K44" t="s">
        <v>45</v>
      </c>
      <c r="L44">
        <v>27</v>
      </c>
      <c r="M44">
        <v>27</v>
      </c>
      <c r="N44">
        <v>34759.440000000002</v>
      </c>
      <c r="Q44">
        <v>202510</v>
      </c>
    </row>
    <row r="45" spans="1:17" x14ac:dyDescent="0.2">
      <c r="A45" t="s">
        <v>308</v>
      </c>
      <c r="B45" s="59">
        <v>45941.729895833334</v>
      </c>
      <c r="C45" t="s">
        <v>95</v>
      </c>
      <c r="D45" t="s">
        <v>94</v>
      </c>
      <c r="E45" t="s">
        <v>137</v>
      </c>
      <c r="F45" t="s">
        <v>47</v>
      </c>
      <c r="G45" t="s">
        <v>205</v>
      </c>
      <c r="H45" t="s">
        <v>51</v>
      </c>
      <c r="I45" t="s">
        <v>46</v>
      </c>
      <c r="J45" t="s">
        <v>49</v>
      </c>
      <c r="K45" t="s">
        <v>45</v>
      </c>
      <c r="L45">
        <v>7</v>
      </c>
      <c r="M45">
        <v>7</v>
      </c>
      <c r="N45">
        <v>34300.44</v>
      </c>
      <c r="Q45">
        <v>202510</v>
      </c>
    </row>
    <row r="46" spans="1:17" x14ac:dyDescent="0.2">
      <c r="A46" t="s">
        <v>309</v>
      </c>
      <c r="B46" s="59">
        <v>45939.673680555556</v>
      </c>
      <c r="C46" t="s">
        <v>95</v>
      </c>
      <c r="D46" t="s">
        <v>94</v>
      </c>
      <c r="E46" t="s">
        <v>107</v>
      </c>
      <c r="F46" t="s">
        <v>47</v>
      </c>
      <c r="G46" t="s">
        <v>207</v>
      </c>
      <c r="H46" t="s">
        <v>51</v>
      </c>
      <c r="I46" t="s">
        <v>46</v>
      </c>
      <c r="J46" t="s">
        <v>49</v>
      </c>
      <c r="K46" t="s">
        <v>45</v>
      </c>
      <c r="L46">
        <v>7</v>
      </c>
      <c r="M46">
        <v>7</v>
      </c>
      <c r="N46">
        <v>34260.959999999999</v>
      </c>
      <c r="Q46">
        <v>202510</v>
      </c>
    </row>
    <row r="47" spans="1:17" x14ac:dyDescent="0.2">
      <c r="A47" t="s">
        <v>310</v>
      </c>
      <c r="B47" s="59">
        <v>45939.669039351851</v>
      </c>
      <c r="C47" t="s">
        <v>95</v>
      </c>
      <c r="D47" t="s">
        <v>94</v>
      </c>
      <c r="E47" t="s">
        <v>107</v>
      </c>
      <c r="F47" t="s">
        <v>47</v>
      </c>
      <c r="G47" t="s">
        <v>209</v>
      </c>
      <c r="H47" t="s">
        <v>51</v>
      </c>
      <c r="I47" t="s">
        <v>46</v>
      </c>
      <c r="J47" t="s">
        <v>49</v>
      </c>
      <c r="K47" t="s">
        <v>45</v>
      </c>
      <c r="L47">
        <v>27</v>
      </c>
      <c r="M47">
        <v>27</v>
      </c>
      <c r="N47">
        <v>34068.14</v>
      </c>
      <c r="Q47">
        <v>202510</v>
      </c>
    </row>
    <row r="48" spans="1:17" x14ac:dyDescent="0.2">
      <c r="A48" t="s">
        <v>311</v>
      </c>
      <c r="B48" s="59">
        <v>45939.66605324074</v>
      </c>
      <c r="C48" t="s">
        <v>95</v>
      </c>
      <c r="D48" t="s">
        <v>94</v>
      </c>
      <c r="F48" t="s">
        <v>47</v>
      </c>
      <c r="G48" t="s">
        <v>211</v>
      </c>
      <c r="H48" t="s">
        <v>51</v>
      </c>
      <c r="I48" t="s">
        <v>46</v>
      </c>
      <c r="J48" t="s">
        <v>49</v>
      </c>
      <c r="K48" t="s">
        <v>45</v>
      </c>
      <c r="L48">
        <v>16</v>
      </c>
      <c r="M48">
        <v>16</v>
      </c>
      <c r="N48">
        <v>33609.14</v>
      </c>
      <c r="Q48">
        <v>202510</v>
      </c>
    </row>
    <row r="49" spans="1:17" x14ac:dyDescent="0.2">
      <c r="A49" t="s">
        <v>312</v>
      </c>
      <c r="B49" s="59">
        <v>45939.65761574074</v>
      </c>
      <c r="C49" t="s">
        <v>95</v>
      </c>
      <c r="D49" t="s">
        <v>94</v>
      </c>
      <c r="E49" t="s">
        <v>114</v>
      </c>
      <c r="F49" t="s">
        <v>47</v>
      </c>
      <c r="G49" t="s">
        <v>213</v>
      </c>
      <c r="H49" t="s">
        <v>51</v>
      </c>
      <c r="I49" t="s">
        <v>46</v>
      </c>
      <c r="J49" t="s">
        <v>49</v>
      </c>
      <c r="K49" t="s">
        <v>45</v>
      </c>
      <c r="L49">
        <v>7</v>
      </c>
      <c r="M49">
        <v>7</v>
      </c>
      <c r="N49">
        <v>32724.14</v>
      </c>
      <c r="Q49">
        <v>202510</v>
      </c>
    </row>
    <row r="50" spans="1:17" x14ac:dyDescent="0.2">
      <c r="A50" t="s">
        <v>313</v>
      </c>
      <c r="B50" s="59">
        <v>45936.916886574072</v>
      </c>
      <c r="C50" t="s">
        <v>95</v>
      </c>
      <c r="D50" t="s">
        <v>94</v>
      </c>
      <c r="F50" t="s">
        <v>47</v>
      </c>
      <c r="G50" t="s">
        <v>218</v>
      </c>
      <c r="H50" t="s">
        <v>51</v>
      </c>
      <c r="I50" t="s">
        <v>46</v>
      </c>
      <c r="J50" t="s">
        <v>49</v>
      </c>
      <c r="K50" t="s">
        <v>45</v>
      </c>
      <c r="L50">
        <v>7</v>
      </c>
      <c r="M50">
        <v>7</v>
      </c>
      <c r="N50">
        <v>32172.14</v>
      </c>
      <c r="Q50">
        <v>202510</v>
      </c>
    </row>
    <row r="51" spans="1:17" x14ac:dyDescent="0.2">
      <c r="A51" t="s">
        <v>314</v>
      </c>
      <c r="B51" s="59">
        <v>45936.916203703702</v>
      </c>
      <c r="C51" t="s">
        <v>95</v>
      </c>
      <c r="D51" t="s">
        <v>94</v>
      </c>
      <c r="F51" t="s">
        <v>47</v>
      </c>
      <c r="G51" t="s">
        <v>220</v>
      </c>
      <c r="H51" t="s">
        <v>51</v>
      </c>
      <c r="I51" t="s">
        <v>46</v>
      </c>
      <c r="J51" t="s">
        <v>49</v>
      </c>
      <c r="K51" t="s">
        <v>45</v>
      </c>
      <c r="L51">
        <v>7</v>
      </c>
      <c r="M51">
        <v>7</v>
      </c>
      <c r="N51">
        <v>31848.14</v>
      </c>
      <c r="Q51">
        <v>202510</v>
      </c>
    </row>
    <row r="52" spans="1:17" x14ac:dyDescent="0.2">
      <c r="A52" t="s">
        <v>315</v>
      </c>
      <c r="B52" s="59">
        <v>45936.915347222224</v>
      </c>
      <c r="C52" t="s">
        <v>95</v>
      </c>
      <c r="D52" t="s">
        <v>94</v>
      </c>
      <c r="F52" t="s">
        <v>47</v>
      </c>
      <c r="G52" t="s">
        <v>222</v>
      </c>
      <c r="H52" t="s">
        <v>51</v>
      </c>
      <c r="I52" t="s">
        <v>46</v>
      </c>
      <c r="J52" t="s">
        <v>49</v>
      </c>
      <c r="K52" t="s">
        <v>45</v>
      </c>
      <c r="L52">
        <v>7</v>
      </c>
      <c r="M52">
        <v>7</v>
      </c>
      <c r="N52">
        <v>31829.94</v>
      </c>
      <c r="Q52">
        <v>202510</v>
      </c>
    </row>
    <row r="53" spans="1:17" x14ac:dyDescent="0.2">
      <c r="A53" t="s">
        <v>316</v>
      </c>
      <c r="B53" s="59">
        <v>45936.913171296299</v>
      </c>
      <c r="C53" t="s">
        <v>95</v>
      </c>
      <c r="D53" t="s">
        <v>94</v>
      </c>
      <c r="E53" t="s">
        <v>215</v>
      </c>
      <c r="F53" t="s">
        <v>47</v>
      </c>
      <c r="G53" t="s">
        <v>224</v>
      </c>
      <c r="H53" t="s">
        <v>51</v>
      </c>
      <c r="I53" t="s">
        <v>46</v>
      </c>
      <c r="J53" t="s">
        <v>49</v>
      </c>
      <c r="K53" t="s">
        <v>45</v>
      </c>
      <c r="L53">
        <v>7</v>
      </c>
      <c r="M53">
        <v>7</v>
      </c>
      <c r="N53">
        <v>31505.94</v>
      </c>
      <c r="Q53">
        <v>202510</v>
      </c>
    </row>
    <row r="54" spans="1:17" x14ac:dyDescent="0.2">
      <c r="A54" t="s">
        <v>317</v>
      </c>
      <c r="B54" s="59">
        <v>45933.96303240741</v>
      </c>
      <c r="C54" t="s">
        <v>95</v>
      </c>
      <c r="D54" t="s">
        <v>94</v>
      </c>
      <c r="F54" t="s">
        <v>47</v>
      </c>
      <c r="G54" t="s">
        <v>226</v>
      </c>
      <c r="H54" t="s">
        <v>51</v>
      </c>
      <c r="I54" t="s">
        <v>46</v>
      </c>
      <c r="J54" t="s">
        <v>49</v>
      </c>
      <c r="K54" t="s">
        <v>45</v>
      </c>
      <c r="L54">
        <v>7</v>
      </c>
      <c r="M54">
        <v>7</v>
      </c>
      <c r="N54">
        <v>30928.94</v>
      </c>
      <c r="Q54">
        <v>202510</v>
      </c>
    </row>
    <row r="55" spans="1:17" x14ac:dyDescent="0.2">
      <c r="A55" t="s">
        <v>318</v>
      </c>
      <c r="B55" s="59">
        <v>45933.961180555554</v>
      </c>
      <c r="C55" t="s">
        <v>95</v>
      </c>
      <c r="D55" t="s">
        <v>94</v>
      </c>
      <c r="E55" t="s">
        <v>228</v>
      </c>
      <c r="F55" t="s">
        <v>47</v>
      </c>
      <c r="G55" t="s">
        <v>229</v>
      </c>
      <c r="H55" t="s">
        <v>51</v>
      </c>
      <c r="I55" t="s">
        <v>46</v>
      </c>
      <c r="J55" t="s">
        <v>49</v>
      </c>
      <c r="K55" t="s">
        <v>45</v>
      </c>
      <c r="L55">
        <v>7</v>
      </c>
      <c r="M55">
        <v>7</v>
      </c>
      <c r="N55">
        <v>30697.94</v>
      </c>
      <c r="Q55">
        <v>202510</v>
      </c>
    </row>
    <row r="56" spans="1:17" x14ac:dyDescent="0.2">
      <c r="A56" t="s">
        <v>319</v>
      </c>
      <c r="B56" s="59">
        <v>45933.956261574072</v>
      </c>
      <c r="C56" t="s">
        <v>95</v>
      </c>
      <c r="D56" t="s">
        <v>94</v>
      </c>
      <c r="F56" t="s">
        <v>47</v>
      </c>
      <c r="G56" t="s">
        <v>231</v>
      </c>
      <c r="H56" t="s">
        <v>51</v>
      </c>
      <c r="I56" t="s">
        <v>46</v>
      </c>
      <c r="J56" t="s">
        <v>49</v>
      </c>
      <c r="K56" t="s">
        <v>45</v>
      </c>
      <c r="L56">
        <v>7</v>
      </c>
      <c r="M56">
        <v>7</v>
      </c>
      <c r="N56">
        <v>30179.94</v>
      </c>
      <c r="Q56">
        <v>202510</v>
      </c>
    </row>
    <row r="57" spans="1:17" x14ac:dyDescent="0.2">
      <c r="A57" t="s">
        <v>320</v>
      </c>
      <c r="B57" s="59">
        <v>45933.95517361111</v>
      </c>
      <c r="C57" t="s">
        <v>95</v>
      </c>
      <c r="D57" t="s">
        <v>94</v>
      </c>
      <c r="E57" t="s">
        <v>114</v>
      </c>
      <c r="F57" t="s">
        <v>47</v>
      </c>
      <c r="G57" t="s">
        <v>233</v>
      </c>
      <c r="H57" t="s">
        <v>51</v>
      </c>
      <c r="I57" t="s">
        <v>46</v>
      </c>
      <c r="J57" t="s">
        <v>49</v>
      </c>
      <c r="K57" t="s">
        <v>45</v>
      </c>
      <c r="L57">
        <v>7</v>
      </c>
      <c r="M57">
        <v>7</v>
      </c>
      <c r="N57">
        <v>30145.94</v>
      </c>
      <c r="Q57">
        <v>202510</v>
      </c>
    </row>
    <row r="58" spans="1:17" x14ac:dyDescent="0.2">
      <c r="A58" t="s">
        <v>321</v>
      </c>
      <c r="B58" s="59">
        <v>45933.953310185185</v>
      </c>
      <c r="C58" t="s">
        <v>95</v>
      </c>
      <c r="D58" t="s">
        <v>94</v>
      </c>
      <c r="E58" t="s">
        <v>235</v>
      </c>
      <c r="F58" t="s">
        <v>47</v>
      </c>
      <c r="G58" t="s">
        <v>236</v>
      </c>
      <c r="H58" t="s">
        <v>51</v>
      </c>
      <c r="I58" t="s">
        <v>46</v>
      </c>
      <c r="J58" t="s">
        <v>49</v>
      </c>
      <c r="K58" t="s">
        <v>45</v>
      </c>
      <c r="L58">
        <v>7</v>
      </c>
      <c r="M58">
        <v>7</v>
      </c>
      <c r="N58">
        <v>30111.94</v>
      </c>
      <c r="Q58">
        <v>202510</v>
      </c>
    </row>
    <row r="59" spans="1:17" x14ac:dyDescent="0.2">
      <c r="A59" t="s">
        <v>322</v>
      </c>
      <c r="B59" s="59">
        <v>45933.950601851851</v>
      </c>
      <c r="C59" t="s">
        <v>95</v>
      </c>
      <c r="D59" t="s">
        <v>94</v>
      </c>
      <c r="F59" t="s">
        <v>47</v>
      </c>
      <c r="G59" t="s">
        <v>238</v>
      </c>
      <c r="H59" t="s">
        <v>51</v>
      </c>
      <c r="I59" t="s">
        <v>46</v>
      </c>
      <c r="J59" t="s">
        <v>49</v>
      </c>
      <c r="K59" t="s">
        <v>45</v>
      </c>
      <c r="L59">
        <v>7</v>
      </c>
      <c r="M59">
        <v>7</v>
      </c>
      <c r="N59">
        <v>30077.94</v>
      </c>
      <c r="Q59">
        <v>202510</v>
      </c>
    </row>
    <row r="60" spans="1:17" x14ac:dyDescent="0.2">
      <c r="A60" t="s">
        <v>323</v>
      </c>
      <c r="B60" s="59">
        <v>45933.950486111113</v>
      </c>
      <c r="C60" t="s">
        <v>95</v>
      </c>
      <c r="D60" t="s">
        <v>94</v>
      </c>
      <c r="F60" t="s">
        <v>47</v>
      </c>
      <c r="G60" t="s">
        <v>240</v>
      </c>
      <c r="H60" t="s">
        <v>51</v>
      </c>
      <c r="I60" t="s">
        <v>46</v>
      </c>
      <c r="J60" t="s">
        <v>49</v>
      </c>
      <c r="K60" t="s">
        <v>45</v>
      </c>
      <c r="L60">
        <v>7</v>
      </c>
      <c r="M60">
        <v>7</v>
      </c>
      <c r="N60">
        <v>29712.94</v>
      </c>
      <c r="Q60">
        <v>202510</v>
      </c>
    </row>
    <row r="61" spans="1:17" x14ac:dyDescent="0.2">
      <c r="A61" t="s">
        <v>324</v>
      </c>
      <c r="B61" s="59">
        <v>45933.950277777774</v>
      </c>
      <c r="C61" t="s">
        <v>95</v>
      </c>
      <c r="D61" t="s">
        <v>94</v>
      </c>
      <c r="F61" t="s">
        <v>47</v>
      </c>
      <c r="G61" t="s">
        <v>242</v>
      </c>
      <c r="H61" t="s">
        <v>51</v>
      </c>
      <c r="I61" t="s">
        <v>46</v>
      </c>
      <c r="J61" t="s">
        <v>49</v>
      </c>
      <c r="K61" t="s">
        <v>45</v>
      </c>
      <c r="L61">
        <v>7</v>
      </c>
      <c r="M61">
        <v>7</v>
      </c>
      <c r="N61">
        <v>29347.94</v>
      </c>
      <c r="Q61">
        <v>202510</v>
      </c>
    </row>
    <row r="62" spans="1:17" x14ac:dyDescent="0.2">
      <c r="A62" t="s">
        <v>325</v>
      </c>
      <c r="B62" s="59">
        <v>45933.950173611112</v>
      </c>
      <c r="C62" t="s">
        <v>95</v>
      </c>
      <c r="D62" t="s">
        <v>94</v>
      </c>
      <c r="F62" t="s">
        <v>47</v>
      </c>
      <c r="G62" t="s">
        <v>244</v>
      </c>
      <c r="H62" t="s">
        <v>51</v>
      </c>
      <c r="I62" t="s">
        <v>46</v>
      </c>
      <c r="J62" t="s">
        <v>49</v>
      </c>
      <c r="K62" t="s">
        <v>45</v>
      </c>
      <c r="L62">
        <v>7</v>
      </c>
      <c r="M62">
        <v>7</v>
      </c>
      <c r="N62">
        <v>28982.94</v>
      </c>
      <c r="Q62">
        <v>202510</v>
      </c>
    </row>
    <row r="63" spans="1:17" x14ac:dyDescent="0.2">
      <c r="A63" t="s">
        <v>326</v>
      </c>
      <c r="B63" s="59">
        <v>45933.949930555558</v>
      </c>
      <c r="C63" t="s">
        <v>95</v>
      </c>
      <c r="D63" t="s">
        <v>94</v>
      </c>
      <c r="F63" t="s">
        <v>47</v>
      </c>
      <c r="G63" t="s">
        <v>246</v>
      </c>
      <c r="H63" t="s">
        <v>51</v>
      </c>
      <c r="I63" t="s">
        <v>46</v>
      </c>
      <c r="J63" t="s">
        <v>49</v>
      </c>
      <c r="K63" t="s">
        <v>45</v>
      </c>
      <c r="L63">
        <v>7</v>
      </c>
      <c r="M63">
        <v>7</v>
      </c>
      <c r="N63">
        <v>28617.94</v>
      </c>
      <c r="Q63">
        <v>202510</v>
      </c>
    </row>
    <row r="64" spans="1:17" x14ac:dyDescent="0.2">
      <c r="A64" t="s">
        <v>327</v>
      </c>
      <c r="B64" s="59">
        <v>45933.949664351851</v>
      </c>
      <c r="C64" t="s">
        <v>95</v>
      </c>
      <c r="D64" t="s">
        <v>94</v>
      </c>
      <c r="F64" t="s">
        <v>47</v>
      </c>
      <c r="G64" t="s">
        <v>248</v>
      </c>
      <c r="H64" t="s">
        <v>51</v>
      </c>
      <c r="I64" t="s">
        <v>46</v>
      </c>
      <c r="J64" t="s">
        <v>49</v>
      </c>
      <c r="K64" t="s">
        <v>45</v>
      </c>
      <c r="L64">
        <v>7</v>
      </c>
      <c r="M64">
        <v>7</v>
      </c>
      <c r="N64">
        <v>28252.94</v>
      </c>
      <c r="Q64">
        <v>202510</v>
      </c>
    </row>
    <row r="65" spans="1:17" x14ac:dyDescent="0.2">
      <c r="A65" t="s">
        <v>328</v>
      </c>
      <c r="B65" s="59">
        <v>45933.949386574073</v>
      </c>
      <c r="C65" t="s">
        <v>95</v>
      </c>
      <c r="D65" t="s">
        <v>94</v>
      </c>
      <c r="F65" t="s">
        <v>47</v>
      </c>
      <c r="G65" t="s">
        <v>250</v>
      </c>
      <c r="H65" t="s">
        <v>51</v>
      </c>
      <c r="I65" t="s">
        <v>46</v>
      </c>
      <c r="J65" t="s">
        <v>49</v>
      </c>
      <c r="K65" t="s">
        <v>45</v>
      </c>
      <c r="L65">
        <v>7</v>
      </c>
      <c r="M65">
        <v>7</v>
      </c>
      <c r="N65">
        <v>28021.94</v>
      </c>
      <c r="Q65">
        <v>202510</v>
      </c>
    </row>
    <row r="66" spans="1:17" x14ac:dyDescent="0.2">
      <c r="A66" t="s">
        <v>329</v>
      </c>
      <c r="B66" s="59">
        <v>45933.949328703704</v>
      </c>
      <c r="C66" t="s">
        <v>95</v>
      </c>
      <c r="D66" t="s">
        <v>94</v>
      </c>
      <c r="F66" t="s">
        <v>47</v>
      </c>
      <c r="G66" t="s">
        <v>252</v>
      </c>
      <c r="H66" t="s">
        <v>51</v>
      </c>
      <c r="I66" t="s">
        <v>46</v>
      </c>
      <c r="J66" t="s">
        <v>49</v>
      </c>
      <c r="K66" t="s">
        <v>45</v>
      </c>
      <c r="L66">
        <v>7</v>
      </c>
      <c r="M66">
        <v>7</v>
      </c>
      <c r="N66">
        <v>27656.94</v>
      </c>
      <c r="Q66">
        <v>202510</v>
      </c>
    </row>
    <row r="67" spans="1:17" x14ac:dyDescent="0.2">
      <c r="A67" t="s">
        <v>330</v>
      </c>
      <c r="B67" s="59">
        <v>45933.949224537035</v>
      </c>
      <c r="C67" t="s">
        <v>95</v>
      </c>
      <c r="D67" t="s">
        <v>94</v>
      </c>
      <c r="F67" t="s">
        <v>47</v>
      </c>
      <c r="G67" t="s">
        <v>254</v>
      </c>
      <c r="H67" t="s">
        <v>51</v>
      </c>
      <c r="I67" t="s">
        <v>46</v>
      </c>
      <c r="J67" t="s">
        <v>49</v>
      </c>
      <c r="K67" t="s">
        <v>45</v>
      </c>
      <c r="L67">
        <v>7</v>
      </c>
      <c r="M67">
        <v>7</v>
      </c>
      <c r="N67">
        <v>27291.94</v>
      </c>
      <c r="Q67">
        <v>202510</v>
      </c>
    </row>
    <row r="68" spans="1:17" x14ac:dyDescent="0.2">
      <c r="A68" t="s">
        <v>331</v>
      </c>
      <c r="B68" s="59">
        <v>45933.949131944442</v>
      </c>
      <c r="C68" t="s">
        <v>95</v>
      </c>
      <c r="D68" t="s">
        <v>94</v>
      </c>
      <c r="F68" t="s">
        <v>47</v>
      </c>
      <c r="G68" t="s">
        <v>256</v>
      </c>
      <c r="H68" t="s">
        <v>51</v>
      </c>
      <c r="I68" t="s">
        <v>46</v>
      </c>
      <c r="J68" t="s">
        <v>49</v>
      </c>
      <c r="K68" t="s">
        <v>45</v>
      </c>
      <c r="L68">
        <v>7</v>
      </c>
      <c r="M68">
        <v>7</v>
      </c>
      <c r="N68">
        <v>26926.94</v>
      </c>
      <c r="Q68">
        <v>202510</v>
      </c>
    </row>
    <row r="69" spans="1:17" x14ac:dyDescent="0.2">
      <c r="A69" t="s">
        <v>332</v>
      </c>
      <c r="B69" s="59">
        <v>45933.948946759258</v>
      </c>
      <c r="C69" t="s">
        <v>95</v>
      </c>
      <c r="D69" t="s">
        <v>94</v>
      </c>
      <c r="F69" t="s">
        <v>47</v>
      </c>
      <c r="G69" t="s">
        <v>258</v>
      </c>
      <c r="H69" t="s">
        <v>51</v>
      </c>
      <c r="I69" t="s">
        <v>46</v>
      </c>
      <c r="J69" t="s">
        <v>49</v>
      </c>
      <c r="K69" t="s">
        <v>45</v>
      </c>
      <c r="L69">
        <v>7</v>
      </c>
      <c r="M69">
        <v>7</v>
      </c>
      <c r="N69">
        <v>26561.94</v>
      </c>
      <c r="Q69">
        <v>202510</v>
      </c>
    </row>
    <row r="70" spans="1:17" x14ac:dyDescent="0.2">
      <c r="A70" t="s">
        <v>333</v>
      </c>
      <c r="B70" s="59">
        <v>45933.948854166665</v>
      </c>
      <c r="C70" t="s">
        <v>95</v>
      </c>
      <c r="D70" t="s">
        <v>94</v>
      </c>
      <c r="F70" t="s">
        <v>47</v>
      </c>
      <c r="G70" t="s">
        <v>260</v>
      </c>
      <c r="H70" t="s">
        <v>51</v>
      </c>
      <c r="I70" t="s">
        <v>46</v>
      </c>
      <c r="J70" t="s">
        <v>49</v>
      </c>
      <c r="K70" t="s">
        <v>45</v>
      </c>
      <c r="L70">
        <v>7</v>
      </c>
      <c r="M70">
        <v>7</v>
      </c>
      <c r="N70">
        <v>26330.94</v>
      </c>
      <c r="Q70">
        <v>202510</v>
      </c>
    </row>
    <row r="71" spans="1:17" x14ac:dyDescent="0.2">
      <c r="A71" t="s">
        <v>334</v>
      </c>
      <c r="B71" s="59">
        <v>45933.948796296296</v>
      </c>
      <c r="C71" t="s">
        <v>95</v>
      </c>
      <c r="D71" t="s">
        <v>94</v>
      </c>
      <c r="F71" t="s">
        <v>47</v>
      </c>
      <c r="G71" t="s">
        <v>262</v>
      </c>
      <c r="H71" t="s">
        <v>51</v>
      </c>
      <c r="I71" t="s">
        <v>46</v>
      </c>
      <c r="J71" t="s">
        <v>49</v>
      </c>
      <c r="K71" t="s">
        <v>45</v>
      </c>
      <c r="L71">
        <v>7</v>
      </c>
      <c r="M71">
        <v>7</v>
      </c>
      <c r="N71">
        <v>26099.94</v>
      </c>
      <c r="Q71">
        <v>202510</v>
      </c>
    </row>
    <row r="72" spans="1:17" x14ac:dyDescent="0.2">
      <c r="C72" t="s">
        <v>95</v>
      </c>
      <c r="D72" t="s">
        <v>94</v>
      </c>
      <c r="E72" t="s">
        <v>263</v>
      </c>
      <c r="F72" t="s">
        <v>41</v>
      </c>
      <c r="G72" t="s">
        <v>211</v>
      </c>
      <c r="H72" t="s">
        <v>51</v>
      </c>
      <c r="I72" t="s">
        <v>43</v>
      </c>
      <c r="J72" t="s">
        <v>44</v>
      </c>
      <c r="K72" t="s">
        <v>45</v>
      </c>
      <c r="M72">
        <v>-16</v>
      </c>
      <c r="P72" t="s">
        <v>264</v>
      </c>
      <c r="Q72">
        <v>202510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A150-271A-4FF9-A001-307F3A2E3EB1}">
  <dimension ref="A1:Q11"/>
  <sheetViews>
    <sheetView zoomScale="85" zoomScaleNormal="85" workbookViewId="0">
      <pane ySplit="1" topLeftCell="A2" activePane="bottomLeft" state="frozen"/>
      <selection activeCell="M1" sqref="M1:M1048576"/>
      <selection pane="bottomLeft" activeCell="G32" sqref="G32"/>
    </sheetView>
  </sheetViews>
  <sheetFormatPr defaultRowHeight="14.25" x14ac:dyDescent="0.2"/>
  <cols>
    <col min="1" max="2" width="13.25" customWidth="1"/>
    <col min="3" max="3" width="15.75" customWidth="1"/>
    <col min="4" max="4" width="17.125" customWidth="1"/>
    <col min="5" max="5" width="14.375" customWidth="1"/>
    <col min="6" max="6" width="16.5" customWidth="1"/>
    <col min="7" max="7" width="15.75" customWidth="1"/>
    <col min="8" max="8" width="8.625" customWidth="1"/>
    <col min="9" max="9" width="9.5" customWidth="1"/>
    <col min="10" max="10" width="17.5" bestFit="1" customWidth="1"/>
    <col min="11" max="11" width="9.125" customWidth="1"/>
    <col min="12" max="12" width="13.375" customWidth="1"/>
    <col min="13" max="13" width="11.25" bestFit="1" customWidth="1"/>
    <col min="14" max="15" width="11.25" customWidth="1"/>
    <col min="16" max="16" width="9.25" bestFit="1" customWidth="1"/>
    <col min="17" max="17" width="7.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50</v>
      </c>
    </row>
    <row r="2" spans="1:17" x14ac:dyDescent="0.2">
      <c r="A2" t="s">
        <v>335</v>
      </c>
      <c r="B2" s="59">
        <v>45982.695347222223</v>
      </c>
      <c r="C2" t="s">
        <v>95</v>
      </c>
      <c r="D2" t="s">
        <v>94</v>
      </c>
      <c r="F2" t="s">
        <v>41</v>
      </c>
      <c r="G2" t="s">
        <v>336</v>
      </c>
      <c r="H2" t="s">
        <v>65</v>
      </c>
      <c r="I2" t="s">
        <v>46</v>
      </c>
      <c r="J2" t="s">
        <v>44</v>
      </c>
      <c r="K2" t="s">
        <v>45</v>
      </c>
      <c r="L2">
        <v>1188.05</v>
      </c>
      <c r="M2">
        <v>1188.05</v>
      </c>
      <c r="N2">
        <v>40914.17</v>
      </c>
      <c r="P2" t="s">
        <v>337</v>
      </c>
      <c r="Q2">
        <v>202510</v>
      </c>
    </row>
    <row r="3" spans="1:17" x14ac:dyDescent="0.2">
      <c r="A3" t="s">
        <v>338</v>
      </c>
      <c r="B3" s="59">
        <v>45982.695347222223</v>
      </c>
      <c r="C3" t="s">
        <v>95</v>
      </c>
      <c r="D3" t="s">
        <v>94</v>
      </c>
      <c r="F3" t="s">
        <v>41</v>
      </c>
      <c r="G3" t="s">
        <v>336</v>
      </c>
      <c r="H3" t="s">
        <v>65</v>
      </c>
      <c r="I3" t="s">
        <v>46</v>
      </c>
      <c r="J3" t="s">
        <v>44</v>
      </c>
      <c r="K3" t="s">
        <v>45</v>
      </c>
      <c r="L3">
        <v>29.84</v>
      </c>
      <c r="M3">
        <v>29.84</v>
      </c>
      <c r="N3">
        <v>31907.34</v>
      </c>
      <c r="P3" t="s">
        <v>339</v>
      </c>
      <c r="Q3">
        <v>202510</v>
      </c>
    </row>
    <row r="4" spans="1:17" x14ac:dyDescent="0.2">
      <c r="A4" t="s">
        <v>340</v>
      </c>
      <c r="B4" s="59">
        <v>45982.695347222223</v>
      </c>
      <c r="C4" t="s">
        <v>95</v>
      </c>
      <c r="D4" t="s">
        <v>94</v>
      </c>
      <c r="F4" t="s">
        <v>41</v>
      </c>
      <c r="G4" t="s">
        <v>336</v>
      </c>
      <c r="H4" t="s">
        <v>65</v>
      </c>
      <c r="I4" t="s">
        <v>46</v>
      </c>
      <c r="J4" t="s">
        <v>44</v>
      </c>
      <c r="K4" t="s">
        <v>45</v>
      </c>
      <c r="L4">
        <v>852.03</v>
      </c>
      <c r="M4">
        <v>852.03</v>
      </c>
      <c r="N4">
        <v>32759.37</v>
      </c>
      <c r="P4" t="s">
        <v>341</v>
      </c>
      <c r="Q4">
        <v>202510</v>
      </c>
    </row>
    <row r="5" spans="1:17" x14ac:dyDescent="0.2">
      <c r="A5" t="s">
        <v>342</v>
      </c>
      <c r="B5" s="59">
        <v>45982.695347222223</v>
      </c>
      <c r="C5" t="s">
        <v>95</v>
      </c>
      <c r="D5" t="s">
        <v>94</v>
      </c>
      <c r="F5" t="s">
        <v>41</v>
      </c>
      <c r="G5" t="s">
        <v>336</v>
      </c>
      <c r="H5" t="s">
        <v>65</v>
      </c>
      <c r="I5" t="s">
        <v>46</v>
      </c>
      <c r="J5" t="s">
        <v>44</v>
      </c>
      <c r="K5" t="s">
        <v>45</v>
      </c>
      <c r="L5">
        <v>6678.17</v>
      </c>
      <c r="M5">
        <v>6678.17</v>
      </c>
      <c r="N5">
        <v>39437.54</v>
      </c>
      <c r="P5" t="s">
        <v>343</v>
      </c>
      <c r="Q5">
        <v>202510</v>
      </c>
    </row>
    <row r="6" spans="1:17" x14ac:dyDescent="0.2">
      <c r="A6" t="s">
        <v>344</v>
      </c>
      <c r="B6" s="59">
        <v>45982.695347222223</v>
      </c>
      <c r="C6" t="s">
        <v>95</v>
      </c>
      <c r="D6" t="s">
        <v>94</v>
      </c>
      <c r="F6" t="s">
        <v>41</v>
      </c>
      <c r="G6" t="s">
        <v>336</v>
      </c>
      <c r="H6" t="s">
        <v>65</v>
      </c>
      <c r="I6" t="s">
        <v>46</v>
      </c>
      <c r="J6" t="s">
        <v>44</v>
      </c>
      <c r="K6" t="s">
        <v>45</v>
      </c>
      <c r="L6">
        <v>288.58</v>
      </c>
      <c r="M6">
        <v>288.58</v>
      </c>
      <c r="N6">
        <v>39726.120000000003</v>
      </c>
      <c r="P6" t="s">
        <v>345</v>
      </c>
      <c r="Q6">
        <v>202510</v>
      </c>
    </row>
    <row r="7" spans="1:17" x14ac:dyDescent="0.2">
      <c r="A7" t="s">
        <v>346</v>
      </c>
      <c r="B7" s="59">
        <v>45982.695347222223</v>
      </c>
      <c r="C7" t="s">
        <v>95</v>
      </c>
      <c r="D7" t="s">
        <v>94</v>
      </c>
      <c r="F7" t="s">
        <v>41</v>
      </c>
      <c r="G7" t="s">
        <v>336</v>
      </c>
      <c r="H7" t="s">
        <v>65</v>
      </c>
      <c r="I7" t="s">
        <v>46</v>
      </c>
      <c r="J7" t="s">
        <v>44</v>
      </c>
      <c r="K7" t="s">
        <v>45</v>
      </c>
      <c r="L7">
        <v>240.17</v>
      </c>
      <c r="M7">
        <v>240.17</v>
      </c>
      <c r="N7">
        <v>31877.5</v>
      </c>
      <c r="P7" t="s">
        <v>347</v>
      </c>
      <c r="Q7">
        <v>202510</v>
      </c>
    </row>
    <row r="8" spans="1:17" x14ac:dyDescent="0.2">
      <c r="A8" t="s">
        <v>348</v>
      </c>
      <c r="B8" s="59">
        <v>45982.695347222223</v>
      </c>
      <c r="C8" t="s">
        <v>95</v>
      </c>
      <c r="D8" t="s">
        <v>94</v>
      </c>
      <c r="F8" t="s">
        <v>41</v>
      </c>
      <c r="G8" t="s">
        <v>336</v>
      </c>
      <c r="H8" t="s">
        <v>65</v>
      </c>
      <c r="I8" t="s">
        <v>46</v>
      </c>
      <c r="J8" t="s">
        <v>44</v>
      </c>
      <c r="K8" t="s">
        <v>45</v>
      </c>
      <c r="L8">
        <v>391.77</v>
      </c>
      <c r="M8">
        <v>391.77</v>
      </c>
      <c r="N8">
        <v>31637.33</v>
      </c>
      <c r="P8" t="s">
        <v>349</v>
      </c>
      <c r="Q8">
        <v>202510</v>
      </c>
    </row>
    <row r="9" spans="1:17" x14ac:dyDescent="0.2">
      <c r="A9" t="s">
        <v>350</v>
      </c>
      <c r="B9" s="59">
        <v>45982.695347222223</v>
      </c>
      <c r="C9" t="s">
        <v>95</v>
      </c>
      <c r="D9" t="s">
        <v>94</v>
      </c>
      <c r="F9" t="s">
        <v>41</v>
      </c>
      <c r="G9" t="s">
        <v>336</v>
      </c>
      <c r="H9" t="s">
        <v>65</v>
      </c>
      <c r="I9" t="s">
        <v>46</v>
      </c>
      <c r="J9" t="s">
        <v>44</v>
      </c>
      <c r="K9" t="s">
        <v>45</v>
      </c>
      <c r="L9">
        <v>1056.76</v>
      </c>
      <c r="M9">
        <v>1056.76</v>
      </c>
      <c r="N9">
        <v>31245.56</v>
      </c>
      <c r="P9" t="s">
        <v>351</v>
      </c>
      <c r="Q9">
        <v>202510</v>
      </c>
    </row>
    <row r="10" spans="1:17" x14ac:dyDescent="0.2">
      <c r="A10" t="s">
        <v>352</v>
      </c>
      <c r="B10" s="59">
        <v>45982.695347222223</v>
      </c>
      <c r="C10" t="s">
        <v>95</v>
      </c>
      <c r="D10" t="s">
        <v>94</v>
      </c>
      <c r="F10" t="s">
        <v>41</v>
      </c>
      <c r="G10" t="s">
        <v>336</v>
      </c>
      <c r="H10" t="s">
        <v>65</v>
      </c>
      <c r="I10" t="s">
        <v>46</v>
      </c>
      <c r="J10" t="s">
        <v>44</v>
      </c>
      <c r="K10" t="s">
        <v>45</v>
      </c>
      <c r="L10">
        <v>1048.48</v>
      </c>
      <c r="M10">
        <v>1048.48</v>
      </c>
      <c r="N10">
        <v>30188.799999999999</v>
      </c>
      <c r="P10" t="s">
        <v>353</v>
      </c>
      <c r="Q10">
        <v>202510</v>
      </c>
    </row>
    <row r="11" spans="1:17" x14ac:dyDescent="0.2">
      <c r="A11" t="s">
        <v>354</v>
      </c>
      <c r="B11" s="59">
        <v>45982.695347222223</v>
      </c>
      <c r="C11" t="s">
        <v>95</v>
      </c>
      <c r="D11" t="s">
        <v>94</v>
      </c>
      <c r="F11" t="s">
        <v>41</v>
      </c>
      <c r="G11" t="s">
        <v>336</v>
      </c>
      <c r="H11" t="s">
        <v>65</v>
      </c>
      <c r="I11" t="s">
        <v>46</v>
      </c>
      <c r="J11" t="s">
        <v>44</v>
      </c>
      <c r="K11" t="s">
        <v>45</v>
      </c>
      <c r="L11">
        <v>12.69</v>
      </c>
      <c r="M11">
        <v>12.69</v>
      </c>
      <c r="N11">
        <v>29140.32</v>
      </c>
      <c r="P11" t="s">
        <v>355</v>
      </c>
      <c r="Q11">
        <v>202510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18E0-D3E8-4F8C-A868-5B17CF4EFA38}">
  <sheetPr codeName="Sheet1"/>
  <dimension ref="A1:J234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8" t="s">
        <v>52</v>
      </c>
      <c r="B1" s="28" t="s">
        <v>53</v>
      </c>
      <c r="C1" s="29" t="s">
        <v>54</v>
      </c>
      <c r="D1" s="29" t="s">
        <v>55</v>
      </c>
      <c r="E1" s="28" t="s">
        <v>56</v>
      </c>
      <c r="F1" s="28" t="s">
        <v>57</v>
      </c>
      <c r="G1" s="28" t="s">
        <v>58</v>
      </c>
      <c r="H1" s="28" t="s">
        <v>59</v>
      </c>
      <c r="I1" s="28" t="s">
        <v>60</v>
      </c>
      <c r="J1" s="28" t="s">
        <v>61</v>
      </c>
    </row>
    <row r="2" spans="1:10" x14ac:dyDescent="0.2">
      <c r="A2" t="s">
        <v>115</v>
      </c>
      <c r="B2" t="s">
        <v>114</v>
      </c>
      <c r="C2" t="s">
        <v>94</v>
      </c>
      <c r="D2" t="s">
        <v>95</v>
      </c>
      <c r="E2" t="s">
        <v>356</v>
      </c>
      <c r="F2" t="s">
        <v>357</v>
      </c>
      <c r="G2">
        <v>1</v>
      </c>
      <c r="H2" t="s">
        <v>45</v>
      </c>
      <c r="I2">
        <v>149</v>
      </c>
      <c r="J2">
        <v>149</v>
      </c>
    </row>
    <row r="3" spans="1:10" x14ac:dyDescent="0.2">
      <c r="A3" t="s">
        <v>117</v>
      </c>
      <c r="B3" t="s">
        <v>263</v>
      </c>
      <c r="C3" t="s">
        <v>94</v>
      </c>
      <c r="D3" t="s">
        <v>95</v>
      </c>
      <c r="E3" t="s">
        <v>358</v>
      </c>
      <c r="F3" t="s">
        <v>359</v>
      </c>
      <c r="G3">
        <v>1</v>
      </c>
      <c r="H3" t="s">
        <v>45</v>
      </c>
      <c r="I3">
        <v>261.25</v>
      </c>
      <c r="J3">
        <v>261.25</v>
      </c>
    </row>
    <row r="4" spans="1:10" x14ac:dyDescent="0.2">
      <c r="A4" t="s">
        <v>112</v>
      </c>
      <c r="B4" t="s">
        <v>263</v>
      </c>
      <c r="C4" t="s">
        <v>94</v>
      </c>
      <c r="D4" t="s">
        <v>95</v>
      </c>
      <c r="E4" t="s">
        <v>358</v>
      </c>
      <c r="F4" t="s">
        <v>359</v>
      </c>
      <c r="G4">
        <v>1</v>
      </c>
      <c r="H4" t="s">
        <v>45</v>
      </c>
      <c r="I4">
        <v>261.25</v>
      </c>
      <c r="J4">
        <v>261.25</v>
      </c>
    </row>
    <row r="5" spans="1:10" x14ac:dyDescent="0.2">
      <c r="A5" t="s">
        <v>119</v>
      </c>
      <c r="B5" t="s">
        <v>263</v>
      </c>
      <c r="C5" t="s">
        <v>94</v>
      </c>
      <c r="D5" t="s">
        <v>95</v>
      </c>
      <c r="E5" t="s">
        <v>360</v>
      </c>
      <c r="F5" t="s">
        <v>361</v>
      </c>
      <c r="G5">
        <v>1</v>
      </c>
      <c r="H5" t="s">
        <v>45</v>
      </c>
      <c r="I5">
        <v>224</v>
      </c>
      <c r="J5">
        <v>224</v>
      </c>
    </row>
    <row r="6" spans="1:10" x14ac:dyDescent="0.2">
      <c r="A6" t="s">
        <v>108</v>
      </c>
      <c r="B6" t="s">
        <v>107</v>
      </c>
      <c r="C6" t="s">
        <v>94</v>
      </c>
      <c r="D6" t="s">
        <v>95</v>
      </c>
      <c r="E6" t="s">
        <v>362</v>
      </c>
      <c r="F6" t="s">
        <v>363</v>
      </c>
      <c r="G6">
        <v>2</v>
      </c>
      <c r="H6" t="s">
        <v>45</v>
      </c>
      <c r="I6">
        <v>141.56</v>
      </c>
      <c r="J6">
        <v>283.12</v>
      </c>
    </row>
    <row r="7" spans="1:10" x14ac:dyDescent="0.2">
      <c r="A7" t="s">
        <v>133</v>
      </c>
      <c r="B7" t="s">
        <v>263</v>
      </c>
      <c r="C7" t="s">
        <v>94</v>
      </c>
      <c r="D7" t="s">
        <v>95</v>
      </c>
      <c r="E7" t="s">
        <v>360</v>
      </c>
      <c r="F7" t="s">
        <v>361</v>
      </c>
      <c r="G7">
        <v>1</v>
      </c>
      <c r="H7" t="s">
        <v>45</v>
      </c>
      <c r="I7">
        <v>224</v>
      </c>
      <c r="J7">
        <v>224</v>
      </c>
    </row>
    <row r="8" spans="1:10" x14ac:dyDescent="0.2">
      <c r="A8" t="s">
        <v>131</v>
      </c>
      <c r="B8" t="s">
        <v>107</v>
      </c>
      <c r="C8" t="s">
        <v>94</v>
      </c>
      <c r="D8" t="s">
        <v>95</v>
      </c>
      <c r="E8" t="s">
        <v>364</v>
      </c>
      <c r="F8" t="s">
        <v>365</v>
      </c>
      <c r="G8">
        <v>1</v>
      </c>
      <c r="H8" t="s">
        <v>45</v>
      </c>
      <c r="I8">
        <v>6</v>
      </c>
      <c r="J8">
        <v>6</v>
      </c>
    </row>
    <row r="9" spans="1:10" x14ac:dyDescent="0.2">
      <c r="A9" t="s">
        <v>129</v>
      </c>
      <c r="B9" t="s">
        <v>263</v>
      </c>
      <c r="C9" t="s">
        <v>94</v>
      </c>
      <c r="D9" t="s">
        <v>95</v>
      </c>
      <c r="E9" t="s">
        <v>360</v>
      </c>
      <c r="F9" t="s">
        <v>361</v>
      </c>
      <c r="G9">
        <v>1</v>
      </c>
      <c r="H9" t="s">
        <v>45</v>
      </c>
      <c r="I9">
        <v>224</v>
      </c>
      <c r="J9">
        <v>224</v>
      </c>
    </row>
    <row r="10" spans="1:10" x14ac:dyDescent="0.2">
      <c r="A10" t="s">
        <v>127</v>
      </c>
      <c r="B10" t="s">
        <v>263</v>
      </c>
      <c r="C10" t="s">
        <v>94</v>
      </c>
      <c r="D10" t="s">
        <v>95</v>
      </c>
      <c r="E10" t="s">
        <v>366</v>
      </c>
      <c r="F10" t="s">
        <v>367</v>
      </c>
      <c r="G10">
        <v>1</v>
      </c>
      <c r="H10" t="s">
        <v>45</v>
      </c>
      <c r="I10">
        <v>32</v>
      </c>
      <c r="J10">
        <v>32</v>
      </c>
    </row>
    <row r="11" spans="1:10" x14ac:dyDescent="0.2">
      <c r="A11" t="s">
        <v>127</v>
      </c>
      <c r="B11" t="s">
        <v>263</v>
      </c>
      <c r="C11" t="s">
        <v>94</v>
      </c>
      <c r="D11" t="s">
        <v>95</v>
      </c>
      <c r="E11" t="s">
        <v>368</v>
      </c>
      <c r="F11" t="s">
        <v>369</v>
      </c>
      <c r="G11">
        <v>1</v>
      </c>
      <c r="H11" t="s">
        <v>45</v>
      </c>
      <c r="I11">
        <v>4</v>
      </c>
      <c r="J11">
        <v>4</v>
      </c>
    </row>
    <row r="12" spans="1:10" x14ac:dyDescent="0.2">
      <c r="A12" t="s">
        <v>127</v>
      </c>
      <c r="B12" t="s">
        <v>263</v>
      </c>
      <c r="C12" t="s">
        <v>94</v>
      </c>
      <c r="D12" t="s">
        <v>95</v>
      </c>
      <c r="E12" t="s">
        <v>370</v>
      </c>
      <c r="F12" t="s">
        <v>371</v>
      </c>
      <c r="G12">
        <v>1</v>
      </c>
      <c r="H12" t="s">
        <v>45</v>
      </c>
      <c r="I12">
        <v>1</v>
      </c>
      <c r="J12">
        <v>1</v>
      </c>
    </row>
    <row r="13" spans="1:10" x14ac:dyDescent="0.2">
      <c r="A13" t="s">
        <v>127</v>
      </c>
      <c r="B13" t="s">
        <v>263</v>
      </c>
      <c r="C13" t="s">
        <v>94</v>
      </c>
      <c r="D13" t="s">
        <v>95</v>
      </c>
      <c r="E13" t="s">
        <v>372</v>
      </c>
      <c r="F13" t="s">
        <v>373</v>
      </c>
      <c r="G13">
        <v>3</v>
      </c>
      <c r="H13" t="s">
        <v>45</v>
      </c>
      <c r="I13">
        <v>0.22</v>
      </c>
      <c r="J13">
        <v>0.66</v>
      </c>
    </row>
    <row r="14" spans="1:10" x14ac:dyDescent="0.2">
      <c r="A14" t="s">
        <v>127</v>
      </c>
      <c r="B14" t="s">
        <v>263</v>
      </c>
      <c r="C14" t="s">
        <v>94</v>
      </c>
      <c r="D14" t="s">
        <v>95</v>
      </c>
      <c r="E14" t="s">
        <v>374</v>
      </c>
      <c r="F14" t="s">
        <v>375</v>
      </c>
      <c r="G14">
        <v>1</v>
      </c>
      <c r="H14" t="s">
        <v>45</v>
      </c>
      <c r="I14">
        <v>19</v>
      </c>
      <c r="J14">
        <v>19</v>
      </c>
    </row>
    <row r="15" spans="1:10" x14ac:dyDescent="0.2">
      <c r="A15" t="s">
        <v>127</v>
      </c>
      <c r="B15" t="s">
        <v>263</v>
      </c>
      <c r="C15" t="s">
        <v>94</v>
      </c>
      <c r="D15" t="s">
        <v>95</v>
      </c>
      <c r="E15" t="s">
        <v>376</v>
      </c>
      <c r="F15" t="s">
        <v>377</v>
      </c>
      <c r="G15">
        <v>2</v>
      </c>
      <c r="H15" t="s">
        <v>45</v>
      </c>
      <c r="I15">
        <v>0.22</v>
      </c>
      <c r="J15">
        <v>0.44</v>
      </c>
    </row>
    <row r="16" spans="1:10" x14ac:dyDescent="0.2">
      <c r="A16" t="s">
        <v>127</v>
      </c>
      <c r="B16" t="s">
        <v>263</v>
      </c>
      <c r="C16" t="s">
        <v>94</v>
      </c>
      <c r="D16" t="s">
        <v>95</v>
      </c>
      <c r="E16" t="s">
        <v>378</v>
      </c>
      <c r="F16" t="s">
        <v>379</v>
      </c>
      <c r="G16">
        <v>1</v>
      </c>
      <c r="H16" t="s">
        <v>45</v>
      </c>
      <c r="I16">
        <v>0.17</v>
      </c>
      <c r="J16">
        <v>0.17</v>
      </c>
    </row>
    <row r="17" spans="1:10" x14ac:dyDescent="0.2">
      <c r="A17" t="s">
        <v>127</v>
      </c>
      <c r="B17" t="s">
        <v>263</v>
      </c>
      <c r="C17" t="s">
        <v>94</v>
      </c>
      <c r="D17" t="s">
        <v>95</v>
      </c>
      <c r="E17" t="s">
        <v>62</v>
      </c>
      <c r="F17" t="s">
        <v>63</v>
      </c>
      <c r="G17">
        <v>2</v>
      </c>
      <c r="H17" t="s">
        <v>45</v>
      </c>
      <c r="I17">
        <v>80</v>
      </c>
      <c r="J17">
        <v>160</v>
      </c>
    </row>
    <row r="18" spans="1:10" x14ac:dyDescent="0.2">
      <c r="A18" t="s">
        <v>127</v>
      </c>
      <c r="B18" t="s">
        <v>263</v>
      </c>
      <c r="C18" t="s">
        <v>94</v>
      </c>
      <c r="D18" t="s">
        <v>95</v>
      </c>
      <c r="E18" t="s">
        <v>380</v>
      </c>
      <c r="F18" t="s">
        <v>381</v>
      </c>
      <c r="G18">
        <v>2</v>
      </c>
      <c r="H18" t="s">
        <v>45</v>
      </c>
      <c r="I18">
        <v>0.43</v>
      </c>
      <c r="J18">
        <v>0.86</v>
      </c>
    </row>
    <row r="19" spans="1:10" x14ac:dyDescent="0.2">
      <c r="A19" t="s">
        <v>127</v>
      </c>
      <c r="B19" t="s">
        <v>263</v>
      </c>
      <c r="C19" t="s">
        <v>94</v>
      </c>
      <c r="D19" t="s">
        <v>95</v>
      </c>
      <c r="E19" t="s">
        <v>382</v>
      </c>
      <c r="F19" t="s">
        <v>383</v>
      </c>
      <c r="G19">
        <v>2</v>
      </c>
      <c r="H19" t="s">
        <v>45</v>
      </c>
      <c r="I19">
        <v>11</v>
      </c>
      <c r="J19">
        <v>22</v>
      </c>
    </row>
    <row r="20" spans="1:10" x14ac:dyDescent="0.2">
      <c r="A20" t="s">
        <v>127</v>
      </c>
      <c r="B20" t="s">
        <v>263</v>
      </c>
      <c r="C20" t="s">
        <v>94</v>
      </c>
      <c r="D20" t="s">
        <v>95</v>
      </c>
      <c r="E20" t="s">
        <v>384</v>
      </c>
      <c r="F20" t="s">
        <v>385</v>
      </c>
      <c r="G20">
        <v>1</v>
      </c>
      <c r="H20" t="s">
        <v>45</v>
      </c>
      <c r="I20">
        <v>0.52</v>
      </c>
      <c r="J20">
        <v>0.52</v>
      </c>
    </row>
    <row r="21" spans="1:10" x14ac:dyDescent="0.2">
      <c r="A21" t="s">
        <v>127</v>
      </c>
      <c r="B21" t="s">
        <v>263</v>
      </c>
      <c r="C21" t="s">
        <v>94</v>
      </c>
      <c r="D21" t="s">
        <v>95</v>
      </c>
      <c r="E21" t="s">
        <v>386</v>
      </c>
      <c r="F21" t="s">
        <v>387</v>
      </c>
      <c r="G21">
        <v>4</v>
      </c>
      <c r="H21" t="s">
        <v>45</v>
      </c>
      <c r="I21">
        <v>11</v>
      </c>
      <c r="J21">
        <v>44</v>
      </c>
    </row>
    <row r="22" spans="1:10" x14ac:dyDescent="0.2">
      <c r="A22" t="s">
        <v>127</v>
      </c>
      <c r="B22" t="s">
        <v>263</v>
      </c>
      <c r="C22" t="s">
        <v>94</v>
      </c>
      <c r="D22" t="s">
        <v>95</v>
      </c>
      <c r="E22" t="s">
        <v>388</v>
      </c>
      <c r="F22" t="s">
        <v>389</v>
      </c>
      <c r="G22">
        <v>1</v>
      </c>
      <c r="H22" t="s">
        <v>45</v>
      </c>
      <c r="I22">
        <v>13</v>
      </c>
      <c r="J22">
        <v>13</v>
      </c>
    </row>
    <row r="23" spans="1:10" x14ac:dyDescent="0.2">
      <c r="A23" t="s">
        <v>127</v>
      </c>
      <c r="B23" t="s">
        <v>263</v>
      </c>
      <c r="C23" t="s">
        <v>94</v>
      </c>
      <c r="D23" t="s">
        <v>95</v>
      </c>
      <c r="E23" t="s">
        <v>390</v>
      </c>
      <c r="F23" t="s">
        <v>391</v>
      </c>
      <c r="G23">
        <v>1</v>
      </c>
      <c r="H23" t="s">
        <v>45</v>
      </c>
      <c r="I23">
        <v>19</v>
      </c>
      <c r="J23">
        <v>19</v>
      </c>
    </row>
    <row r="24" spans="1:10" x14ac:dyDescent="0.2">
      <c r="A24" t="s">
        <v>127</v>
      </c>
      <c r="B24" t="s">
        <v>263</v>
      </c>
      <c r="C24" t="s">
        <v>94</v>
      </c>
      <c r="D24" t="s">
        <v>95</v>
      </c>
      <c r="E24" t="s">
        <v>392</v>
      </c>
      <c r="F24" t="s">
        <v>393</v>
      </c>
      <c r="G24">
        <v>1</v>
      </c>
      <c r="H24" t="s">
        <v>45</v>
      </c>
      <c r="I24">
        <v>5</v>
      </c>
      <c r="J24">
        <v>5</v>
      </c>
    </row>
    <row r="25" spans="1:10" x14ac:dyDescent="0.2">
      <c r="A25" t="s">
        <v>127</v>
      </c>
      <c r="B25" t="s">
        <v>263</v>
      </c>
      <c r="C25" t="s">
        <v>94</v>
      </c>
      <c r="D25" t="s">
        <v>95</v>
      </c>
      <c r="E25" t="s">
        <v>394</v>
      </c>
      <c r="F25" t="s">
        <v>395</v>
      </c>
      <c r="G25">
        <v>1</v>
      </c>
      <c r="H25" t="s">
        <v>45</v>
      </c>
      <c r="I25">
        <v>1</v>
      </c>
      <c r="J25">
        <v>1</v>
      </c>
    </row>
    <row r="26" spans="1:10" x14ac:dyDescent="0.2">
      <c r="A26" t="s">
        <v>127</v>
      </c>
      <c r="B26" t="s">
        <v>263</v>
      </c>
      <c r="C26" t="s">
        <v>94</v>
      </c>
      <c r="D26" t="s">
        <v>95</v>
      </c>
      <c r="E26" t="s">
        <v>396</v>
      </c>
      <c r="F26" t="s">
        <v>397</v>
      </c>
      <c r="G26">
        <v>1</v>
      </c>
      <c r="H26" t="s">
        <v>45</v>
      </c>
      <c r="I26">
        <v>0.22</v>
      </c>
      <c r="J26">
        <v>0.22</v>
      </c>
    </row>
    <row r="27" spans="1:10" x14ac:dyDescent="0.2">
      <c r="A27" t="s">
        <v>125</v>
      </c>
      <c r="B27" t="s">
        <v>124</v>
      </c>
      <c r="C27" t="s">
        <v>94</v>
      </c>
      <c r="D27" t="s">
        <v>95</v>
      </c>
      <c r="E27" t="s">
        <v>398</v>
      </c>
      <c r="F27" t="s">
        <v>399</v>
      </c>
      <c r="G27">
        <v>1</v>
      </c>
      <c r="H27" t="s">
        <v>45</v>
      </c>
      <c r="I27">
        <v>432</v>
      </c>
      <c r="J27">
        <v>432</v>
      </c>
    </row>
    <row r="28" spans="1:10" x14ac:dyDescent="0.2">
      <c r="A28" t="s">
        <v>122</v>
      </c>
      <c r="B28" t="s">
        <v>121</v>
      </c>
      <c r="C28" t="s">
        <v>94</v>
      </c>
      <c r="D28" t="s">
        <v>95</v>
      </c>
      <c r="E28" t="s">
        <v>400</v>
      </c>
      <c r="F28" t="s">
        <v>401</v>
      </c>
      <c r="G28">
        <v>1</v>
      </c>
      <c r="H28" t="s">
        <v>45</v>
      </c>
      <c r="I28">
        <v>570</v>
      </c>
      <c r="J28">
        <v>570</v>
      </c>
    </row>
    <row r="29" spans="1:10" x14ac:dyDescent="0.2">
      <c r="A29" t="s">
        <v>135</v>
      </c>
      <c r="B29" t="s">
        <v>114</v>
      </c>
      <c r="C29" t="s">
        <v>94</v>
      </c>
      <c r="D29" t="s">
        <v>95</v>
      </c>
      <c r="E29" t="s">
        <v>402</v>
      </c>
      <c r="F29" t="s">
        <v>403</v>
      </c>
      <c r="G29">
        <v>1</v>
      </c>
      <c r="H29" t="s">
        <v>45</v>
      </c>
      <c r="I29">
        <v>0.43</v>
      </c>
      <c r="J29">
        <v>0.43</v>
      </c>
    </row>
    <row r="30" spans="1:10" x14ac:dyDescent="0.2">
      <c r="A30" t="s">
        <v>135</v>
      </c>
      <c r="B30" t="s">
        <v>114</v>
      </c>
      <c r="C30" t="s">
        <v>94</v>
      </c>
      <c r="D30" t="s">
        <v>95</v>
      </c>
      <c r="E30" t="s">
        <v>382</v>
      </c>
      <c r="F30" t="s">
        <v>383</v>
      </c>
      <c r="G30">
        <v>1</v>
      </c>
      <c r="H30" t="s">
        <v>45</v>
      </c>
      <c r="I30">
        <v>11</v>
      </c>
      <c r="J30">
        <v>11</v>
      </c>
    </row>
    <row r="31" spans="1:10" x14ac:dyDescent="0.2">
      <c r="A31" t="s">
        <v>135</v>
      </c>
      <c r="B31" t="s">
        <v>114</v>
      </c>
      <c r="C31" t="s">
        <v>94</v>
      </c>
      <c r="D31" t="s">
        <v>95</v>
      </c>
      <c r="E31" t="s">
        <v>398</v>
      </c>
      <c r="F31" t="s">
        <v>399</v>
      </c>
      <c r="G31">
        <v>1</v>
      </c>
      <c r="H31" t="s">
        <v>45</v>
      </c>
      <c r="I31">
        <v>432</v>
      </c>
      <c r="J31">
        <v>432</v>
      </c>
    </row>
    <row r="32" spans="1:10" x14ac:dyDescent="0.2">
      <c r="A32" t="s">
        <v>135</v>
      </c>
      <c r="B32" t="s">
        <v>114</v>
      </c>
      <c r="C32" t="s">
        <v>94</v>
      </c>
      <c r="D32" t="s">
        <v>95</v>
      </c>
      <c r="E32" t="s">
        <v>374</v>
      </c>
      <c r="F32" t="s">
        <v>375</v>
      </c>
      <c r="G32">
        <v>1</v>
      </c>
      <c r="H32" t="s">
        <v>45</v>
      </c>
      <c r="I32">
        <v>19</v>
      </c>
      <c r="J32">
        <v>19</v>
      </c>
    </row>
    <row r="33" spans="1:10" x14ac:dyDescent="0.2">
      <c r="A33" t="s">
        <v>135</v>
      </c>
      <c r="B33" t="s">
        <v>114</v>
      </c>
      <c r="C33" t="s">
        <v>94</v>
      </c>
      <c r="D33" t="s">
        <v>95</v>
      </c>
      <c r="E33" t="s">
        <v>404</v>
      </c>
      <c r="F33" t="s">
        <v>405</v>
      </c>
      <c r="G33">
        <v>1</v>
      </c>
      <c r="H33" t="s">
        <v>45</v>
      </c>
      <c r="I33">
        <v>11</v>
      </c>
      <c r="J33">
        <v>11</v>
      </c>
    </row>
    <row r="34" spans="1:10" x14ac:dyDescent="0.2">
      <c r="A34" t="s">
        <v>135</v>
      </c>
      <c r="B34" t="s">
        <v>114</v>
      </c>
      <c r="C34" t="s">
        <v>94</v>
      </c>
      <c r="D34" t="s">
        <v>95</v>
      </c>
      <c r="E34" t="s">
        <v>388</v>
      </c>
      <c r="F34" t="s">
        <v>389</v>
      </c>
      <c r="G34">
        <v>2</v>
      </c>
      <c r="H34" t="s">
        <v>45</v>
      </c>
      <c r="I34">
        <v>13</v>
      </c>
      <c r="J34">
        <v>26</v>
      </c>
    </row>
    <row r="35" spans="1:10" x14ac:dyDescent="0.2">
      <c r="A35" t="s">
        <v>135</v>
      </c>
      <c r="B35" t="s">
        <v>114</v>
      </c>
      <c r="C35" t="s">
        <v>94</v>
      </c>
      <c r="D35" t="s">
        <v>95</v>
      </c>
      <c r="E35" t="s">
        <v>370</v>
      </c>
      <c r="F35" t="s">
        <v>371</v>
      </c>
      <c r="G35">
        <v>1</v>
      </c>
      <c r="H35" t="s">
        <v>45</v>
      </c>
      <c r="I35">
        <v>1</v>
      </c>
      <c r="J35">
        <v>1</v>
      </c>
    </row>
    <row r="36" spans="1:10" x14ac:dyDescent="0.2">
      <c r="A36" t="s">
        <v>110</v>
      </c>
      <c r="B36" t="s">
        <v>263</v>
      </c>
      <c r="C36" t="s">
        <v>94</v>
      </c>
      <c r="D36" t="s">
        <v>95</v>
      </c>
      <c r="E36" t="s">
        <v>382</v>
      </c>
      <c r="F36" t="s">
        <v>383</v>
      </c>
      <c r="G36">
        <v>4</v>
      </c>
      <c r="H36" t="s">
        <v>45</v>
      </c>
      <c r="I36">
        <v>11</v>
      </c>
      <c r="J36">
        <v>44</v>
      </c>
    </row>
    <row r="37" spans="1:10" x14ac:dyDescent="0.2">
      <c r="A37" t="s">
        <v>110</v>
      </c>
      <c r="B37" t="s">
        <v>263</v>
      </c>
      <c r="C37" t="s">
        <v>94</v>
      </c>
      <c r="D37" t="s">
        <v>95</v>
      </c>
      <c r="E37" t="s">
        <v>406</v>
      </c>
      <c r="F37" t="s">
        <v>407</v>
      </c>
      <c r="G37">
        <v>1</v>
      </c>
      <c r="H37" t="s">
        <v>45</v>
      </c>
      <c r="I37">
        <v>19</v>
      </c>
      <c r="J37">
        <v>19</v>
      </c>
    </row>
    <row r="38" spans="1:10" x14ac:dyDescent="0.2">
      <c r="A38" t="s">
        <v>110</v>
      </c>
      <c r="B38" t="s">
        <v>263</v>
      </c>
      <c r="C38" t="s">
        <v>94</v>
      </c>
      <c r="D38" t="s">
        <v>95</v>
      </c>
      <c r="E38" t="s">
        <v>408</v>
      </c>
      <c r="F38" t="s">
        <v>409</v>
      </c>
      <c r="G38">
        <v>1</v>
      </c>
      <c r="H38" t="s">
        <v>45</v>
      </c>
      <c r="I38">
        <v>6</v>
      </c>
      <c r="J38">
        <v>6</v>
      </c>
    </row>
    <row r="39" spans="1:10" x14ac:dyDescent="0.2">
      <c r="A39" t="s">
        <v>110</v>
      </c>
      <c r="B39" t="s">
        <v>263</v>
      </c>
      <c r="C39" t="s">
        <v>94</v>
      </c>
      <c r="D39" t="s">
        <v>95</v>
      </c>
      <c r="E39" t="s">
        <v>410</v>
      </c>
      <c r="F39" t="s">
        <v>411</v>
      </c>
      <c r="G39">
        <v>3</v>
      </c>
      <c r="H39" t="s">
        <v>45</v>
      </c>
      <c r="I39">
        <v>4</v>
      </c>
      <c r="J39">
        <v>12</v>
      </c>
    </row>
    <row r="40" spans="1:10" x14ac:dyDescent="0.2">
      <c r="A40" t="s">
        <v>110</v>
      </c>
      <c r="B40" t="s">
        <v>263</v>
      </c>
      <c r="C40" t="s">
        <v>94</v>
      </c>
      <c r="D40" t="s">
        <v>95</v>
      </c>
      <c r="E40" t="s">
        <v>412</v>
      </c>
      <c r="F40" t="s">
        <v>413</v>
      </c>
      <c r="G40">
        <v>2</v>
      </c>
      <c r="H40" t="s">
        <v>45</v>
      </c>
      <c r="I40">
        <v>1</v>
      </c>
      <c r="J40">
        <v>2</v>
      </c>
    </row>
    <row r="41" spans="1:10" x14ac:dyDescent="0.2">
      <c r="A41" t="s">
        <v>110</v>
      </c>
      <c r="B41" t="s">
        <v>263</v>
      </c>
      <c r="C41" t="s">
        <v>94</v>
      </c>
      <c r="D41" t="s">
        <v>95</v>
      </c>
      <c r="E41" t="s">
        <v>414</v>
      </c>
      <c r="F41" t="s">
        <v>415</v>
      </c>
      <c r="G41">
        <v>1</v>
      </c>
      <c r="H41" t="s">
        <v>45</v>
      </c>
      <c r="I41">
        <v>19</v>
      </c>
      <c r="J41">
        <v>19</v>
      </c>
    </row>
    <row r="42" spans="1:10" x14ac:dyDescent="0.2">
      <c r="A42" t="s">
        <v>110</v>
      </c>
      <c r="B42" t="s">
        <v>263</v>
      </c>
      <c r="C42" t="s">
        <v>94</v>
      </c>
      <c r="D42" t="s">
        <v>95</v>
      </c>
      <c r="E42" t="s">
        <v>416</v>
      </c>
      <c r="F42" t="s">
        <v>417</v>
      </c>
      <c r="G42">
        <v>1</v>
      </c>
      <c r="H42" t="s">
        <v>45</v>
      </c>
      <c r="I42">
        <v>97</v>
      </c>
      <c r="J42">
        <v>97</v>
      </c>
    </row>
    <row r="43" spans="1:10" x14ac:dyDescent="0.2">
      <c r="A43" t="s">
        <v>110</v>
      </c>
      <c r="B43" t="s">
        <v>263</v>
      </c>
      <c r="C43" t="s">
        <v>94</v>
      </c>
      <c r="D43" t="s">
        <v>95</v>
      </c>
      <c r="E43" t="s">
        <v>370</v>
      </c>
      <c r="F43" t="s">
        <v>371</v>
      </c>
      <c r="G43">
        <v>3</v>
      </c>
      <c r="H43" t="s">
        <v>45</v>
      </c>
      <c r="I43">
        <v>1</v>
      </c>
      <c r="J43">
        <v>3</v>
      </c>
    </row>
    <row r="44" spans="1:10" x14ac:dyDescent="0.2">
      <c r="A44" t="s">
        <v>110</v>
      </c>
      <c r="B44" t="s">
        <v>263</v>
      </c>
      <c r="C44" t="s">
        <v>94</v>
      </c>
      <c r="D44" t="s">
        <v>95</v>
      </c>
      <c r="E44" t="s">
        <v>418</v>
      </c>
      <c r="F44" t="s">
        <v>419</v>
      </c>
      <c r="G44">
        <v>1</v>
      </c>
      <c r="H44" t="s">
        <v>45</v>
      </c>
      <c r="I44">
        <v>19</v>
      </c>
      <c r="J44">
        <v>19</v>
      </c>
    </row>
    <row r="45" spans="1:10" x14ac:dyDescent="0.2">
      <c r="A45" t="s">
        <v>110</v>
      </c>
      <c r="B45" t="s">
        <v>263</v>
      </c>
      <c r="C45" t="s">
        <v>94</v>
      </c>
      <c r="D45" t="s">
        <v>95</v>
      </c>
      <c r="E45" t="s">
        <v>374</v>
      </c>
      <c r="F45" t="s">
        <v>375</v>
      </c>
      <c r="G45">
        <v>1</v>
      </c>
      <c r="H45" t="s">
        <v>45</v>
      </c>
      <c r="I45">
        <v>19</v>
      </c>
      <c r="J45">
        <v>19</v>
      </c>
    </row>
    <row r="46" spans="1:10" x14ac:dyDescent="0.2">
      <c r="A46" t="s">
        <v>110</v>
      </c>
      <c r="B46" t="s">
        <v>263</v>
      </c>
      <c r="C46" t="s">
        <v>94</v>
      </c>
      <c r="D46" t="s">
        <v>95</v>
      </c>
      <c r="E46" t="s">
        <v>390</v>
      </c>
      <c r="F46" t="s">
        <v>391</v>
      </c>
      <c r="G46">
        <v>1</v>
      </c>
      <c r="H46" t="s">
        <v>45</v>
      </c>
      <c r="I46">
        <v>19</v>
      </c>
      <c r="J46">
        <v>19</v>
      </c>
    </row>
    <row r="47" spans="1:10" x14ac:dyDescent="0.2">
      <c r="A47" t="s">
        <v>110</v>
      </c>
      <c r="B47" t="s">
        <v>263</v>
      </c>
      <c r="C47" t="s">
        <v>94</v>
      </c>
      <c r="D47" t="s">
        <v>95</v>
      </c>
      <c r="E47" t="s">
        <v>420</v>
      </c>
      <c r="F47" t="s">
        <v>421</v>
      </c>
      <c r="G47">
        <v>1</v>
      </c>
      <c r="H47" t="s">
        <v>45</v>
      </c>
      <c r="I47">
        <v>9</v>
      </c>
      <c r="J47">
        <v>9</v>
      </c>
    </row>
    <row r="48" spans="1:10" x14ac:dyDescent="0.2">
      <c r="A48" t="s">
        <v>110</v>
      </c>
      <c r="B48" t="s">
        <v>263</v>
      </c>
      <c r="C48" t="s">
        <v>94</v>
      </c>
      <c r="D48" t="s">
        <v>95</v>
      </c>
      <c r="E48" t="s">
        <v>422</v>
      </c>
      <c r="F48" t="s">
        <v>423</v>
      </c>
      <c r="G48">
        <v>2</v>
      </c>
      <c r="H48" t="s">
        <v>45</v>
      </c>
      <c r="I48">
        <v>0.17</v>
      </c>
      <c r="J48">
        <v>0.34</v>
      </c>
    </row>
    <row r="49" spans="1:10" x14ac:dyDescent="0.2">
      <c r="A49" t="s">
        <v>110</v>
      </c>
      <c r="B49" t="s">
        <v>263</v>
      </c>
      <c r="C49" t="s">
        <v>94</v>
      </c>
      <c r="D49" t="s">
        <v>95</v>
      </c>
      <c r="E49" t="s">
        <v>424</v>
      </c>
      <c r="F49" t="s">
        <v>425</v>
      </c>
      <c r="G49">
        <v>1</v>
      </c>
      <c r="H49" t="s">
        <v>45</v>
      </c>
      <c r="I49">
        <v>10</v>
      </c>
      <c r="J49">
        <v>10</v>
      </c>
    </row>
    <row r="50" spans="1:10" x14ac:dyDescent="0.2">
      <c r="A50" t="s">
        <v>110</v>
      </c>
      <c r="B50" t="s">
        <v>263</v>
      </c>
      <c r="C50" t="s">
        <v>94</v>
      </c>
      <c r="D50" t="s">
        <v>95</v>
      </c>
      <c r="E50" t="s">
        <v>426</v>
      </c>
      <c r="F50" t="s">
        <v>427</v>
      </c>
      <c r="G50">
        <v>1</v>
      </c>
      <c r="H50" t="s">
        <v>45</v>
      </c>
      <c r="I50">
        <v>2</v>
      </c>
      <c r="J50">
        <v>2</v>
      </c>
    </row>
    <row r="51" spans="1:10" x14ac:dyDescent="0.2">
      <c r="A51" t="s">
        <v>110</v>
      </c>
      <c r="B51" t="s">
        <v>263</v>
      </c>
      <c r="C51" t="s">
        <v>94</v>
      </c>
      <c r="D51" t="s">
        <v>95</v>
      </c>
      <c r="E51" t="s">
        <v>428</v>
      </c>
      <c r="F51" t="s">
        <v>429</v>
      </c>
      <c r="G51">
        <v>12</v>
      </c>
      <c r="H51" t="s">
        <v>45</v>
      </c>
      <c r="I51">
        <v>0.17</v>
      </c>
      <c r="J51">
        <v>2.04</v>
      </c>
    </row>
    <row r="52" spans="1:10" x14ac:dyDescent="0.2">
      <c r="A52" t="s">
        <v>110</v>
      </c>
      <c r="B52" t="s">
        <v>263</v>
      </c>
      <c r="C52" t="s">
        <v>94</v>
      </c>
      <c r="D52" t="s">
        <v>95</v>
      </c>
      <c r="E52" t="s">
        <v>430</v>
      </c>
      <c r="F52" t="s">
        <v>431</v>
      </c>
      <c r="G52">
        <v>5</v>
      </c>
      <c r="H52" t="s">
        <v>45</v>
      </c>
      <c r="I52">
        <v>0.43</v>
      </c>
      <c r="J52">
        <v>2.15</v>
      </c>
    </row>
    <row r="53" spans="1:10" x14ac:dyDescent="0.2">
      <c r="A53" t="s">
        <v>110</v>
      </c>
      <c r="B53" t="s">
        <v>263</v>
      </c>
      <c r="C53" t="s">
        <v>94</v>
      </c>
      <c r="D53" t="s">
        <v>95</v>
      </c>
      <c r="E53" t="s">
        <v>432</v>
      </c>
      <c r="F53" t="s">
        <v>433</v>
      </c>
      <c r="G53">
        <v>1</v>
      </c>
      <c r="H53" t="s">
        <v>45</v>
      </c>
      <c r="I53">
        <v>10</v>
      </c>
      <c r="J53">
        <v>10</v>
      </c>
    </row>
    <row r="54" spans="1:10" x14ac:dyDescent="0.2">
      <c r="A54" t="s">
        <v>110</v>
      </c>
      <c r="B54" t="s">
        <v>263</v>
      </c>
      <c r="C54" t="s">
        <v>94</v>
      </c>
      <c r="D54" t="s">
        <v>95</v>
      </c>
      <c r="E54" t="s">
        <v>434</v>
      </c>
      <c r="F54" t="s">
        <v>435</v>
      </c>
      <c r="G54">
        <v>1</v>
      </c>
      <c r="H54" t="s">
        <v>45</v>
      </c>
      <c r="I54">
        <v>65</v>
      </c>
      <c r="J54">
        <v>65</v>
      </c>
    </row>
    <row r="55" spans="1:10" x14ac:dyDescent="0.2">
      <c r="A55" t="s">
        <v>110</v>
      </c>
      <c r="B55" t="s">
        <v>263</v>
      </c>
      <c r="C55" t="s">
        <v>94</v>
      </c>
      <c r="D55" t="s">
        <v>95</v>
      </c>
      <c r="E55" t="s">
        <v>368</v>
      </c>
      <c r="F55" t="s">
        <v>369</v>
      </c>
      <c r="G55">
        <v>3</v>
      </c>
      <c r="H55" t="s">
        <v>45</v>
      </c>
      <c r="I55">
        <v>4</v>
      </c>
      <c r="J55">
        <v>12</v>
      </c>
    </row>
    <row r="56" spans="1:10" x14ac:dyDescent="0.2">
      <c r="A56" t="s">
        <v>110</v>
      </c>
      <c r="B56" t="s">
        <v>263</v>
      </c>
      <c r="C56" t="s">
        <v>94</v>
      </c>
      <c r="D56" t="s">
        <v>95</v>
      </c>
      <c r="E56" t="s">
        <v>436</v>
      </c>
      <c r="F56" t="s">
        <v>437</v>
      </c>
      <c r="G56">
        <v>2</v>
      </c>
      <c r="H56" t="s">
        <v>45</v>
      </c>
      <c r="I56">
        <v>0.22</v>
      </c>
      <c r="J56">
        <v>0.44</v>
      </c>
    </row>
    <row r="57" spans="1:10" x14ac:dyDescent="0.2">
      <c r="A57" t="s">
        <v>110</v>
      </c>
      <c r="B57" t="s">
        <v>263</v>
      </c>
      <c r="C57" t="s">
        <v>94</v>
      </c>
      <c r="D57" t="s">
        <v>95</v>
      </c>
      <c r="E57" t="s">
        <v>400</v>
      </c>
      <c r="F57" t="s">
        <v>401</v>
      </c>
      <c r="G57">
        <v>1</v>
      </c>
      <c r="H57" t="s">
        <v>45</v>
      </c>
      <c r="I57">
        <v>570</v>
      </c>
      <c r="J57">
        <v>570</v>
      </c>
    </row>
    <row r="58" spans="1:10" x14ac:dyDescent="0.2">
      <c r="A58" t="s">
        <v>110</v>
      </c>
      <c r="B58" t="s">
        <v>263</v>
      </c>
      <c r="C58" t="s">
        <v>94</v>
      </c>
      <c r="D58" t="s">
        <v>95</v>
      </c>
      <c r="E58" t="s">
        <v>438</v>
      </c>
      <c r="F58" t="s">
        <v>439</v>
      </c>
      <c r="G58">
        <v>12</v>
      </c>
      <c r="H58" t="s">
        <v>45</v>
      </c>
      <c r="I58">
        <v>0.22</v>
      </c>
      <c r="J58">
        <v>2.64</v>
      </c>
    </row>
    <row r="59" spans="1:10" x14ac:dyDescent="0.2">
      <c r="A59" t="s">
        <v>110</v>
      </c>
      <c r="B59" t="s">
        <v>263</v>
      </c>
      <c r="C59" t="s">
        <v>94</v>
      </c>
      <c r="D59" t="s">
        <v>95</v>
      </c>
      <c r="E59" t="s">
        <v>440</v>
      </c>
      <c r="F59" t="s">
        <v>441</v>
      </c>
      <c r="G59">
        <v>6</v>
      </c>
      <c r="H59" t="s">
        <v>45</v>
      </c>
      <c r="I59">
        <v>0.17</v>
      </c>
      <c r="J59">
        <v>1.02</v>
      </c>
    </row>
    <row r="60" spans="1:10" x14ac:dyDescent="0.2">
      <c r="A60" t="s">
        <v>110</v>
      </c>
      <c r="B60" t="s">
        <v>263</v>
      </c>
      <c r="C60" t="s">
        <v>94</v>
      </c>
      <c r="D60" t="s">
        <v>95</v>
      </c>
      <c r="E60" t="s">
        <v>442</v>
      </c>
      <c r="F60" t="s">
        <v>443</v>
      </c>
      <c r="G60">
        <v>2</v>
      </c>
      <c r="H60" t="s">
        <v>45</v>
      </c>
      <c r="I60">
        <v>1.38</v>
      </c>
      <c r="J60">
        <v>2.76</v>
      </c>
    </row>
    <row r="61" spans="1:10" x14ac:dyDescent="0.2">
      <c r="A61" t="s">
        <v>110</v>
      </c>
      <c r="B61" t="s">
        <v>263</v>
      </c>
      <c r="C61" t="s">
        <v>94</v>
      </c>
      <c r="D61" t="s">
        <v>95</v>
      </c>
      <c r="E61" t="s">
        <v>444</v>
      </c>
      <c r="F61" t="s">
        <v>445</v>
      </c>
      <c r="G61">
        <v>3</v>
      </c>
      <c r="H61" t="s">
        <v>45</v>
      </c>
      <c r="I61">
        <v>1</v>
      </c>
      <c r="J61">
        <v>3</v>
      </c>
    </row>
    <row r="62" spans="1:10" x14ac:dyDescent="0.2">
      <c r="A62" t="s">
        <v>110</v>
      </c>
      <c r="B62" t="s">
        <v>263</v>
      </c>
      <c r="C62" t="s">
        <v>94</v>
      </c>
      <c r="D62" t="s">
        <v>95</v>
      </c>
      <c r="E62" t="s">
        <v>62</v>
      </c>
      <c r="F62" t="s">
        <v>63</v>
      </c>
      <c r="G62">
        <v>3</v>
      </c>
      <c r="H62" t="s">
        <v>45</v>
      </c>
      <c r="I62">
        <v>80</v>
      </c>
      <c r="J62">
        <v>240</v>
      </c>
    </row>
    <row r="63" spans="1:10" x14ac:dyDescent="0.2">
      <c r="A63" t="s">
        <v>110</v>
      </c>
      <c r="B63" t="s">
        <v>263</v>
      </c>
      <c r="C63" t="s">
        <v>94</v>
      </c>
      <c r="D63" t="s">
        <v>95</v>
      </c>
      <c r="E63" t="s">
        <v>446</v>
      </c>
      <c r="F63" t="s">
        <v>447</v>
      </c>
      <c r="G63">
        <v>12</v>
      </c>
      <c r="H63" t="s">
        <v>45</v>
      </c>
      <c r="I63">
        <v>0.17</v>
      </c>
      <c r="J63">
        <v>2.04</v>
      </c>
    </row>
    <row r="64" spans="1:10" x14ac:dyDescent="0.2">
      <c r="A64" t="s">
        <v>110</v>
      </c>
      <c r="B64" t="s">
        <v>263</v>
      </c>
      <c r="C64" t="s">
        <v>94</v>
      </c>
      <c r="D64" t="s">
        <v>95</v>
      </c>
      <c r="E64" t="s">
        <v>448</v>
      </c>
      <c r="F64" t="s">
        <v>449</v>
      </c>
      <c r="G64">
        <v>1</v>
      </c>
      <c r="H64" t="s">
        <v>45</v>
      </c>
      <c r="I64">
        <v>9</v>
      </c>
      <c r="J64">
        <v>9</v>
      </c>
    </row>
    <row r="65" spans="1:10" x14ac:dyDescent="0.2">
      <c r="A65" t="s">
        <v>110</v>
      </c>
      <c r="B65" t="s">
        <v>263</v>
      </c>
      <c r="C65" t="s">
        <v>94</v>
      </c>
      <c r="D65" t="s">
        <v>95</v>
      </c>
      <c r="E65" t="s">
        <v>386</v>
      </c>
      <c r="F65" t="s">
        <v>387</v>
      </c>
      <c r="G65">
        <v>4</v>
      </c>
      <c r="H65" t="s">
        <v>45</v>
      </c>
      <c r="I65">
        <v>11</v>
      </c>
      <c r="J65">
        <v>44</v>
      </c>
    </row>
    <row r="66" spans="1:10" x14ac:dyDescent="0.2">
      <c r="A66" t="s">
        <v>110</v>
      </c>
      <c r="B66" t="s">
        <v>263</v>
      </c>
      <c r="C66" t="s">
        <v>94</v>
      </c>
      <c r="D66" t="s">
        <v>95</v>
      </c>
      <c r="E66" t="s">
        <v>392</v>
      </c>
      <c r="F66" t="s">
        <v>393</v>
      </c>
      <c r="G66">
        <v>1</v>
      </c>
      <c r="H66" t="s">
        <v>45</v>
      </c>
      <c r="I66">
        <v>5</v>
      </c>
      <c r="J66">
        <v>5</v>
      </c>
    </row>
    <row r="67" spans="1:10" x14ac:dyDescent="0.2">
      <c r="A67" t="s">
        <v>110</v>
      </c>
      <c r="B67" t="s">
        <v>263</v>
      </c>
      <c r="C67" t="s">
        <v>94</v>
      </c>
      <c r="D67" t="s">
        <v>95</v>
      </c>
      <c r="E67" t="s">
        <v>450</v>
      </c>
      <c r="F67" t="s">
        <v>451</v>
      </c>
      <c r="G67">
        <v>6</v>
      </c>
      <c r="H67" t="s">
        <v>45</v>
      </c>
      <c r="I67">
        <v>0.4</v>
      </c>
      <c r="J67">
        <v>2.4</v>
      </c>
    </row>
    <row r="68" spans="1:10" x14ac:dyDescent="0.2">
      <c r="A68" t="s">
        <v>140</v>
      </c>
      <c r="B68" t="s">
        <v>121</v>
      </c>
      <c r="C68" t="s">
        <v>94</v>
      </c>
      <c r="D68" t="s">
        <v>95</v>
      </c>
      <c r="E68" t="s">
        <v>452</v>
      </c>
      <c r="F68" t="s">
        <v>453</v>
      </c>
      <c r="G68">
        <v>1</v>
      </c>
      <c r="H68" t="s">
        <v>45</v>
      </c>
      <c r="I68">
        <v>141.56</v>
      </c>
      <c r="J68">
        <v>141.56</v>
      </c>
    </row>
    <row r="69" spans="1:10" x14ac:dyDescent="0.2">
      <c r="A69" t="s">
        <v>144</v>
      </c>
      <c r="B69" t="s">
        <v>263</v>
      </c>
      <c r="C69" t="s">
        <v>94</v>
      </c>
      <c r="D69" t="s">
        <v>95</v>
      </c>
      <c r="E69" t="s">
        <v>420</v>
      </c>
      <c r="F69" t="s">
        <v>421</v>
      </c>
      <c r="G69">
        <v>1</v>
      </c>
      <c r="H69" t="s">
        <v>45</v>
      </c>
      <c r="I69">
        <v>9</v>
      </c>
      <c r="J69">
        <v>9</v>
      </c>
    </row>
    <row r="70" spans="1:10" x14ac:dyDescent="0.2">
      <c r="A70" t="s">
        <v>144</v>
      </c>
      <c r="B70" t="s">
        <v>263</v>
      </c>
      <c r="C70" t="s">
        <v>94</v>
      </c>
      <c r="D70" t="s">
        <v>95</v>
      </c>
      <c r="E70" t="s">
        <v>454</v>
      </c>
      <c r="F70" t="s">
        <v>455</v>
      </c>
      <c r="G70">
        <v>1</v>
      </c>
      <c r="H70" t="s">
        <v>45</v>
      </c>
      <c r="I70">
        <v>11</v>
      </c>
      <c r="J70">
        <v>11</v>
      </c>
    </row>
    <row r="71" spans="1:10" x14ac:dyDescent="0.2">
      <c r="A71" t="s">
        <v>144</v>
      </c>
      <c r="B71" t="s">
        <v>263</v>
      </c>
      <c r="C71" t="s">
        <v>94</v>
      </c>
      <c r="D71" t="s">
        <v>95</v>
      </c>
      <c r="E71" t="s">
        <v>406</v>
      </c>
      <c r="F71" t="s">
        <v>407</v>
      </c>
      <c r="G71">
        <v>1</v>
      </c>
      <c r="H71" t="s">
        <v>45</v>
      </c>
      <c r="I71">
        <v>19</v>
      </c>
      <c r="J71">
        <v>19</v>
      </c>
    </row>
    <row r="72" spans="1:10" x14ac:dyDescent="0.2">
      <c r="A72" t="s">
        <v>144</v>
      </c>
      <c r="B72" t="s">
        <v>263</v>
      </c>
      <c r="C72" t="s">
        <v>94</v>
      </c>
      <c r="D72" t="s">
        <v>95</v>
      </c>
      <c r="E72" t="s">
        <v>400</v>
      </c>
      <c r="F72" t="s">
        <v>401</v>
      </c>
      <c r="G72">
        <v>1</v>
      </c>
      <c r="H72" t="s">
        <v>45</v>
      </c>
      <c r="I72">
        <v>570</v>
      </c>
      <c r="J72">
        <v>570</v>
      </c>
    </row>
    <row r="73" spans="1:10" x14ac:dyDescent="0.2">
      <c r="A73" t="s">
        <v>144</v>
      </c>
      <c r="B73" t="s">
        <v>263</v>
      </c>
      <c r="C73" t="s">
        <v>94</v>
      </c>
      <c r="D73" t="s">
        <v>95</v>
      </c>
      <c r="E73" t="s">
        <v>456</v>
      </c>
      <c r="F73" t="s">
        <v>457</v>
      </c>
      <c r="G73">
        <v>1</v>
      </c>
      <c r="H73" t="s">
        <v>45</v>
      </c>
      <c r="I73">
        <v>11</v>
      </c>
      <c r="J73">
        <v>11</v>
      </c>
    </row>
    <row r="74" spans="1:10" x14ac:dyDescent="0.2">
      <c r="A74" t="s">
        <v>144</v>
      </c>
      <c r="B74" t="s">
        <v>263</v>
      </c>
      <c r="C74" t="s">
        <v>94</v>
      </c>
      <c r="D74" t="s">
        <v>95</v>
      </c>
      <c r="E74" t="s">
        <v>458</v>
      </c>
      <c r="F74" t="s">
        <v>459</v>
      </c>
      <c r="G74">
        <v>2</v>
      </c>
      <c r="H74" t="s">
        <v>45</v>
      </c>
      <c r="I74">
        <v>0.52</v>
      </c>
      <c r="J74">
        <v>1.04</v>
      </c>
    </row>
    <row r="75" spans="1:10" x14ac:dyDescent="0.2">
      <c r="A75" t="s">
        <v>144</v>
      </c>
      <c r="B75" t="s">
        <v>263</v>
      </c>
      <c r="C75" t="s">
        <v>94</v>
      </c>
      <c r="D75" t="s">
        <v>95</v>
      </c>
      <c r="E75" t="s">
        <v>390</v>
      </c>
      <c r="F75" t="s">
        <v>391</v>
      </c>
      <c r="G75">
        <v>1</v>
      </c>
      <c r="H75" t="s">
        <v>45</v>
      </c>
      <c r="I75">
        <v>19</v>
      </c>
      <c r="J75">
        <v>19</v>
      </c>
    </row>
    <row r="76" spans="1:10" x14ac:dyDescent="0.2">
      <c r="A76" t="s">
        <v>144</v>
      </c>
      <c r="B76" t="s">
        <v>263</v>
      </c>
      <c r="C76" t="s">
        <v>94</v>
      </c>
      <c r="D76" t="s">
        <v>95</v>
      </c>
      <c r="E76" t="s">
        <v>460</v>
      </c>
      <c r="F76" t="s">
        <v>461</v>
      </c>
      <c r="G76">
        <v>2</v>
      </c>
      <c r="H76" t="s">
        <v>45</v>
      </c>
      <c r="I76">
        <v>0.4</v>
      </c>
      <c r="J76">
        <v>0.8</v>
      </c>
    </row>
    <row r="77" spans="1:10" x14ac:dyDescent="0.2">
      <c r="A77" t="s">
        <v>144</v>
      </c>
      <c r="B77" t="s">
        <v>263</v>
      </c>
      <c r="C77" t="s">
        <v>94</v>
      </c>
      <c r="D77" t="s">
        <v>95</v>
      </c>
      <c r="E77" t="s">
        <v>462</v>
      </c>
      <c r="F77" t="s">
        <v>463</v>
      </c>
      <c r="G77">
        <v>1</v>
      </c>
      <c r="H77" t="s">
        <v>45</v>
      </c>
      <c r="I77">
        <v>0.4</v>
      </c>
      <c r="J77">
        <v>0.4</v>
      </c>
    </row>
    <row r="78" spans="1:10" x14ac:dyDescent="0.2">
      <c r="A78" t="s">
        <v>144</v>
      </c>
      <c r="B78" t="s">
        <v>263</v>
      </c>
      <c r="C78" t="s">
        <v>94</v>
      </c>
      <c r="D78" t="s">
        <v>95</v>
      </c>
      <c r="E78" t="s">
        <v>388</v>
      </c>
      <c r="F78" t="s">
        <v>389</v>
      </c>
      <c r="G78">
        <v>2</v>
      </c>
      <c r="H78" t="s">
        <v>45</v>
      </c>
      <c r="I78">
        <v>13</v>
      </c>
      <c r="J78">
        <v>26</v>
      </c>
    </row>
    <row r="79" spans="1:10" x14ac:dyDescent="0.2">
      <c r="A79" t="s">
        <v>144</v>
      </c>
      <c r="B79" t="s">
        <v>263</v>
      </c>
      <c r="C79" t="s">
        <v>94</v>
      </c>
      <c r="D79" t="s">
        <v>95</v>
      </c>
      <c r="E79" t="s">
        <v>464</v>
      </c>
      <c r="F79" t="s">
        <v>465</v>
      </c>
      <c r="G79">
        <v>1</v>
      </c>
      <c r="H79" t="s">
        <v>45</v>
      </c>
      <c r="I79">
        <v>0.52</v>
      </c>
      <c r="J79">
        <v>0.52</v>
      </c>
    </row>
    <row r="80" spans="1:10" x14ac:dyDescent="0.2">
      <c r="A80" t="s">
        <v>144</v>
      </c>
      <c r="B80" t="s">
        <v>263</v>
      </c>
      <c r="C80" t="s">
        <v>94</v>
      </c>
      <c r="D80" t="s">
        <v>95</v>
      </c>
      <c r="E80" t="s">
        <v>466</v>
      </c>
      <c r="F80" t="s">
        <v>467</v>
      </c>
      <c r="G80">
        <v>2</v>
      </c>
      <c r="H80" t="s">
        <v>45</v>
      </c>
      <c r="I80">
        <v>0.4</v>
      </c>
      <c r="J80">
        <v>0.8</v>
      </c>
    </row>
    <row r="81" spans="1:10" x14ac:dyDescent="0.2">
      <c r="A81" t="s">
        <v>144</v>
      </c>
      <c r="B81" t="s">
        <v>263</v>
      </c>
      <c r="C81" t="s">
        <v>94</v>
      </c>
      <c r="D81" t="s">
        <v>95</v>
      </c>
      <c r="E81" t="s">
        <v>468</v>
      </c>
      <c r="F81" t="s">
        <v>413</v>
      </c>
      <c r="G81">
        <v>2</v>
      </c>
      <c r="H81" t="s">
        <v>45</v>
      </c>
      <c r="I81">
        <v>1</v>
      </c>
      <c r="J81">
        <v>2</v>
      </c>
    </row>
    <row r="82" spans="1:10" x14ac:dyDescent="0.2">
      <c r="A82" t="s">
        <v>144</v>
      </c>
      <c r="B82" t="s">
        <v>263</v>
      </c>
      <c r="C82" t="s">
        <v>94</v>
      </c>
      <c r="D82" t="s">
        <v>95</v>
      </c>
      <c r="E82" t="s">
        <v>469</v>
      </c>
      <c r="F82" t="s">
        <v>470</v>
      </c>
      <c r="G82">
        <v>1</v>
      </c>
      <c r="H82" t="s">
        <v>45</v>
      </c>
      <c r="I82">
        <v>2</v>
      </c>
      <c r="J82">
        <v>2</v>
      </c>
    </row>
    <row r="83" spans="1:10" x14ac:dyDescent="0.2">
      <c r="A83" t="s">
        <v>144</v>
      </c>
      <c r="B83" t="s">
        <v>263</v>
      </c>
      <c r="C83" t="s">
        <v>94</v>
      </c>
      <c r="D83" t="s">
        <v>95</v>
      </c>
      <c r="E83" t="s">
        <v>471</v>
      </c>
      <c r="F83" t="s">
        <v>472</v>
      </c>
      <c r="G83">
        <v>1</v>
      </c>
      <c r="H83" t="s">
        <v>45</v>
      </c>
      <c r="I83">
        <v>7.75</v>
      </c>
      <c r="J83">
        <v>7.75</v>
      </c>
    </row>
    <row r="84" spans="1:10" x14ac:dyDescent="0.2">
      <c r="A84" t="s">
        <v>144</v>
      </c>
      <c r="B84" t="s">
        <v>263</v>
      </c>
      <c r="C84" t="s">
        <v>94</v>
      </c>
      <c r="D84" t="s">
        <v>95</v>
      </c>
      <c r="E84" t="s">
        <v>473</v>
      </c>
      <c r="F84" t="s">
        <v>474</v>
      </c>
      <c r="G84">
        <v>2</v>
      </c>
      <c r="H84" t="s">
        <v>45</v>
      </c>
      <c r="I84">
        <v>3</v>
      </c>
      <c r="J84">
        <v>6</v>
      </c>
    </row>
    <row r="85" spans="1:10" x14ac:dyDescent="0.2">
      <c r="A85" t="s">
        <v>144</v>
      </c>
      <c r="B85" t="s">
        <v>263</v>
      </c>
      <c r="C85" t="s">
        <v>94</v>
      </c>
      <c r="D85" t="s">
        <v>95</v>
      </c>
      <c r="E85" t="s">
        <v>475</v>
      </c>
      <c r="F85" t="s">
        <v>476</v>
      </c>
      <c r="G85">
        <v>2</v>
      </c>
      <c r="H85" t="s">
        <v>45</v>
      </c>
      <c r="I85">
        <v>1</v>
      </c>
      <c r="J85">
        <v>2</v>
      </c>
    </row>
    <row r="86" spans="1:10" x14ac:dyDescent="0.2">
      <c r="A86" t="s">
        <v>144</v>
      </c>
      <c r="B86" t="s">
        <v>263</v>
      </c>
      <c r="C86" t="s">
        <v>94</v>
      </c>
      <c r="D86" t="s">
        <v>95</v>
      </c>
      <c r="E86" t="s">
        <v>477</v>
      </c>
      <c r="F86" t="s">
        <v>478</v>
      </c>
      <c r="G86">
        <v>1</v>
      </c>
      <c r="H86" t="s">
        <v>45</v>
      </c>
      <c r="I86">
        <v>4.13</v>
      </c>
      <c r="J86">
        <v>4.13</v>
      </c>
    </row>
    <row r="87" spans="1:10" x14ac:dyDescent="0.2">
      <c r="A87" t="s">
        <v>144</v>
      </c>
      <c r="B87" t="s">
        <v>263</v>
      </c>
      <c r="C87" t="s">
        <v>94</v>
      </c>
      <c r="D87" t="s">
        <v>95</v>
      </c>
      <c r="E87" t="s">
        <v>386</v>
      </c>
      <c r="F87" t="s">
        <v>387</v>
      </c>
      <c r="G87">
        <v>4</v>
      </c>
      <c r="H87" t="s">
        <v>45</v>
      </c>
      <c r="I87">
        <v>11</v>
      </c>
      <c r="J87">
        <v>44</v>
      </c>
    </row>
    <row r="88" spans="1:10" x14ac:dyDescent="0.2">
      <c r="A88" t="s">
        <v>144</v>
      </c>
      <c r="B88" t="s">
        <v>263</v>
      </c>
      <c r="C88" t="s">
        <v>94</v>
      </c>
      <c r="D88" t="s">
        <v>95</v>
      </c>
      <c r="E88" t="s">
        <v>479</v>
      </c>
      <c r="F88" t="s">
        <v>480</v>
      </c>
      <c r="G88">
        <v>1</v>
      </c>
      <c r="H88" t="s">
        <v>45</v>
      </c>
      <c r="I88">
        <v>2</v>
      </c>
      <c r="J88">
        <v>2</v>
      </c>
    </row>
    <row r="89" spans="1:10" x14ac:dyDescent="0.2">
      <c r="A89" t="s">
        <v>144</v>
      </c>
      <c r="B89" t="s">
        <v>263</v>
      </c>
      <c r="C89" t="s">
        <v>94</v>
      </c>
      <c r="D89" t="s">
        <v>95</v>
      </c>
      <c r="E89" t="s">
        <v>370</v>
      </c>
      <c r="F89" t="s">
        <v>371</v>
      </c>
      <c r="G89">
        <v>3</v>
      </c>
      <c r="H89" t="s">
        <v>45</v>
      </c>
      <c r="I89">
        <v>1</v>
      </c>
      <c r="J89">
        <v>3</v>
      </c>
    </row>
    <row r="90" spans="1:10" x14ac:dyDescent="0.2">
      <c r="A90" t="s">
        <v>144</v>
      </c>
      <c r="B90" t="s">
        <v>263</v>
      </c>
      <c r="C90" t="s">
        <v>94</v>
      </c>
      <c r="D90" t="s">
        <v>95</v>
      </c>
      <c r="E90" t="s">
        <v>394</v>
      </c>
      <c r="F90" t="s">
        <v>395</v>
      </c>
      <c r="G90">
        <v>2</v>
      </c>
      <c r="H90" t="s">
        <v>45</v>
      </c>
      <c r="I90">
        <v>1</v>
      </c>
      <c r="J90">
        <v>2</v>
      </c>
    </row>
    <row r="91" spans="1:10" x14ac:dyDescent="0.2">
      <c r="A91" t="s">
        <v>144</v>
      </c>
      <c r="B91" t="s">
        <v>263</v>
      </c>
      <c r="C91" t="s">
        <v>94</v>
      </c>
      <c r="D91" t="s">
        <v>95</v>
      </c>
      <c r="E91" t="s">
        <v>481</v>
      </c>
      <c r="F91" t="s">
        <v>482</v>
      </c>
      <c r="G91">
        <v>1</v>
      </c>
      <c r="H91" t="s">
        <v>45</v>
      </c>
      <c r="I91">
        <v>1</v>
      </c>
      <c r="J91">
        <v>1</v>
      </c>
    </row>
    <row r="92" spans="1:10" x14ac:dyDescent="0.2">
      <c r="A92" t="s">
        <v>144</v>
      </c>
      <c r="B92" t="s">
        <v>263</v>
      </c>
      <c r="C92" t="s">
        <v>94</v>
      </c>
      <c r="D92" t="s">
        <v>95</v>
      </c>
      <c r="E92" t="s">
        <v>483</v>
      </c>
      <c r="F92" t="s">
        <v>484</v>
      </c>
      <c r="G92">
        <v>2</v>
      </c>
      <c r="H92" t="s">
        <v>45</v>
      </c>
      <c r="I92">
        <v>5</v>
      </c>
      <c r="J92">
        <v>10</v>
      </c>
    </row>
    <row r="93" spans="1:10" x14ac:dyDescent="0.2">
      <c r="A93" t="s">
        <v>144</v>
      </c>
      <c r="B93" t="s">
        <v>263</v>
      </c>
      <c r="C93" t="s">
        <v>94</v>
      </c>
      <c r="D93" t="s">
        <v>95</v>
      </c>
      <c r="E93" t="s">
        <v>485</v>
      </c>
      <c r="F93" t="s">
        <v>486</v>
      </c>
      <c r="G93">
        <v>1</v>
      </c>
      <c r="H93" t="s">
        <v>45</v>
      </c>
      <c r="I93">
        <v>15</v>
      </c>
      <c r="J93">
        <v>15</v>
      </c>
    </row>
    <row r="94" spans="1:10" x14ac:dyDescent="0.2">
      <c r="A94" t="s">
        <v>144</v>
      </c>
      <c r="B94" t="s">
        <v>263</v>
      </c>
      <c r="C94" t="s">
        <v>94</v>
      </c>
      <c r="D94" t="s">
        <v>95</v>
      </c>
      <c r="E94" t="s">
        <v>392</v>
      </c>
      <c r="F94" t="s">
        <v>393</v>
      </c>
      <c r="G94">
        <v>2</v>
      </c>
      <c r="H94" t="s">
        <v>45</v>
      </c>
      <c r="I94">
        <v>5</v>
      </c>
      <c r="J94">
        <v>10</v>
      </c>
    </row>
    <row r="95" spans="1:10" x14ac:dyDescent="0.2">
      <c r="A95" t="s">
        <v>144</v>
      </c>
      <c r="B95" t="s">
        <v>263</v>
      </c>
      <c r="C95" t="s">
        <v>94</v>
      </c>
      <c r="D95" t="s">
        <v>95</v>
      </c>
      <c r="E95" t="s">
        <v>487</v>
      </c>
      <c r="F95" t="s">
        <v>488</v>
      </c>
      <c r="G95">
        <v>1</v>
      </c>
      <c r="H95" t="s">
        <v>45</v>
      </c>
      <c r="I95">
        <v>501</v>
      </c>
      <c r="J95">
        <v>501</v>
      </c>
    </row>
    <row r="96" spans="1:10" x14ac:dyDescent="0.2">
      <c r="A96" t="s">
        <v>144</v>
      </c>
      <c r="B96" t="s">
        <v>263</v>
      </c>
      <c r="C96" t="s">
        <v>94</v>
      </c>
      <c r="D96" t="s">
        <v>95</v>
      </c>
      <c r="E96" t="s">
        <v>418</v>
      </c>
      <c r="F96" t="s">
        <v>419</v>
      </c>
      <c r="G96">
        <v>1</v>
      </c>
      <c r="H96" t="s">
        <v>45</v>
      </c>
      <c r="I96">
        <v>19</v>
      </c>
      <c r="J96">
        <v>19</v>
      </c>
    </row>
    <row r="97" spans="1:10" x14ac:dyDescent="0.2">
      <c r="A97" t="s">
        <v>144</v>
      </c>
      <c r="B97" t="s">
        <v>263</v>
      </c>
      <c r="C97" t="s">
        <v>94</v>
      </c>
      <c r="D97" t="s">
        <v>95</v>
      </c>
      <c r="E97" t="s">
        <v>489</v>
      </c>
      <c r="F97" t="s">
        <v>490</v>
      </c>
      <c r="G97">
        <v>2</v>
      </c>
      <c r="H97" t="s">
        <v>45</v>
      </c>
      <c r="I97">
        <v>4</v>
      </c>
      <c r="J97">
        <v>8</v>
      </c>
    </row>
    <row r="98" spans="1:10" x14ac:dyDescent="0.2">
      <c r="A98" t="s">
        <v>144</v>
      </c>
      <c r="B98" t="s">
        <v>263</v>
      </c>
      <c r="C98" t="s">
        <v>94</v>
      </c>
      <c r="D98" t="s">
        <v>95</v>
      </c>
      <c r="E98" t="s">
        <v>491</v>
      </c>
      <c r="F98" t="s">
        <v>492</v>
      </c>
      <c r="G98">
        <v>2</v>
      </c>
      <c r="H98" t="s">
        <v>45</v>
      </c>
      <c r="I98">
        <v>0.17</v>
      </c>
      <c r="J98">
        <v>0.34</v>
      </c>
    </row>
    <row r="99" spans="1:10" x14ac:dyDescent="0.2">
      <c r="A99" t="s">
        <v>144</v>
      </c>
      <c r="B99" t="s">
        <v>263</v>
      </c>
      <c r="C99" t="s">
        <v>94</v>
      </c>
      <c r="D99" t="s">
        <v>95</v>
      </c>
      <c r="E99" t="s">
        <v>493</v>
      </c>
      <c r="F99" t="s">
        <v>494</v>
      </c>
      <c r="G99">
        <v>2</v>
      </c>
      <c r="H99" t="s">
        <v>45</v>
      </c>
      <c r="I99">
        <v>0.4</v>
      </c>
      <c r="J99">
        <v>0.8</v>
      </c>
    </row>
    <row r="100" spans="1:10" x14ac:dyDescent="0.2">
      <c r="A100" t="s">
        <v>144</v>
      </c>
      <c r="B100" t="s">
        <v>263</v>
      </c>
      <c r="C100" t="s">
        <v>94</v>
      </c>
      <c r="D100" t="s">
        <v>95</v>
      </c>
      <c r="E100" t="s">
        <v>495</v>
      </c>
      <c r="F100" t="s">
        <v>496</v>
      </c>
      <c r="G100">
        <v>1</v>
      </c>
      <c r="H100" t="s">
        <v>45</v>
      </c>
      <c r="I100">
        <v>11</v>
      </c>
      <c r="J100">
        <v>11</v>
      </c>
    </row>
    <row r="101" spans="1:10" x14ac:dyDescent="0.2">
      <c r="A101" t="s">
        <v>144</v>
      </c>
      <c r="B101" t="s">
        <v>263</v>
      </c>
      <c r="C101" t="s">
        <v>94</v>
      </c>
      <c r="D101" t="s">
        <v>95</v>
      </c>
      <c r="E101" t="s">
        <v>497</v>
      </c>
      <c r="F101" t="s">
        <v>498</v>
      </c>
      <c r="G101">
        <v>1</v>
      </c>
      <c r="H101" t="s">
        <v>45</v>
      </c>
      <c r="I101">
        <v>11</v>
      </c>
      <c r="J101">
        <v>11</v>
      </c>
    </row>
    <row r="102" spans="1:10" x14ac:dyDescent="0.2">
      <c r="A102" t="s">
        <v>144</v>
      </c>
      <c r="B102" t="s">
        <v>263</v>
      </c>
      <c r="C102" t="s">
        <v>94</v>
      </c>
      <c r="D102" t="s">
        <v>95</v>
      </c>
      <c r="E102" t="s">
        <v>499</v>
      </c>
      <c r="F102" t="s">
        <v>405</v>
      </c>
      <c r="G102">
        <v>1</v>
      </c>
      <c r="H102" t="s">
        <v>45</v>
      </c>
      <c r="I102">
        <v>11</v>
      </c>
      <c r="J102">
        <v>11</v>
      </c>
    </row>
    <row r="103" spans="1:10" x14ac:dyDescent="0.2">
      <c r="A103" t="s">
        <v>144</v>
      </c>
      <c r="B103" t="s">
        <v>263</v>
      </c>
      <c r="C103" t="s">
        <v>94</v>
      </c>
      <c r="D103" t="s">
        <v>95</v>
      </c>
      <c r="E103" t="s">
        <v>500</v>
      </c>
      <c r="F103" t="s">
        <v>501</v>
      </c>
      <c r="G103">
        <v>2</v>
      </c>
      <c r="H103" t="s">
        <v>45</v>
      </c>
      <c r="I103">
        <v>0.69</v>
      </c>
      <c r="J103">
        <v>1.38</v>
      </c>
    </row>
    <row r="104" spans="1:10" x14ac:dyDescent="0.2">
      <c r="A104" t="s">
        <v>144</v>
      </c>
      <c r="B104" t="s">
        <v>263</v>
      </c>
      <c r="C104" t="s">
        <v>94</v>
      </c>
      <c r="D104" t="s">
        <v>95</v>
      </c>
      <c r="E104" t="s">
        <v>502</v>
      </c>
      <c r="F104" t="s">
        <v>63</v>
      </c>
      <c r="G104">
        <v>4</v>
      </c>
      <c r="H104" t="s">
        <v>45</v>
      </c>
      <c r="I104">
        <v>80</v>
      </c>
      <c r="J104">
        <v>320</v>
      </c>
    </row>
    <row r="105" spans="1:10" x14ac:dyDescent="0.2">
      <c r="A105" t="s">
        <v>144</v>
      </c>
      <c r="B105" t="s">
        <v>263</v>
      </c>
      <c r="C105" t="s">
        <v>94</v>
      </c>
      <c r="D105" t="s">
        <v>95</v>
      </c>
      <c r="E105" t="s">
        <v>382</v>
      </c>
      <c r="F105" t="s">
        <v>383</v>
      </c>
      <c r="G105">
        <v>4</v>
      </c>
      <c r="H105" t="s">
        <v>45</v>
      </c>
      <c r="I105">
        <v>11</v>
      </c>
      <c r="J105">
        <v>44</v>
      </c>
    </row>
    <row r="106" spans="1:10" x14ac:dyDescent="0.2">
      <c r="A106" t="s">
        <v>144</v>
      </c>
      <c r="B106" t="s">
        <v>263</v>
      </c>
      <c r="C106" t="s">
        <v>94</v>
      </c>
      <c r="D106" t="s">
        <v>95</v>
      </c>
      <c r="E106" t="s">
        <v>503</v>
      </c>
      <c r="F106" t="s">
        <v>504</v>
      </c>
      <c r="G106">
        <v>1</v>
      </c>
      <c r="H106" t="s">
        <v>45</v>
      </c>
      <c r="I106">
        <v>12</v>
      </c>
      <c r="J106">
        <v>12</v>
      </c>
    </row>
    <row r="107" spans="1:10" x14ac:dyDescent="0.2">
      <c r="A107" t="s">
        <v>144</v>
      </c>
      <c r="B107" t="s">
        <v>263</v>
      </c>
      <c r="C107" t="s">
        <v>94</v>
      </c>
      <c r="D107" t="s">
        <v>95</v>
      </c>
      <c r="E107" t="s">
        <v>432</v>
      </c>
      <c r="F107" t="s">
        <v>433</v>
      </c>
      <c r="G107">
        <v>1</v>
      </c>
      <c r="H107" t="s">
        <v>45</v>
      </c>
      <c r="I107">
        <v>10</v>
      </c>
      <c r="J107">
        <v>10</v>
      </c>
    </row>
    <row r="108" spans="1:10" x14ac:dyDescent="0.2">
      <c r="A108" t="s">
        <v>144</v>
      </c>
      <c r="B108" t="s">
        <v>263</v>
      </c>
      <c r="C108" t="s">
        <v>94</v>
      </c>
      <c r="D108" t="s">
        <v>95</v>
      </c>
      <c r="E108" t="s">
        <v>505</v>
      </c>
      <c r="F108" t="s">
        <v>506</v>
      </c>
      <c r="G108">
        <v>1</v>
      </c>
      <c r="H108" t="s">
        <v>45</v>
      </c>
      <c r="I108">
        <v>1</v>
      </c>
      <c r="J108">
        <v>1</v>
      </c>
    </row>
    <row r="109" spans="1:10" x14ac:dyDescent="0.2">
      <c r="A109" t="s">
        <v>144</v>
      </c>
      <c r="B109" t="s">
        <v>263</v>
      </c>
      <c r="C109" t="s">
        <v>94</v>
      </c>
      <c r="D109" t="s">
        <v>95</v>
      </c>
      <c r="E109" t="s">
        <v>416</v>
      </c>
      <c r="F109" t="s">
        <v>417</v>
      </c>
      <c r="G109">
        <v>1</v>
      </c>
      <c r="H109" t="s">
        <v>45</v>
      </c>
      <c r="I109">
        <v>97</v>
      </c>
      <c r="J109">
        <v>97</v>
      </c>
    </row>
    <row r="110" spans="1:10" x14ac:dyDescent="0.2">
      <c r="A110" t="s">
        <v>149</v>
      </c>
      <c r="B110" t="s">
        <v>137</v>
      </c>
      <c r="C110" t="s">
        <v>94</v>
      </c>
      <c r="D110" t="s">
        <v>95</v>
      </c>
      <c r="E110" t="s">
        <v>507</v>
      </c>
      <c r="F110" t="s">
        <v>508</v>
      </c>
      <c r="G110">
        <v>2</v>
      </c>
      <c r="H110" t="s">
        <v>45</v>
      </c>
      <c r="I110">
        <v>8</v>
      </c>
      <c r="J110">
        <v>16</v>
      </c>
    </row>
    <row r="111" spans="1:10" x14ac:dyDescent="0.2">
      <c r="A111" t="s">
        <v>149</v>
      </c>
      <c r="B111" t="s">
        <v>137</v>
      </c>
      <c r="C111" t="s">
        <v>94</v>
      </c>
      <c r="D111" t="s">
        <v>95</v>
      </c>
      <c r="E111" t="s">
        <v>509</v>
      </c>
      <c r="F111" t="s">
        <v>510</v>
      </c>
      <c r="G111">
        <v>2</v>
      </c>
      <c r="H111" t="s">
        <v>45</v>
      </c>
      <c r="I111">
        <v>4</v>
      </c>
      <c r="J111">
        <v>8</v>
      </c>
    </row>
    <row r="112" spans="1:10" x14ac:dyDescent="0.2">
      <c r="A112" t="s">
        <v>138</v>
      </c>
      <c r="B112" t="s">
        <v>137</v>
      </c>
      <c r="C112" t="s">
        <v>94</v>
      </c>
      <c r="D112" t="s">
        <v>95</v>
      </c>
      <c r="E112" t="s">
        <v>511</v>
      </c>
      <c r="F112" t="s">
        <v>512</v>
      </c>
      <c r="G112">
        <v>1</v>
      </c>
      <c r="H112" t="s">
        <v>45</v>
      </c>
      <c r="I112">
        <v>7</v>
      </c>
      <c r="J112">
        <v>7</v>
      </c>
    </row>
    <row r="113" spans="1:10" x14ac:dyDescent="0.2">
      <c r="A113" t="s">
        <v>155</v>
      </c>
      <c r="B113" t="s">
        <v>107</v>
      </c>
      <c r="C113" t="s">
        <v>94</v>
      </c>
      <c r="D113" t="s">
        <v>95</v>
      </c>
      <c r="E113" t="s">
        <v>400</v>
      </c>
      <c r="F113" t="s">
        <v>401</v>
      </c>
      <c r="G113">
        <v>1</v>
      </c>
      <c r="H113" t="s">
        <v>45</v>
      </c>
      <c r="I113">
        <v>570</v>
      </c>
      <c r="J113">
        <v>570</v>
      </c>
    </row>
    <row r="114" spans="1:10" x14ac:dyDescent="0.2">
      <c r="A114" t="s">
        <v>151</v>
      </c>
      <c r="B114" t="s">
        <v>263</v>
      </c>
      <c r="C114" t="s">
        <v>94</v>
      </c>
      <c r="D114" t="s">
        <v>95</v>
      </c>
      <c r="E114" t="s">
        <v>358</v>
      </c>
      <c r="F114" t="s">
        <v>359</v>
      </c>
      <c r="G114">
        <v>1</v>
      </c>
      <c r="H114" t="s">
        <v>45</v>
      </c>
      <c r="I114">
        <v>261.25</v>
      </c>
      <c r="J114">
        <v>261.25</v>
      </c>
    </row>
    <row r="115" spans="1:10" x14ac:dyDescent="0.2">
      <c r="A115" t="s">
        <v>157</v>
      </c>
      <c r="B115" t="s">
        <v>263</v>
      </c>
      <c r="C115" t="s">
        <v>94</v>
      </c>
      <c r="D115" t="s">
        <v>95</v>
      </c>
      <c r="E115" t="s">
        <v>358</v>
      </c>
      <c r="F115" t="s">
        <v>359</v>
      </c>
      <c r="G115">
        <v>1</v>
      </c>
      <c r="H115" t="s">
        <v>45</v>
      </c>
      <c r="I115">
        <v>261.25</v>
      </c>
      <c r="J115">
        <v>261.25</v>
      </c>
    </row>
    <row r="116" spans="1:10" x14ac:dyDescent="0.2">
      <c r="A116" t="s">
        <v>147</v>
      </c>
      <c r="B116" t="s">
        <v>146</v>
      </c>
      <c r="C116" t="s">
        <v>94</v>
      </c>
      <c r="D116" t="s">
        <v>95</v>
      </c>
      <c r="E116" t="s">
        <v>513</v>
      </c>
      <c r="F116" t="s">
        <v>514</v>
      </c>
      <c r="G116">
        <v>2</v>
      </c>
      <c r="H116" t="s">
        <v>45</v>
      </c>
      <c r="I116">
        <v>94.54</v>
      </c>
      <c r="J116">
        <v>189.08</v>
      </c>
    </row>
    <row r="117" spans="1:10" x14ac:dyDescent="0.2">
      <c r="A117" t="s">
        <v>147</v>
      </c>
      <c r="B117" t="s">
        <v>146</v>
      </c>
      <c r="C117" t="s">
        <v>94</v>
      </c>
      <c r="D117" t="s">
        <v>95</v>
      </c>
      <c r="E117" t="s">
        <v>489</v>
      </c>
      <c r="F117" t="s">
        <v>490</v>
      </c>
      <c r="G117">
        <v>2</v>
      </c>
      <c r="H117" t="s">
        <v>45</v>
      </c>
      <c r="I117">
        <v>4</v>
      </c>
      <c r="J117">
        <v>8</v>
      </c>
    </row>
    <row r="118" spans="1:10" x14ac:dyDescent="0.2">
      <c r="A118" t="s">
        <v>147</v>
      </c>
      <c r="B118" t="s">
        <v>146</v>
      </c>
      <c r="C118" t="s">
        <v>94</v>
      </c>
      <c r="D118" t="s">
        <v>95</v>
      </c>
      <c r="E118" t="s">
        <v>515</v>
      </c>
      <c r="F118" t="s">
        <v>516</v>
      </c>
      <c r="G118">
        <v>2</v>
      </c>
      <c r="H118" t="s">
        <v>45</v>
      </c>
      <c r="I118">
        <v>94.54</v>
      </c>
      <c r="J118">
        <v>189.08</v>
      </c>
    </row>
    <row r="119" spans="1:10" x14ac:dyDescent="0.2">
      <c r="A119" t="s">
        <v>147</v>
      </c>
      <c r="B119" t="s">
        <v>146</v>
      </c>
      <c r="C119" t="s">
        <v>94</v>
      </c>
      <c r="D119" t="s">
        <v>95</v>
      </c>
      <c r="E119" t="s">
        <v>495</v>
      </c>
      <c r="F119" t="s">
        <v>496</v>
      </c>
      <c r="G119">
        <v>1</v>
      </c>
      <c r="H119" t="s">
        <v>45</v>
      </c>
      <c r="I119">
        <v>11</v>
      </c>
      <c r="J119">
        <v>11</v>
      </c>
    </row>
    <row r="120" spans="1:10" x14ac:dyDescent="0.2">
      <c r="A120" t="s">
        <v>147</v>
      </c>
      <c r="B120" t="s">
        <v>146</v>
      </c>
      <c r="C120" t="s">
        <v>94</v>
      </c>
      <c r="D120" t="s">
        <v>95</v>
      </c>
      <c r="E120" t="s">
        <v>517</v>
      </c>
      <c r="F120" t="s">
        <v>518</v>
      </c>
      <c r="G120">
        <v>2</v>
      </c>
      <c r="H120" t="s">
        <v>45</v>
      </c>
      <c r="I120">
        <v>7</v>
      </c>
      <c r="J120">
        <v>14</v>
      </c>
    </row>
    <row r="121" spans="1:10" x14ac:dyDescent="0.2">
      <c r="A121" t="s">
        <v>147</v>
      </c>
      <c r="B121" t="s">
        <v>146</v>
      </c>
      <c r="C121" t="s">
        <v>94</v>
      </c>
      <c r="D121" t="s">
        <v>95</v>
      </c>
      <c r="E121" t="s">
        <v>400</v>
      </c>
      <c r="F121" t="s">
        <v>401</v>
      </c>
      <c r="G121">
        <v>1</v>
      </c>
      <c r="H121" t="s">
        <v>45</v>
      </c>
      <c r="I121">
        <v>570</v>
      </c>
      <c r="J121">
        <v>570</v>
      </c>
    </row>
    <row r="122" spans="1:10" x14ac:dyDescent="0.2">
      <c r="A122" t="s">
        <v>147</v>
      </c>
      <c r="B122" t="s">
        <v>146</v>
      </c>
      <c r="C122" t="s">
        <v>94</v>
      </c>
      <c r="D122" t="s">
        <v>95</v>
      </c>
      <c r="E122" t="s">
        <v>386</v>
      </c>
      <c r="F122" t="s">
        <v>387</v>
      </c>
      <c r="G122">
        <v>4</v>
      </c>
      <c r="H122" t="s">
        <v>45</v>
      </c>
      <c r="I122">
        <v>11</v>
      </c>
      <c r="J122">
        <v>44</v>
      </c>
    </row>
    <row r="123" spans="1:10" x14ac:dyDescent="0.2">
      <c r="A123" t="s">
        <v>147</v>
      </c>
      <c r="B123" t="s">
        <v>146</v>
      </c>
      <c r="C123" t="s">
        <v>94</v>
      </c>
      <c r="D123" t="s">
        <v>95</v>
      </c>
      <c r="E123" t="s">
        <v>468</v>
      </c>
      <c r="F123" t="s">
        <v>413</v>
      </c>
      <c r="G123">
        <v>2</v>
      </c>
      <c r="H123" t="s">
        <v>45</v>
      </c>
      <c r="I123">
        <v>1</v>
      </c>
      <c r="J123">
        <v>2</v>
      </c>
    </row>
    <row r="124" spans="1:10" x14ac:dyDescent="0.2">
      <c r="A124" t="s">
        <v>147</v>
      </c>
      <c r="B124" t="s">
        <v>146</v>
      </c>
      <c r="C124" t="s">
        <v>94</v>
      </c>
      <c r="D124" t="s">
        <v>95</v>
      </c>
      <c r="E124" t="s">
        <v>519</v>
      </c>
      <c r="F124" t="s">
        <v>520</v>
      </c>
      <c r="G124">
        <v>1</v>
      </c>
      <c r="H124" t="s">
        <v>45</v>
      </c>
      <c r="I124">
        <v>4.95</v>
      </c>
      <c r="J124">
        <v>4.95</v>
      </c>
    </row>
    <row r="125" spans="1:10" x14ac:dyDescent="0.2">
      <c r="A125" t="s">
        <v>147</v>
      </c>
      <c r="B125" t="s">
        <v>146</v>
      </c>
      <c r="C125" t="s">
        <v>94</v>
      </c>
      <c r="D125" t="s">
        <v>95</v>
      </c>
      <c r="E125" t="s">
        <v>521</v>
      </c>
      <c r="F125" t="s">
        <v>486</v>
      </c>
      <c r="G125">
        <v>1</v>
      </c>
      <c r="H125" t="s">
        <v>45</v>
      </c>
      <c r="I125">
        <v>15</v>
      </c>
      <c r="J125">
        <v>15</v>
      </c>
    </row>
    <row r="126" spans="1:10" x14ac:dyDescent="0.2">
      <c r="A126" t="s">
        <v>147</v>
      </c>
      <c r="B126" t="s">
        <v>146</v>
      </c>
      <c r="C126" t="s">
        <v>94</v>
      </c>
      <c r="D126" t="s">
        <v>95</v>
      </c>
      <c r="E126" t="s">
        <v>382</v>
      </c>
      <c r="F126" t="s">
        <v>383</v>
      </c>
      <c r="G126">
        <v>4</v>
      </c>
      <c r="H126" t="s">
        <v>45</v>
      </c>
      <c r="I126">
        <v>11</v>
      </c>
      <c r="J126">
        <v>44</v>
      </c>
    </row>
    <row r="127" spans="1:10" x14ac:dyDescent="0.2">
      <c r="A127" t="s">
        <v>147</v>
      </c>
      <c r="B127" t="s">
        <v>146</v>
      </c>
      <c r="C127" t="s">
        <v>94</v>
      </c>
      <c r="D127" t="s">
        <v>95</v>
      </c>
      <c r="E127" t="s">
        <v>522</v>
      </c>
      <c r="F127" t="s">
        <v>523</v>
      </c>
      <c r="G127">
        <v>1</v>
      </c>
      <c r="H127" t="s">
        <v>45</v>
      </c>
      <c r="I127">
        <v>19</v>
      </c>
      <c r="J127">
        <v>19</v>
      </c>
    </row>
    <row r="128" spans="1:10" x14ac:dyDescent="0.2">
      <c r="A128" t="s">
        <v>147</v>
      </c>
      <c r="B128" t="s">
        <v>146</v>
      </c>
      <c r="C128" t="s">
        <v>94</v>
      </c>
      <c r="D128" t="s">
        <v>95</v>
      </c>
      <c r="E128" t="s">
        <v>414</v>
      </c>
      <c r="F128" t="s">
        <v>415</v>
      </c>
      <c r="G128">
        <v>1</v>
      </c>
      <c r="H128" t="s">
        <v>45</v>
      </c>
      <c r="I128">
        <v>19</v>
      </c>
      <c r="J128">
        <v>19</v>
      </c>
    </row>
    <row r="129" spans="1:10" x14ac:dyDescent="0.2">
      <c r="A129" t="s">
        <v>161</v>
      </c>
      <c r="B129" t="s">
        <v>107</v>
      </c>
      <c r="C129" t="s">
        <v>94</v>
      </c>
      <c r="D129" t="s">
        <v>95</v>
      </c>
      <c r="E129" t="s">
        <v>398</v>
      </c>
      <c r="F129" t="s">
        <v>399</v>
      </c>
      <c r="G129">
        <v>1</v>
      </c>
      <c r="H129" t="s">
        <v>45</v>
      </c>
      <c r="I129">
        <v>432</v>
      </c>
      <c r="J129">
        <v>432</v>
      </c>
    </row>
    <row r="130" spans="1:10" x14ac:dyDescent="0.2">
      <c r="A130" t="s">
        <v>159</v>
      </c>
      <c r="B130" t="s">
        <v>263</v>
      </c>
      <c r="C130" t="s">
        <v>94</v>
      </c>
      <c r="D130" t="s">
        <v>95</v>
      </c>
      <c r="E130" t="s">
        <v>360</v>
      </c>
      <c r="F130" t="s">
        <v>361</v>
      </c>
      <c r="G130">
        <v>1</v>
      </c>
      <c r="H130" t="s">
        <v>45</v>
      </c>
      <c r="I130">
        <v>224</v>
      </c>
      <c r="J130">
        <v>224</v>
      </c>
    </row>
    <row r="131" spans="1:10" x14ac:dyDescent="0.2">
      <c r="A131" t="s">
        <v>167</v>
      </c>
      <c r="B131" t="s">
        <v>107</v>
      </c>
      <c r="C131" t="s">
        <v>94</v>
      </c>
      <c r="D131" t="s">
        <v>95</v>
      </c>
      <c r="E131" t="s">
        <v>524</v>
      </c>
      <c r="F131" t="s">
        <v>525</v>
      </c>
      <c r="G131">
        <v>1</v>
      </c>
      <c r="H131" t="s">
        <v>45</v>
      </c>
      <c r="I131">
        <v>29.1</v>
      </c>
      <c r="J131">
        <v>29.1</v>
      </c>
    </row>
    <row r="132" spans="1:10" x14ac:dyDescent="0.2">
      <c r="A132" t="s">
        <v>167</v>
      </c>
      <c r="B132" t="s">
        <v>107</v>
      </c>
      <c r="C132" t="s">
        <v>94</v>
      </c>
      <c r="D132" t="s">
        <v>95</v>
      </c>
      <c r="E132" t="s">
        <v>526</v>
      </c>
      <c r="F132" t="s">
        <v>527</v>
      </c>
      <c r="G132">
        <v>1</v>
      </c>
      <c r="H132" t="s">
        <v>45</v>
      </c>
      <c r="I132">
        <v>85.59</v>
      </c>
      <c r="J132">
        <v>85.59</v>
      </c>
    </row>
    <row r="133" spans="1:10" x14ac:dyDescent="0.2">
      <c r="A133" t="s">
        <v>165</v>
      </c>
      <c r="B133" t="s">
        <v>107</v>
      </c>
      <c r="C133" t="s">
        <v>94</v>
      </c>
      <c r="D133" t="s">
        <v>95</v>
      </c>
      <c r="E133" t="s">
        <v>528</v>
      </c>
      <c r="F133" t="s">
        <v>529</v>
      </c>
      <c r="G133">
        <v>1</v>
      </c>
      <c r="H133" t="s">
        <v>45</v>
      </c>
      <c r="I133">
        <v>147</v>
      </c>
      <c r="J133">
        <v>147</v>
      </c>
    </row>
    <row r="134" spans="1:10" x14ac:dyDescent="0.2">
      <c r="A134" t="s">
        <v>165</v>
      </c>
      <c r="B134" t="s">
        <v>107</v>
      </c>
      <c r="C134" t="s">
        <v>94</v>
      </c>
      <c r="D134" t="s">
        <v>95</v>
      </c>
      <c r="E134" t="s">
        <v>452</v>
      </c>
      <c r="F134" t="s">
        <v>453</v>
      </c>
      <c r="G134">
        <v>2</v>
      </c>
      <c r="H134" t="s">
        <v>45</v>
      </c>
      <c r="I134">
        <v>141.56</v>
      </c>
      <c r="J134">
        <v>283.12</v>
      </c>
    </row>
    <row r="135" spans="1:10" x14ac:dyDescent="0.2">
      <c r="A135" t="s">
        <v>163</v>
      </c>
      <c r="B135" t="s">
        <v>114</v>
      </c>
      <c r="C135" t="s">
        <v>94</v>
      </c>
      <c r="D135" t="s">
        <v>95</v>
      </c>
      <c r="E135" t="s">
        <v>487</v>
      </c>
      <c r="F135" t="s">
        <v>488</v>
      </c>
      <c r="G135">
        <v>1</v>
      </c>
      <c r="H135" t="s">
        <v>45</v>
      </c>
      <c r="I135">
        <v>501</v>
      </c>
      <c r="J135">
        <v>501</v>
      </c>
    </row>
    <row r="136" spans="1:10" x14ac:dyDescent="0.2">
      <c r="A136" t="s">
        <v>169</v>
      </c>
      <c r="B136" t="s">
        <v>263</v>
      </c>
      <c r="C136" t="s">
        <v>94</v>
      </c>
      <c r="D136" t="s">
        <v>95</v>
      </c>
      <c r="E136" t="s">
        <v>530</v>
      </c>
      <c r="F136" t="s">
        <v>531</v>
      </c>
      <c r="G136">
        <v>1</v>
      </c>
      <c r="H136" t="s">
        <v>45</v>
      </c>
      <c r="I136">
        <v>358</v>
      </c>
      <c r="J136">
        <v>358</v>
      </c>
    </row>
    <row r="137" spans="1:10" x14ac:dyDescent="0.2">
      <c r="A137" t="s">
        <v>191</v>
      </c>
      <c r="B137" t="s">
        <v>263</v>
      </c>
      <c r="C137" t="s">
        <v>94</v>
      </c>
      <c r="D137" t="s">
        <v>95</v>
      </c>
      <c r="E137" t="s">
        <v>360</v>
      </c>
      <c r="F137" t="s">
        <v>361</v>
      </c>
      <c r="G137">
        <v>1</v>
      </c>
      <c r="H137" t="s">
        <v>45</v>
      </c>
      <c r="I137">
        <v>224</v>
      </c>
      <c r="J137">
        <v>224</v>
      </c>
    </row>
    <row r="138" spans="1:10" x14ac:dyDescent="0.2">
      <c r="A138" t="s">
        <v>195</v>
      </c>
      <c r="B138" t="s">
        <v>263</v>
      </c>
      <c r="C138" t="s">
        <v>94</v>
      </c>
      <c r="D138" t="s">
        <v>95</v>
      </c>
      <c r="E138" t="s">
        <v>530</v>
      </c>
      <c r="F138" t="s">
        <v>531</v>
      </c>
      <c r="G138">
        <v>1</v>
      </c>
      <c r="H138" t="s">
        <v>45</v>
      </c>
      <c r="I138">
        <v>358</v>
      </c>
      <c r="J138">
        <v>358</v>
      </c>
    </row>
    <row r="139" spans="1:10" x14ac:dyDescent="0.2">
      <c r="A139" t="s">
        <v>189</v>
      </c>
      <c r="B139" t="s">
        <v>263</v>
      </c>
      <c r="C139" t="s">
        <v>94</v>
      </c>
      <c r="D139" t="s">
        <v>95</v>
      </c>
      <c r="E139" t="s">
        <v>360</v>
      </c>
      <c r="F139" t="s">
        <v>361</v>
      </c>
      <c r="G139">
        <v>1</v>
      </c>
      <c r="H139" t="s">
        <v>45</v>
      </c>
      <c r="I139">
        <v>224</v>
      </c>
      <c r="J139">
        <v>224</v>
      </c>
    </row>
    <row r="140" spans="1:10" x14ac:dyDescent="0.2">
      <c r="A140" t="s">
        <v>187</v>
      </c>
      <c r="B140" t="s">
        <v>263</v>
      </c>
      <c r="C140" t="s">
        <v>94</v>
      </c>
      <c r="D140" t="s">
        <v>95</v>
      </c>
      <c r="E140" t="s">
        <v>360</v>
      </c>
      <c r="F140" t="s">
        <v>361</v>
      </c>
      <c r="G140">
        <v>1</v>
      </c>
      <c r="H140" t="s">
        <v>45</v>
      </c>
      <c r="I140">
        <v>224</v>
      </c>
      <c r="J140">
        <v>224</v>
      </c>
    </row>
    <row r="141" spans="1:10" x14ac:dyDescent="0.2">
      <c r="A141" t="s">
        <v>185</v>
      </c>
      <c r="B141" t="s">
        <v>263</v>
      </c>
      <c r="C141" t="s">
        <v>94</v>
      </c>
      <c r="D141" t="s">
        <v>95</v>
      </c>
      <c r="E141" t="s">
        <v>532</v>
      </c>
      <c r="F141" t="s">
        <v>533</v>
      </c>
      <c r="G141">
        <v>1</v>
      </c>
      <c r="H141" t="s">
        <v>45</v>
      </c>
      <c r="I141">
        <v>358</v>
      </c>
      <c r="J141">
        <v>358</v>
      </c>
    </row>
    <row r="142" spans="1:10" x14ac:dyDescent="0.2">
      <c r="A142" t="s">
        <v>183</v>
      </c>
      <c r="B142" t="s">
        <v>263</v>
      </c>
      <c r="C142" t="s">
        <v>94</v>
      </c>
      <c r="D142" t="s">
        <v>95</v>
      </c>
      <c r="E142" t="s">
        <v>360</v>
      </c>
      <c r="F142" t="s">
        <v>361</v>
      </c>
      <c r="G142">
        <v>1</v>
      </c>
      <c r="H142" t="s">
        <v>45</v>
      </c>
      <c r="I142">
        <v>224</v>
      </c>
      <c r="J142">
        <v>224</v>
      </c>
    </row>
    <row r="143" spans="1:10" x14ac:dyDescent="0.2">
      <c r="A143" t="s">
        <v>181</v>
      </c>
      <c r="B143" t="s">
        <v>263</v>
      </c>
      <c r="C143" t="s">
        <v>94</v>
      </c>
      <c r="D143" t="s">
        <v>95</v>
      </c>
      <c r="E143" t="s">
        <v>360</v>
      </c>
      <c r="F143" t="s">
        <v>361</v>
      </c>
      <c r="G143">
        <v>1</v>
      </c>
      <c r="H143" t="s">
        <v>45</v>
      </c>
      <c r="I143">
        <v>224</v>
      </c>
      <c r="J143">
        <v>224</v>
      </c>
    </row>
    <row r="144" spans="1:10" x14ac:dyDescent="0.2">
      <c r="A144" t="s">
        <v>179</v>
      </c>
      <c r="B144" t="s">
        <v>263</v>
      </c>
      <c r="C144" t="s">
        <v>94</v>
      </c>
      <c r="D144" t="s">
        <v>95</v>
      </c>
      <c r="E144" t="s">
        <v>360</v>
      </c>
      <c r="F144" t="s">
        <v>361</v>
      </c>
      <c r="G144">
        <v>1</v>
      </c>
      <c r="H144" t="s">
        <v>45</v>
      </c>
      <c r="I144">
        <v>224</v>
      </c>
      <c r="J144">
        <v>224</v>
      </c>
    </row>
    <row r="145" spans="1:10" x14ac:dyDescent="0.2">
      <c r="A145" t="s">
        <v>193</v>
      </c>
      <c r="B145" t="s">
        <v>263</v>
      </c>
      <c r="C145" t="s">
        <v>94</v>
      </c>
      <c r="D145" t="s">
        <v>95</v>
      </c>
      <c r="E145" t="s">
        <v>532</v>
      </c>
      <c r="F145" t="s">
        <v>533</v>
      </c>
      <c r="G145">
        <v>1</v>
      </c>
      <c r="H145" t="s">
        <v>45</v>
      </c>
      <c r="I145">
        <v>358</v>
      </c>
      <c r="J145">
        <v>358</v>
      </c>
    </row>
    <row r="146" spans="1:10" x14ac:dyDescent="0.2">
      <c r="A146" t="s">
        <v>177</v>
      </c>
      <c r="B146" t="s">
        <v>263</v>
      </c>
      <c r="C146" t="s">
        <v>94</v>
      </c>
      <c r="D146" t="s">
        <v>95</v>
      </c>
      <c r="E146" t="s">
        <v>532</v>
      </c>
      <c r="F146" t="s">
        <v>533</v>
      </c>
      <c r="G146">
        <v>1</v>
      </c>
      <c r="H146" t="s">
        <v>45</v>
      </c>
      <c r="I146">
        <v>358</v>
      </c>
      <c r="J146">
        <v>358</v>
      </c>
    </row>
    <row r="147" spans="1:10" x14ac:dyDescent="0.2">
      <c r="A147" t="s">
        <v>175</v>
      </c>
      <c r="B147" t="s">
        <v>263</v>
      </c>
      <c r="C147" t="s">
        <v>94</v>
      </c>
      <c r="D147" t="s">
        <v>95</v>
      </c>
      <c r="E147" t="s">
        <v>532</v>
      </c>
      <c r="F147" t="s">
        <v>533</v>
      </c>
      <c r="G147">
        <v>1</v>
      </c>
      <c r="H147" t="s">
        <v>45</v>
      </c>
      <c r="I147">
        <v>358</v>
      </c>
      <c r="J147">
        <v>358</v>
      </c>
    </row>
    <row r="148" spans="1:10" x14ac:dyDescent="0.2">
      <c r="A148" t="s">
        <v>173</v>
      </c>
      <c r="B148" t="s">
        <v>263</v>
      </c>
      <c r="C148" t="s">
        <v>94</v>
      </c>
      <c r="D148" t="s">
        <v>95</v>
      </c>
      <c r="E148" t="s">
        <v>532</v>
      </c>
      <c r="F148" t="s">
        <v>533</v>
      </c>
      <c r="G148">
        <v>1</v>
      </c>
      <c r="H148" t="s">
        <v>45</v>
      </c>
      <c r="I148">
        <v>358</v>
      </c>
      <c r="J148">
        <v>358</v>
      </c>
    </row>
    <row r="149" spans="1:10" x14ac:dyDescent="0.2">
      <c r="A149" t="s">
        <v>171</v>
      </c>
      <c r="B149" t="s">
        <v>114</v>
      </c>
      <c r="C149" t="s">
        <v>94</v>
      </c>
      <c r="D149" t="s">
        <v>95</v>
      </c>
      <c r="E149" t="s">
        <v>400</v>
      </c>
      <c r="F149" t="s">
        <v>401</v>
      </c>
      <c r="G149">
        <v>1</v>
      </c>
      <c r="H149" t="s">
        <v>45</v>
      </c>
      <c r="I149">
        <v>570</v>
      </c>
      <c r="J149">
        <v>570</v>
      </c>
    </row>
    <row r="150" spans="1:10" x14ac:dyDescent="0.2">
      <c r="A150" t="s">
        <v>153</v>
      </c>
      <c r="B150" t="s">
        <v>121</v>
      </c>
      <c r="C150" t="s">
        <v>94</v>
      </c>
      <c r="D150" t="s">
        <v>95</v>
      </c>
      <c r="E150" t="s">
        <v>534</v>
      </c>
      <c r="F150" t="s">
        <v>535</v>
      </c>
      <c r="G150">
        <v>1</v>
      </c>
      <c r="H150" t="s">
        <v>45</v>
      </c>
      <c r="I150">
        <v>122</v>
      </c>
      <c r="J150">
        <v>122</v>
      </c>
    </row>
    <row r="151" spans="1:10" x14ac:dyDescent="0.2">
      <c r="A151" t="s">
        <v>199</v>
      </c>
      <c r="B151" t="s">
        <v>146</v>
      </c>
      <c r="C151" t="s">
        <v>94</v>
      </c>
      <c r="D151" t="s">
        <v>95</v>
      </c>
      <c r="E151" t="s">
        <v>400</v>
      </c>
      <c r="F151" t="s">
        <v>401</v>
      </c>
      <c r="G151">
        <v>1</v>
      </c>
      <c r="H151" t="s">
        <v>45</v>
      </c>
      <c r="I151">
        <v>570</v>
      </c>
      <c r="J151">
        <v>570</v>
      </c>
    </row>
    <row r="152" spans="1:10" x14ac:dyDescent="0.2">
      <c r="A152" t="s">
        <v>142</v>
      </c>
      <c r="B152" t="s">
        <v>107</v>
      </c>
      <c r="C152" t="s">
        <v>94</v>
      </c>
      <c r="D152" t="s">
        <v>95</v>
      </c>
      <c r="E152" t="s">
        <v>536</v>
      </c>
      <c r="F152" t="s">
        <v>537</v>
      </c>
      <c r="G152">
        <v>1</v>
      </c>
      <c r="H152" t="s">
        <v>45</v>
      </c>
      <c r="I152">
        <v>74</v>
      </c>
      <c r="J152">
        <v>74</v>
      </c>
    </row>
    <row r="153" spans="1:10" x14ac:dyDescent="0.2">
      <c r="A153" t="s">
        <v>205</v>
      </c>
      <c r="B153" t="s">
        <v>137</v>
      </c>
      <c r="C153" t="s">
        <v>94</v>
      </c>
      <c r="D153" t="s">
        <v>95</v>
      </c>
      <c r="E153" t="s">
        <v>538</v>
      </c>
      <c r="F153" t="s">
        <v>539</v>
      </c>
      <c r="G153">
        <v>1</v>
      </c>
      <c r="H153" t="s">
        <v>45</v>
      </c>
      <c r="I153">
        <v>32.479999999999997</v>
      </c>
      <c r="J153">
        <v>32.479999999999997</v>
      </c>
    </row>
    <row r="154" spans="1:10" x14ac:dyDescent="0.2">
      <c r="A154" t="s">
        <v>203</v>
      </c>
      <c r="B154" t="s">
        <v>146</v>
      </c>
      <c r="C154" t="s">
        <v>94</v>
      </c>
      <c r="D154" t="s">
        <v>95</v>
      </c>
      <c r="E154" t="s">
        <v>398</v>
      </c>
      <c r="F154" t="s">
        <v>399</v>
      </c>
      <c r="G154">
        <v>1</v>
      </c>
      <c r="H154" t="s">
        <v>45</v>
      </c>
      <c r="I154">
        <v>432</v>
      </c>
      <c r="J154">
        <v>432</v>
      </c>
    </row>
    <row r="155" spans="1:10" x14ac:dyDescent="0.2">
      <c r="A155" t="s">
        <v>207</v>
      </c>
      <c r="B155" t="s">
        <v>107</v>
      </c>
      <c r="C155" t="s">
        <v>94</v>
      </c>
      <c r="D155" t="s">
        <v>95</v>
      </c>
      <c r="E155" t="s">
        <v>540</v>
      </c>
      <c r="F155" t="s">
        <v>541</v>
      </c>
      <c r="G155">
        <v>1</v>
      </c>
      <c r="H155" t="s">
        <v>45</v>
      </c>
      <c r="I155">
        <v>185.82</v>
      </c>
      <c r="J155">
        <v>185.82</v>
      </c>
    </row>
    <row r="156" spans="1:10" x14ac:dyDescent="0.2">
      <c r="A156" t="s">
        <v>216</v>
      </c>
      <c r="B156" t="s">
        <v>215</v>
      </c>
      <c r="C156" t="s">
        <v>94</v>
      </c>
      <c r="D156" t="s">
        <v>95</v>
      </c>
      <c r="E156" t="s">
        <v>382</v>
      </c>
      <c r="F156" t="s">
        <v>383</v>
      </c>
      <c r="G156">
        <v>2</v>
      </c>
      <c r="H156" t="s">
        <v>45</v>
      </c>
      <c r="I156">
        <v>11</v>
      </c>
      <c r="J156">
        <v>22</v>
      </c>
    </row>
    <row r="157" spans="1:10" x14ac:dyDescent="0.2">
      <c r="A157" t="s">
        <v>216</v>
      </c>
      <c r="B157" t="s">
        <v>215</v>
      </c>
      <c r="C157" t="s">
        <v>94</v>
      </c>
      <c r="D157" t="s">
        <v>95</v>
      </c>
      <c r="E157" t="s">
        <v>386</v>
      </c>
      <c r="F157" t="s">
        <v>387</v>
      </c>
      <c r="G157">
        <v>2</v>
      </c>
      <c r="H157" t="s">
        <v>45</v>
      </c>
      <c r="I157">
        <v>11</v>
      </c>
      <c r="J157">
        <v>22</v>
      </c>
    </row>
    <row r="158" spans="1:10" x14ac:dyDescent="0.2">
      <c r="A158" t="s">
        <v>209</v>
      </c>
      <c r="B158" t="s">
        <v>107</v>
      </c>
      <c r="C158" t="s">
        <v>94</v>
      </c>
      <c r="D158" t="s">
        <v>95</v>
      </c>
      <c r="E158" t="s">
        <v>398</v>
      </c>
      <c r="F158" t="s">
        <v>399</v>
      </c>
      <c r="G158">
        <v>1</v>
      </c>
      <c r="H158" t="s">
        <v>45</v>
      </c>
      <c r="I158">
        <v>432</v>
      </c>
      <c r="J158">
        <v>432</v>
      </c>
    </row>
    <row r="159" spans="1:10" x14ac:dyDescent="0.2">
      <c r="A159" t="s">
        <v>213</v>
      </c>
      <c r="B159" t="s">
        <v>114</v>
      </c>
      <c r="C159" t="s">
        <v>94</v>
      </c>
      <c r="D159" t="s">
        <v>95</v>
      </c>
      <c r="E159" t="s">
        <v>487</v>
      </c>
      <c r="F159" t="s">
        <v>488</v>
      </c>
      <c r="G159">
        <v>1</v>
      </c>
      <c r="H159" t="s">
        <v>45</v>
      </c>
      <c r="I159">
        <v>501</v>
      </c>
      <c r="J159">
        <v>501</v>
      </c>
    </row>
    <row r="160" spans="1:10" x14ac:dyDescent="0.2">
      <c r="A160" t="s">
        <v>211</v>
      </c>
      <c r="B160" t="s">
        <v>263</v>
      </c>
      <c r="C160" t="s">
        <v>94</v>
      </c>
      <c r="D160" t="s">
        <v>95</v>
      </c>
      <c r="E160" t="s">
        <v>542</v>
      </c>
      <c r="F160" t="s">
        <v>543</v>
      </c>
      <c r="G160">
        <v>1</v>
      </c>
      <c r="H160" t="s">
        <v>45</v>
      </c>
      <c r="I160">
        <v>317</v>
      </c>
      <c r="J160">
        <v>317</v>
      </c>
    </row>
    <row r="161" spans="1:10" x14ac:dyDescent="0.2">
      <c r="A161" t="s">
        <v>211</v>
      </c>
      <c r="B161" t="s">
        <v>263</v>
      </c>
      <c r="C161" t="s">
        <v>94</v>
      </c>
      <c r="D161" t="s">
        <v>95</v>
      </c>
      <c r="E161" t="s">
        <v>544</v>
      </c>
      <c r="F161" t="s">
        <v>545</v>
      </c>
      <c r="G161">
        <v>1</v>
      </c>
      <c r="H161" t="s">
        <v>45</v>
      </c>
      <c r="I161">
        <v>552</v>
      </c>
      <c r="J161">
        <v>552</v>
      </c>
    </row>
    <row r="162" spans="1:10" x14ac:dyDescent="0.2">
      <c r="A162" t="s">
        <v>222</v>
      </c>
      <c r="B162" t="s">
        <v>263</v>
      </c>
      <c r="C162" t="s">
        <v>94</v>
      </c>
      <c r="D162" t="s">
        <v>95</v>
      </c>
      <c r="E162" t="s">
        <v>542</v>
      </c>
      <c r="F162" t="s">
        <v>543</v>
      </c>
      <c r="G162">
        <v>1</v>
      </c>
      <c r="H162" t="s">
        <v>45</v>
      </c>
      <c r="I162">
        <v>317</v>
      </c>
      <c r="J162">
        <v>317</v>
      </c>
    </row>
    <row r="163" spans="1:10" x14ac:dyDescent="0.2">
      <c r="A163" t="s">
        <v>220</v>
      </c>
      <c r="B163" t="s">
        <v>263</v>
      </c>
      <c r="C163" t="s">
        <v>94</v>
      </c>
      <c r="D163" t="s">
        <v>95</v>
      </c>
      <c r="E163" t="s">
        <v>546</v>
      </c>
      <c r="F163" t="s">
        <v>547</v>
      </c>
      <c r="G163">
        <v>1</v>
      </c>
      <c r="H163" t="s">
        <v>45</v>
      </c>
      <c r="I163">
        <v>11.2</v>
      </c>
      <c r="J163">
        <v>11.2</v>
      </c>
    </row>
    <row r="164" spans="1:10" x14ac:dyDescent="0.2">
      <c r="A164" t="s">
        <v>233</v>
      </c>
      <c r="B164" t="s">
        <v>114</v>
      </c>
      <c r="C164" t="s">
        <v>94</v>
      </c>
      <c r="D164" t="s">
        <v>95</v>
      </c>
      <c r="E164" t="s">
        <v>548</v>
      </c>
      <c r="F164" t="s">
        <v>549</v>
      </c>
      <c r="G164">
        <v>1</v>
      </c>
      <c r="H164" t="s">
        <v>45</v>
      </c>
      <c r="I164">
        <v>27</v>
      </c>
      <c r="J164">
        <v>27</v>
      </c>
    </row>
    <row r="165" spans="1:10" x14ac:dyDescent="0.2">
      <c r="A165" t="s">
        <v>224</v>
      </c>
      <c r="B165" t="s">
        <v>215</v>
      </c>
      <c r="C165" t="s">
        <v>94</v>
      </c>
      <c r="D165" t="s">
        <v>95</v>
      </c>
      <c r="E165" t="s">
        <v>400</v>
      </c>
      <c r="F165" t="s">
        <v>401</v>
      </c>
      <c r="G165">
        <v>1</v>
      </c>
      <c r="H165" t="s">
        <v>45</v>
      </c>
      <c r="I165">
        <v>570</v>
      </c>
      <c r="J165">
        <v>570</v>
      </c>
    </row>
    <row r="166" spans="1:10" x14ac:dyDescent="0.2">
      <c r="A166" t="s">
        <v>218</v>
      </c>
      <c r="B166" t="s">
        <v>263</v>
      </c>
      <c r="C166" t="s">
        <v>94</v>
      </c>
      <c r="D166" t="s">
        <v>95</v>
      </c>
      <c r="E166" t="s">
        <v>542</v>
      </c>
      <c r="F166" t="s">
        <v>543</v>
      </c>
      <c r="G166">
        <v>1</v>
      </c>
      <c r="H166" t="s">
        <v>45</v>
      </c>
      <c r="I166">
        <v>317</v>
      </c>
      <c r="J166">
        <v>317</v>
      </c>
    </row>
    <row r="167" spans="1:10" x14ac:dyDescent="0.2">
      <c r="A167" t="s">
        <v>229</v>
      </c>
      <c r="B167" t="s">
        <v>228</v>
      </c>
      <c r="C167" t="s">
        <v>94</v>
      </c>
      <c r="D167" t="s">
        <v>95</v>
      </c>
      <c r="E167" t="s">
        <v>487</v>
      </c>
      <c r="F167" t="s">
        <v>488</v>
      </c>
      <c r="G167">
        <v>1</v>
      </c>
      <c r="H167" t="s">
        <v>45</v>
      </c>
      <c r="I167">
        <v>501</v>
      </c>
      <c r="J167">
        <v>501</v>
      </c>
    </row>
    <row r="168" spans="1:10" x14ac:dyDescent="0.2">
      <c r="A168" t="s">
        <v>229</v>
      </c>
      <c r="B168" t="s">
        <v>228</v>
      </c>
      <c r="C168" t="s">
        <v>94</v>
      </c>
      <c r="D168" t="s">
        <v>95</v>
      </c>
      <c r="E168" t="s">
        <v>550</v>
      </c>
      <c r="F168" t="s">
        <v>551</v>
      </c>
      <c r="G168">
        <v>1</v>
      </c>
      <c r="H168" t="s">
        <v>45</v>
      </c>
      <c r="I168">
        <v>10</v>
      </c>
      <c r="J168">
        <v>10</v>
      </c>
    </row>
    <row r="169" spans="1:10" x14ac:dyDescent="0.2">
      <c r="A169" t="s">
        <v>226</v>
      </c>
      <c r="B169" t="s">
        <v>263</v>
      </c>
      <c r="C169" t="s">
        <v>94</v>
      </c>
      <c r="D169" t="s">
        <v>95</v>
      </c>
      <c r="E169" t="s">
        <v>360</v>
      </c>
      <c r="F169" t="s">
        <v>361</v>
      </c>
      <c r="G169">
        <v>1</v>
      </c>
      <c r="H169" t="s">
        <v>45</v>
      </c>
      <c r="I169">
        <v>224</v>
      </c>
      <c r="J169">
        <v>224</v>
      </c>
    </row>
    <row r="170" spans="1:10" x14ac:dyDescent="0.2">
      <c r="A170" t="s">
        <v>236</v>
      </c>
      <c r="B170" t="s">
        <v>235</v>
      </c>
      <c r="C170" t="s">
        <v>94</v>
      </c>
      <c r="D170" t="s">
        <v>95</v>
      </c>
      <c r="E170" t="s">
        <v>548</v>
      </c>
      <c r="F170" t="s">
        <v>549</v>
      </c>
      <c r="G170">
        <v>1</v>
      </c>
      <c r="H170" t="s">
        <v>45</v>
      </c>
      <c r="I170">
        <v>27</v>
      </c>
      <c r="J170">
        <v>27</v>
      </c>
    </row>
    <row r="171" spans="1:10" x14ac:dyDescent="0.2">
      <c r="A171" t="s">
        <v>238</v>
      </c>
      <c r="B171" t="s">
        <v>263</v>
      </c>
      <c r="C171" t="s">
        <v>94</v>
      </c>
      <c r="D171" t="s">
        <v>95</v>
      </c>
      <c r="E171" t="s">
        <v>532</v>
      </c>
      <c r="F171" t="s">
        <v>533</v>
      </c>
      <c r="G171">
        <v>1</v>
      </c>
      <c r="H171" t="s">
        <v>45</v>
      </c>
      <c r="I171">
        <v>358</v>
      </c>
      <c r="J171">
        <v>358</v>
      </c>
    </row>
    <row r="172" spans="1:10" x14ac:dyDescent="0.2">
      <c r="A172" t="s">
        <v>240</v>
      </c>
      <c r="B172" t="s">
        <v>263</v>
      </c>
      <c r="C172" t="s">
        <v>94</v>
      </c>
      <c r="D172" t="s">
        <v>95</v>
      </c>
      <c r="E172" t="s">
        <v>532</v>
      </c>
      <c r="F172" t="s">
        <v>533</v>
      </c>
      <c r="G172">
        <v>1</v>
      </c>
      <c r="H172" t="s">
        <v>45</v>
      </c>
      <c r="I172">
        <v>358</v>
      </c>
      <c r="J172">
        <v>358</v>
      </c>
    </row>
    <row r="173" spans="1:10" x14ac:dyDescent="0.2">
      <c r="A173" t="s">
        <v>242</v>
      </c>
      <c r="B173" t="s">
        <v>263</v>
      </c>
      <c r="C173" t="s">
        <v>94</v>
      </c>
      <c r="D173" t="s">
        <v>95</v>
      </c>
      <c r="E173" t="s">
        <v>532</v>
      </c>
      <c r="F173" t="s">
        <v>533</v>
      </c>
      <c r="G173">
        <v>1</v>
      </c>
      <c r="H173" t="s">
        <v>45</v>
      </c>
      <c r="I173">
        <v>358</v>
      </c>
      <c r="J173">
        <v>358</v>
      </c>
    </row>
    <row r="174" spans="1:10" x14ac:dyDescent="0.2">
      <c r="A174" t="s">
        <v>244</v>
      </c>
      <c r="B174" t="s">
        <v>263</v>
      </c>
      <c r="C174" t="s">
        <v>94</v>
      </c>
      <c r="D174" t="s">
        <v>95</v>
      </c>
      <c r="E174" t="s">
        <v>532</v>
      </c>
      <c r="F174" t="s">
        <v>533</v>
      </c>
      <c r="G174">
        <v>1</v>
      </c>
      <c r="H174" t="s">
        <v>45</v>
      </c>
      <c r="I174">
        <v>358</v>
      </c>
      <c r="J174">
        <v>358</v>
      </c>
    </row>
    <row r="175" spans="1:10" x14ac:dyDescent="0.2">
      <c r="A175" t="s">
        <v>246</v>
      </c>
      <c r="B175" t="s">
        <v>263</v>
      </c>
      <c r="C175" t="s">
        <v>94</v>
      </c>
      <c r="D175" t="s">
        <v>95</v>
      </c>
      <c r="E175" t="s">
        <v>532</v>
      </c>
      <c r="F175" t="s">
        <v>533</v>
      </c>
      <c r="G175">
        <v>1</v>
      </c>
      <c r="H175" t="s">
        <v>45</v>
      </c>
      <c r="I175">
        <v>358</v>
      </c>
      <c r="J175">
        <v>358</v>
      </c>
    </row>
    <row r="176" spans="1:10" x14ac:dyDescent="0.2">
      <c r="A176" t="s">
        <v>248</v>
      </c>
      <c r="B176" t="s">
        <v>263</v>
      </c>
      <c r="C176" t="s">
        <v>94</v>
      </c>
      <c r="D176" t="s">
        <v>95</v>
      </c>
      <c r="E176" t="s">
        <v>360</v>
      </c>
      <c r="F176" t="s">
        <v>361</v>
      </c>
      <c r="G176">
        <v>1</v>
      </c>
      <c r="H176" t="s">
        <v>45</v>
      </c>
      <c r="I176">
        <v>224</v>
      </c>
      <c r="J176">
        <v>224</v>
      </c>
    </row>
    <row r="177" spans="1:10" x14ac:dyDescent="0.2">
      <c r="A177" t="s">
        <v>250</v>
      </c>
      <c r="B177" t="s">
        <v>263</v>
      </c>
      <c r="C177" t="s">
        <v>94</v>
      </c>
      <c r="D177" t="s">
        <v>95</v>
      </c>
      <c r="E177" t="s">
        <v>532</v>
      </c>
      <c r="F177" t="s">
        <v>533</v>
      </c>
      <c r="G177">
        <v>1</v>
      </c>
      <c r="H177" t="s">
        <v>45</v>
      </c>
      <c r="I177">
        <v>358</v>
      </c>
      <c r="J177">
        <v>358</v>
      </c>
    </row>
    <row r="178" spans="1:10" x14ac:dyDescent="0.2">
      <c r="A178" t="s">
        <v>252</v>
      </c>
      <c r="B178" t="s">
        <v>263</v>
      </c>
      <c r="C178" t="s">
        <v>94</v>
      </c>
      <c r="D178" t="s">
        <v>95</v>
      </c>
      <c r="E178" t="s">
        <v>532</v>
      </c>
      <c r="F178" t="s">
        <v>533</v>
      </c>
      <c r="G178">
        <v>1</v>
      </c>
      <c r="H178" t="s">
        <v>45</v>
      </c>
      <c r="I178">
        <v>358</v>
      </c>
      <c r="J178">
        <v>358</v>
      </c>
    </row>
    <row r="179" spans="1:10" x14ac:dyDescent="0.2">
      <c r="A179" t="s">
        <v>254</v>
      </c>
      <c r="B179" t="s">
        <v>263</v>
      </c>
      <c r="C179" t="s">
        <v>94</v>
      </c>
      <c r="D179" t="s">
        <v>95</v>
      </c>
      <c r="E179" t="s">
        <v>532</v>
      </c>
      <c r="F179" t="s">
        <v>533</v>
      </c>
      <c r="G179">
        <v>1</v>
      </c>
      <c r="H179" t="s">
        <v>45</v>
      </c>
      <c r="I179">
        <v>358</v>
      </c>
      <c r="J179">
        <v>358</v>
      </c>
    </row>
    <row r="180" spans="1:10" x14ac:dyDescent="0.2">
      <c r="A180" t="s">
        <v>256</v>
      </c>
      <c r="B180" t="s">
        <v>263</v>
      </c>
      <c r="C180" t="s">
        <v>94</v>
      </c>
      <c r="D180" t="s">
        <v>95</v>
      </c>
      <c r="E180" t="s">
        <v>532</v>
      </c>
      <c r="F180" t="s">
        <v>533</v>
      </c>
      <c r="G180">
        <v>1</v>
      </c>
      <c r="H180" t="s">
        <v>45</v>
      </c>
      <c r="I180">
        <v>358</v>
      </c>
      <c r="J180">
        <v>358</v>
      </c>
    </row>
    <row r="181" spans="1:10" x14ac:dyDescent="0.2">
      <c r="A181" t="s">
        <v>258</v>
      </c>
      <c r="B181" t="s">
        <v>263</v>
      </c>
      <c r="C181" t="s">
        <v>94</v>
      </c>
      <c r="D181" t="s">
        <v>95</v>
      </c>
      <c r="E181" t="s">
        <v>360</v>
      </c>
      <c r="F181" t="s">
        <v>361</v>
      </c>
      <c r="G181">
        <v>1</v>
      </c>
      <c r="H181" t="s">
        <v>45</v>
      </c>
      <c r="I181">
        <v>224</v>
      </c>
      <c r="J181">
        <v>224</v>
      </c>
    </row>
    <row r="182" spans="1:10" x14ac:dyDescent="0.2">
      <c r="A182" t="s">
        <v>260</v>
      </c>
      <c r="B182" t="s">
        <v>263</v>
      </c>
      <c r="C182" t="s">
        <v>94</v>
      </c>
      <c r="D182" t="s">
        <v>95</v>
      </c>
      <c r="E182" t="s">
        <v>360</v>
      </c>
      <c r="F182" t="s">
        <v>361</v>
      </c>
      <c r="G182">
        <v>1</v>
      </c>
      <c r="H182" t="s">
        <v>45</v>
      </c>
      <c r="I182">
        <v>224</v>
      </c>
      <c r="J182">
        <v>224</v>
      </c>
    </row>
    <row r="183" spans="1:10" x14ac:dyDescent="0.2">
      <c r="A183" t="s">
        <v>262</v>
      </c>
      <c r="B183" t="s">
        <v>263</v>
      </c>
      <c r="C183" t="s">
        <v>94</v>
      </c>
      <c r="D183" t="s">
        <v>95</v>
      </c>
      <c r="E183" t="s">
        <v>360</v>
      </c>
      <c r="F183" t="s">
        <v>361</v>
      </c>
      <c r="G183">
        <v>1</v>
      </c>
      <c r="H183" t="s">
        <v>45</v>
      </c>
      <c r="I183">
        <v>224</v>
      </c>
      <c r="J183">
        <v>224</v>
      </c>
    </row>
    <row r="184" spans="1:10" x14ac:dyDescent="0.2">
      <c r="A184" t="s">
        <v>231</v>
      </c>
      <c r="B184" t="s">
        <v>263</v>
      </c>
      <c r="C184" t="s">
        <v>94</v>
      </c>
      <c r="D184" t="s">
        <v>95</v>
      </c>
      <c r="E184" t="s">
        <v>548</v>
      </c>
      <c r="F184" t="s">
        <v>549</v>
      </c>
      <c r="G184">
        <v>1</v>
      </c>
      <c r="H184" t="s">
        <v>45</v>
      </c>
      <c r="I184">
        <v>27</v>
      </c>
      <c r="J184">
        <v>27</v>
      </c>
    </row>
    <row r="185" spans="1:10" x14ac:dyDescent="0.2">
      <c r="A185" t="s">
        <v>197</v>
      </c>
      <c r="B185" t="s">
        <v>146</v>
      </c>
      <c r="C185" t="s">
        <v>94</v>
      </c>
      <c r="D185" t="s">
        <v>95</v>
      </c>
      <c r="E185" t="s">
        <v>382</v>
      </c>
      <c r="F185" t="s">
        <v>383</v>
      </c>
      <c r="G185">
        <v>4</v>
      </c>
      <c r="H185" t="s">
        <v>45</v>
      </c>
      <c r="I185">
        <v>11</v>
      </c>
      <c r="J185">
        <v>44</v>
      </c>
    </row>
    <row r="186" spans="1:10" x14ac:dyDescent="0.2">
      <c r="A186" t="s">
        <v>197</v>
      </c>
      <c r="B186" t="s">
        <v>146</v>
      </c>
      <c r="C186" t="s">
        <v>94</v>
      </c>
      <c r="D186" t="s">
        <v>95</v>
      </c>
      <c r="E186" t="s">
        <v>552</v>
      </c>
      <c r="F186" t="s">
        <v>553</v>
      </c>
      <c r="G186">
        <v>1</v>
      </c>
      <c r="H186" t="s">
        <v>45</v>
      </c>
      <c r="I186">
        <v>0.52</v>
      </c>
      <c r="J186">
        <v>0.52</v>
      </c>
    </row>
    <row r="187" spans="1:10" x14ac:dyDescent="0.2">
      <c r="A187" t="s">
        <v>197</v>
      </c>
      <c r="B187" t="s">
        <v>146</v>
      </c>
      <c r="C187" t="s">
        <v>94</v>
      </c>
      <c r="D187" t="s">
        <v>95</v>
      </c>
      <c r="E187" t="s">
        <v>489</v>
      </c>
      <c r="F187" t="s">
        <v>490</v>
      </c>
      <c r="G187">
        <v>1</v>
      </c>
      <c r="H187" t="s">
        <v>45</v>
      </c>
      <c r="I187">
        <v>4</v>
      </c>
      <c r="J187">
        <v>4</v>
      </c>
    </row>
    <row r="188" spans="1:10" x14ac:dyDescent="0.2">
      <c r="A188" t="s">
        <v>197</v>
      </c>
      <c r="B188" t="s">
        <v>146</v>
      </c>
      <c r="C188" t="s">
        <v>94</v>
      </c>
      <c r="D188" t="s">
        <v>95</v>
      </c>
      <c r="E188" t="s">
        <v>554</v>
      </c>
      <c r="F188" t="s">
        <v>555</v>
      </c>
      <c r="G188">
        <v>1</v>
      </c>
      <c r="H188" t="s">
        <v>45</v>
      </c>
      <c r="I188">
        <v>0.9</v>
      </c>
      <c r="J188">
        <v>0.9</v>
      </c>
    </row>
    <row r="189" spans="1:10" x14ac:dyDescent="0.2">
      <c r="A189" t="s">
        <v>197</v>
      </c>
      <c r="B189" t="s">
        <v>146</v>
      </c>
      <c r="C189" t="s">
        <v>94</v>
      </c>
      <c r="D189" t="s">
        <v>95</v>
      </c>
      <c r="E189" t="s">
        <v>556</v>
      </c>
      <c r="F189" t="s">
        <v>557</v>
      </c>
      <c r="G189">
        <v>1</v>
      </c>
      <c r="H189" t="s">
        <v>45</v>
      </c>
      <c r="I189">
        <v>0.55000000000000004</v>
      </c>
      <c r="J189">
        <v>0.55000000000000004</v>
      </c>
    </row>
    <row r="190" spans="1:10" x14ac:dyDescent="0.2">
      <c r="A190" t="s">
        <v>197</v>
      </c>
      <c r="B190" t="s">
        <v>146</v>
      </c>
      <c r="C190" t="s">
        <v>94</v>
      </c>
      <c r="D190" t="s">
        <v>95</v>
      </c>
      <c r="E190" t="s">
        <v>475</v>
      </c>
      <c r="F190" t="s">
        <v>476</v>
      </c>
      <c r="G190">
        <v>1</v>
      </c>
      <c r="H190" t="s">
        <v>45</v>
      </c>
      <c r="I190">
        <v>1</v>
      </c>
      <c r="J190">
        <v>1</v>
      </c>
    </row>
    <row r="191" spans="1:10" x14ac:dyDescent="0.2">
      <c r="A191" t="s">
        <v>197</v>
      </c>
      <c r="B191" t="s">
        <v>146</v>
      </c>
      <c r="C191" t="s">
        <v>94</v>
      </c>
      <c r="D191" t="s">
        <v>95</v>
      </c>
      <c r="E191" t="s">
        <v>370</v>
      </c>
      <c r="F191" t="s">
        <v>371</v>
      </c>
      <c r="G191">
        <v>1</v>
      </c>
      <c r="H191" t="s">
        <v>45</v>
      </c>
      <c r="I191">
        <v>1</v>
      </c>
      <c r="J191">
        <v>1</v>
      </c>
    </row>
    <row r="192" spans="1:10" x14ac:dyDescent="0.2">
      <c r="A192" t="s">
        <v>197</v>
      </c>
      <c r="B192" t="s">
        <v>146</v>
      </c>
      <c r="C192" t="s">
        <v>94</v>
      </c>
      <c r="D192" t="s">
        <v>95</v>
      </c>
      <c r="E192" t="s">
        <v>558</v>
      </c>
      <c r="F192" t="s">
        <v>559</v>
      </c>
      <c r="G192">
        <v>2</v>
      </c>
      <c r="H192" t="s">
        <v>45</v>
      </c>
      <c r="I192">
        <v>0.4</v>
      </c>
      <c r="J192">
        <v>0.8</v>
      </c>
    </row>
    <row r="193" spans="1:10" x14ac:dyDescent="0.2">
      <c r="A193" t="s">
        <v>197</v>
      </c>
      <c r="B193" t="s">
        <v>146</v>
      </c>
      <c r="C193" t="s">
        <v>94</v>
      </c>
      <c r="D193" t="s">
        <v>95</v>
      </c>
      <c r="E193" t="s">
        <v>560</v>
      </c>
      <c r="F193" t="s">
        <v>561</v>
      </c>
      <c r="G193">
        <v>1</v>
      </c>
      <c r="H193" t="s">
        <v>45</v>
      </c>
      <c r="I193">
        <v>0.6</v>
      </c>
      <c r="J193">
        <v>0.6</v>
      </c>
    </row>
    <row r="194" spans="1:10" x14ac:dyDescent="0.2">
      <c r="A194" t="s">
        <v>197</v>
      </c>
      <c r="B194" t="s">
        <v>146</v>
      </c>
      <c r="C194" t="s">
        <v>94</v>
      </c>
      <c r="D194" t="s">
        <v>95</v>
      </c>
      <c r="E194" t="s">
        <v>444</v>
      </c>
      <c r="F194" t="s">
        <v>445</v>
      </c>
      <c r="G194">
        <v>2</v>
      </c>
      <c r="H194" t="s">
        <v>45</v>
      </c>
      <c r="I194">
        <v>1</v>
      </c>
      <c r="J194">
        <v>2</v>
      </c>
    </row>
    <row r="195" spans="1:10" x14ac:dyDescent="0.2">
      <c r="A195" t="s">
        <v>197</v>
      </c>
      <c r="B195" t="s">
        <v>146</v>
      </c>
      <c r="C195" t="s">
        <v>94</v>
      </c>
      <c r="D195" t="s">
        <v>95</v>
      </c>
      <c r="E195" t="s">
        <v>386</v>
      </c>
      <c r="F195" t="s">
        <v>387</v>
      </c>
      <c r="G195">
        <v>4</v>
      </c>
      <c r="H195" t="s">
        <v>45</v>
      </c>
      <c r="I195">
        <v>11</v>
      </c>
      <c r="J195">
        <v>44</v>
      </c>
    </row>
    <row r="196" spans="1:10" x14ac:dyDescent="0.2">
      <c r="A196" t="s">
        <v>197</v>
      </c>
      <c r="B196" t="s">
        <v>146</v>
      </c>
      <c r="C196" t="s">
        <v>94</v>
      </c>
      <c r="D196" t="s">
        <v>95</v>
      </c>
      <c r="E196" t="s">
        <v>562</v>
      </c>
      <c r="F196" t="s">
        <v>563</v>
      </c>
      <c r="G196">
        <v>1</v>
      </c>
      <c r="H196" t="s">
        <v>45</v>
      </c>
      <c r="I196">
        <v>0.34</v>
      </c>
      <c r="J196">
        <v>0.34</v>
      </c>
    </row>
    <row r="197" spans="1:10" x14ac:dyDescent="0.2">
      <c r="A197" t="s">
        <v>201</v>
      </c>
      <c r="B197" t="s">
        <v>124</v>
      </c>
      <c r="C197" t="s">
        <v>94</v>
      </c>
      <c r="D197" t="s">
        <v>95</v>
      </c>
      <c r="E197" t="s">
        <v>564</v>
      </c>
      <c r="F197" t="s">
        <v>565</v>
      </c>
      <c r="G197">
        <v>1</v>
      </c>
      <c r="H197" t="s">
        <v>45</v>
      </c>
      <c r="I197">
        <v>0.43</v>
      </c>
      <c r="J197">
        <v>0.43</v>
      </c>
    </row>
    <row r="198" spans="1:10" x14ac:dyDescent="0.2">
      <c r="A198" t="s">
        <v>201</v>
      </c>
      <c r="B198" t="s">
        <v>124</v>
      </c>
      <c r="C198" t="s">
        <v>94</v>
      </c>
      <c r="D198" t="s">
        <v>95</v>
      </c>
      <c r="E198" t="s">
        <v>566</v>
      </c>
      <c r="F198" t="s">
        <v>567</v>
      </c>
      <c r="G198">
        <v>1</v>
      </c>
      <c r="H198" t="s">
        <v>45</v>
      </c>
      <c r="I198">
        <v>2</v>
      </c>
      <c r="J198">
        <v>2</v>
      </c>
    </row>
    <row r="199" spans="1:10" x14ac:dyDescent="0.2">
      <c r="A199" t="s">
        <v>201</v>
      </c>
      <c r="B199" t="s">
        <v>124</v>
      </c>
      <c r="C199" t="s">
        <v>94</v>
      </c>
      <c r="D199" t="s">
        <v>95</v>
      </c>
      <c r="E199" t="s">
        <v>568</v>
      </c>
      <c r="F199" t="s">
        <v>569</v>
      </c>
      <c r="G199">
        <v>1</v>
      </c>
      <c r="H199" t="s">
        <v>45</v>
      </c>
      <c r="I199">
        <v>2.41</v>
      </c>
      <c r="J199">
        <v>2.41</v>
      </c>
    </row>
    <row r="200" spans="1:10" x14ac:dyDescent="0.2">
      <c r="A200" t="s">
        <v>201</v>
      </c>
      <c r="B200" t="s">
        <v>124</v>
      </c>
      <c r="C200" t="s">
        <v>94</v>
      </c>
      <c r="D200" t="s">
        <v>95</v>
      </c>
      <c r="E200" t="s">
        <v>570</v>
      </c>
      <c r="F200" t="s">
        <v>571</v>
      </c>
      <c r="G200">
        <v>1</v>
      </c>
      <c r="H200" t="s">
        <v>45</v>
      </c>
      <c r="I200">
        <v>0.87</v>
      </c>
      <c r="J200">
        <v>0.87</v>
      </c>
    </row>
    <row r="201" spans="1:10" x14ac:dyDescent="0.2">
      <c r="A201" t="s">
        <v>201</v>
      </c>
      <c r="B201" t="s">
        <v>124</v>
      </c>
      <c r="C201" t="s">
        <v>94</v>
      </c>
      <c r="D201" t="s">
        <v>95</v>
      </c>
      <c r="E201" t="s">
        <v>412</v>
      </c>
      <c r="F201" t="s">
        <v>413</v>
      </c>
      <c r="G201">
        <v>2</v>
      </c>
      <c r="H201" t="s">
        <v>45</v>
      </c>
      <c r="I201">
        <v>1</v>
      </c>
      <c r="J201">
        <v>2</v>
      </c>
    </row>
    <row r="202" spans="1:10" x14ac:dyDescent="0.2">
      <c r="A202" t="s">
        <v>201</v>
      </c>
      <c r="B202" t="s">
        <v>124</v>
      </c>
      <c r="C202" t="s">
        <v>94</v>
      </c>
      <c r="D202" t="s">
        <v>95</v>
      </c>
      <c r="E202" t="s">
        <v>382</v>
      </c>
      <c r="F202" t="s">
        <v>383</v>
      </c>
      <c r="G202">
        <v>4</v>
      </c>
      <c r="H202" t="s">
        <v>45</v>
      </c>
      <c r="I202">
        <v>11</v>
      </c>
      <c r="J202">
        <v>44</v>
      </c>
    </row>
    <row r="203" spans="1:10" x14ac:dyDescent="0.2">
      <c r="A203" t="s">
        <v>201</v>
      </c>
      <c r="B203" t="s">
        <v>124</v>
      </c>
      <c r="C203" t="s">
        <v>94</v>
      </c>
      <c r="D203" t="s">
        <v>95</v>
      </c>
      <c r="E203" t="s">
        <v>386</v>
      </c>
      <c r="F203" t="s">
        <v>387</v>
      </c>
      <c r="G203">
        <v>4</v>
      </c>
      <c r="H203" t="s">
        <v>45</v>
      </c>
      <c r="I203">
        <v>11</v>
      </c>
      <c r="J203">
        <v>44</v>
      </c>
    </row>
    <row r="204" spans="1:10" x14ac:dyDescent="0.2">
      <c r="A204" t="s">
        <v>201</v>
      </c>
      <c r="B204" t="s">
        <v>124</v>
      </c>
      <c r="C204" t="s">
        <v>94</v>
      </c>
      <c r="D204" t="s">
        <v>95</v>
      </c>
      <c r="E204" t="s">
        <v>521</v>
      </c>
      <c r="F204" t="s">
        <v>486</v>
      </c>
      <c r="G204">
        <v>1</v>
      </c>
      <c r="H204" t="s">
        <v>45</v>
      </c>
      <c r="I204">
        <v>15</v>
      </c>
      <c r="J204">
        <v>15</v>
      </c>
    </row>
    <row r="205" spans="1:10" x14ac:dyDescent="0.2">
      <c r="A205" t="s">
        <v>201</v>
      </c>
      <c r="B205" t="s">
        <v>124</v>
      </c>
      <c r="C205" t="s">
        <v>94</v>
      </c>
      <c r="D205" t="s">
        <v>95</v>
      </c>
      <c r="E205" t="s">
        <v>572</v>
      </c>
      <c r="F205" t="s">
        <v>573</v>
      </c>
      <c r="G205">
        <v>1</v>
      </c>
      <c r="H205" t="s">
        <v>45</v>
      </c>
      <c r="I205">
        <v>1</v>
      </c>
      <c r="J205">
        <v>1</v>
      </c>
    </row>
    <row r="206" spans="1:10" x14ac:dyDescent="0.2">
      <c r="A206" t="s">
        <v>201</v>
      </c>
      <c r="B206" t="s">
        <v>124</v>
      </c>
      <c r="C206" t="s">
        <v>94</v>
      </c>
      <c r="D206" t="s">
        <v>95</v>
      </c>
      <c r="E206" t="s">
        <v>370</v>
      </c>
      <c r="F206" t="s">
        <v>371</v>
      </c>
      <c r="G206">
        <v>3</v>
      </c>
      <c r="H206" t="s">
        <v>45</v>
      </c>
      <c r="I206">
        <v>1</v>
      </c>
      <c r="J206">
        <v>3</v>
      </c>
    </row>
    <row r="207" spans="1:10" x14ac:dyDescent="0.2">
      <c r="A207" t="s">
        <v>201</v>
      </c>
      <c r="B207" t="s">
        <v>124</v>
      </c>
      <c r="C207" t="s">
        <v>94</v>
      </c>
      <c r="D207" t="s">
        <v>95</v>
      </c>
      <c r="E207" t="s">
        <v>574</v>
      </c>
      <c r="F207" t="s">
        <v>465</v>
      </c>
      <c r="G207">
        <v>1</v>
      </c>
      <c r="H207" t="s">
        <v>45</v>
      </c>
      <c r="I207">
        <v>0.52</v>
      </c>
      <c r="J207">
        <v>0.52</v>
      </c>
    </row>
    <row r="208" spans="1:10" x14ac:dyDescent="0.2">
      <c r="A208" t="s">
        <v>201</v>
      </c>
      <c r="B208" t="s">
        <v>124</v>
      </c>
      <c r="C208" t="s">
        <v>94</v>
      </c>
      <c r="D208" t="s">
        <v>95</v>
      </c>
      <c r="E208" t="s">
        <v>444</v>
      </c>
      <c r="F208" t="s">
        <v>445</v>
      </c>
      <c r="G208">
        <v>3</v>
      </c>
      <c r="H208" t="s">
        <v>45</v>
      </c>
      <c r="I208">
        <v>1</v>
      </c>
      <c r="J208">
        <v>3</v>
      </c>
    </row>
    <row r="209" spans="1:10" x14ac:dyDescent="0.2">
      <c r="A209" t="s">
        <v>201</v>
      </c>
      <c r="B209" t="s">
        <v>124</v>
      </c>
      <c r="C209" t="s">
        <v>94</v>
      </c>
      <c r="D209" t="s">
        <v>95</v>
      </c>
      <c r="E209" t="s">
        <v>442</v>
      </c>
      <c r="F209" t="s">
        <v>443</v>
      </c>
      <c r="G209">
        <v>3</v>
      </c>
      <c r="H209" t="s">
        <v>45</v>
      </c>
      <c r="I209">
        <v>1.38</v>
      </c>
      <c r="J209">
        <v>4.1399999999999997</v>
      </c>
    </row>
    <row r="210" spans="1:10" x14ac:dyDescent="0.2">
      <c r="A210" t="s">
        <v>201</v>
      </c>
      <c r="B210" t="s">
        <v>124</v>
      </c>
      <c r="C210" t="s">
        <v>94</v>
      </c>
      <c r="D210" t="s">
        <v>95</v>
      </c>
      <c r="E210" t="s">
        <v>487</v>
      </c>
      <c r="F210" t="s">
        <v>488</v>
      </c>
      <c r="G210">
        <v>1</v>
      </c>
      <c r="H210" t="s">
        <v>45</v>
      </c>
      <c r="I210">
        <v>501</v>
      </c>
      <c r="J210">
        <v>501</v>
      </c>
    </row>
    <row r="211" spans="1:10" x14ac:dyDescent="0.2">
      <c r="A211" t="s">
        <v>201</v>
      </c>
      <c r="B211" t="s">
        <v>124</v>
      </c>
      <c r="C211" t="s">
        <v>94</v>
      </c>
      <c r="D211" t="s">
        <v>95</v>
      </c>
      <c r="E211" t="s">
        <v>503</v>
      </c>
      <c r="F211" t="s">
        <v>504</v>
      </c>
      <c r="G211">
        <v>1</v>
      </c>
      <c r="H211" t="s">
        <v>45</v>
      </c>
      <c r="I211">
        <v>12</v>
      </c>
      <c r="J211">
        <v>12</v>
      </c>
    </row>
    <row r="212" spans="1:10" x14ac:dyDescent="0.2">
      <c r="A212" t="s">
        <v>201</v>
      </c>
      <c r="B212" t="s">
        <v>124</v>
      </c>
      <c r="C212" t="s">
        <v>94</v>
      </c>
      <c r="D212" t="s">
        <v>95</v>
      </c>
      <c r="E212" t="s">
        <v>489</v>
      </c>
      <c r="F212" t="s">
        <v>490</v>
      </c>
      <c r="G212">
        <v>2</v>
      </c>
      <c r="H212" t="s">
        <v>45</v>
      </c>
      <c r="I212">
        <v>4</v>
      </c>
      <c r="J212">
        <v>8</v>
      </c>
    </row>
    <row r="213" spans="1:10" x14ac:dyDescent="0.2">
      <c r="A213" t="s">
        <v>201</v>
      </c>
      <c r="B213" t="s">
        <v>124</v>
      </c>
      <c r="C213" t="s">
        <v>94</v>
      </c>
      <c r="D213" t="s">
        <v>95</v>
      </c>
      <c r="E213" t="s">
        <v>575</v>
      </c>
      <c r="F213" t="s">
        <v>457</v>
      </c>
      <c r="G213">
        <v>1</v>
      </c>
      <c r="H213" t="s">
        <v>45</v>
      </c>
      <c r="I213">
        <v>11</v>
      </c>
      <c r="J213">
        <v>11</v>
      </c>
    </row>
    <row r="214" spans="1:10" x14ac:dyDescent="0.2">
      <c r="A214" t="s">
        <v>201</v>
      </c>
      <c r="B214" t="s">
        <v>124</v>
      </c>
      <c r="C214" t="s">
        <v>94</v>
      </c>
      <c r="D214" t="s">
        <v>95</v>
      </c>
      <c r="E214" t="s">
        <v>414</v>
      </c>
      <c r="F214" t="s">
        <v>415</v>
      </c>
      <c r="G214">
        <v>1</v>
      </c>
      <c r="H214" t="s">
        <v>45</v>
      </c>
      <c r="I214">
        <v>19</v>
      </c>
      <c r="J214">
        <v>19</v>
      </c>
    </row>
    <row r="215" spans="1:10" x14ac:dyDescent="0.2">
      <c r="A215" t="s">
        <v>201</v>
      </c>
      <c r="B215" t="s">
        <v>124</v>
      </c>
      <c r="C215" t="s">
        <v>94</v>
      </c>
      <c r="D215" t="s">
        <v>95</v>
      </c>
      <c r="E215" t="s">
        <v>422</v>
      </c>
      <c r="F215" t="s">
        <v>423</v>
      </c>
      <c r="G215">
        <v>4</v>
      </c>
      <c r="H215" t="s">
        <v>45</v>
      </c>
      <c r="I215">
        <v>0.17</v>
      </c>
      <c r="J215">
        <v>0.68</v>
      </c>
    </row>
    <row r="216" spans="1:10" x14ac:dyDescent="0.2">
      <c r="A216" t="s">
        <v>201</v>
      </c>
      <c r="B216" t="s">
        <v>124</v>
      </c>
      <c r="C216" t="s">
        <v>94</v>
      </c>
      <c r="D216" t="s">
        <v>95</v>
      </c>
      <c r="E216" t="s">
        <v>576</v>
      </c>
      <c r="F216" t="s">
        <v>403</v>
      </c>
      <c r="G216">
        <v>1</v>
      </c>
      <c r="H216" t="s">
        <v>45</v>
      </c>
      <c r="I216">
        <v>0.43</v>
      </c>
      <c r="J216">
        <v>0.43</v>
      </c>
    </row>
    <row r="217" spans="1:10" x14ac:dyDescent="0.2">
      <c r="A217" t="s">
        <v>201</v>
      </c>
      <c r="B217" t="s">
        <v>124</v>
      </c>
      <c r="C217" t="s">
        <v>94</v>
      </c>
      <c r="D217" t="s">
        <v>95</v>
      </c>
      <c r="E217" t="s">
        <v>577</v>
      </c>
      <c r="F217" t="s">
        <v>578</v>
      </c>
      <c r="G217">
        <v>2</v>
      </c>
      <c r="H217" t="s">
        <v>45</v>
      </c>
      <c r="I217">
        <v>0.4</v>
      </c>
      <c r="J217">
        <v>0.8</v>
      </c>
    </row>
    <row r="218" spans="1:10" x14ac:dyDescent="0.2">
      <c r="A218" t="s">
        <v>201</v>
      </c>
      <c r="B218" t="s">
        <v>124</v>
      </c>
      <c r="C218" t="s">
        <v>94</v>
      </c>
      <c r="D218" t="s">
        <v>95</v>
      </c>
      <c r="E218" t="s">
        <v>400</v>
      </c>
      <c r="F218" t="s">
        <v>401</v>
      </c>
      <c r="G218">
        <v>1</v>
      </c>
      <c r="H218" t="s">
        <v>45</v>
      </c>
      <c r="I218">
        <v>570</v>
      </c>
      <c r="J218">
        <v>570</v>
      </c>
    </row>
    <row r="219" spans="1:10" x14ac:dyDescent="0.2">
      <c r="A219" t="s">
        <v>201</v>
      </c>
      <c r="B219" t="s">
        <v>124</v>
      </c>
      <c r="C219" t="s">
        <v>94</v>
      </c>
      <c r="D219" t="s">
        <v>95</v>
      </c>
      <c r="E219" t="s">
        <v>507</v>
      </c>
      <c r="F219" t="s">
        <v>508</v>
      </c>
      <c r="G219">
        <v>1</v>
      </c>
      <c r="H219" t="s">
        <v>45</v>
      </c>
      <c r="I219">
        <v>8</v>
      </c>
      <c r="J219">
        <v>8</v>
      </c>
    </row>
    <row r="220" spans="1:10" x14ac:dyDescent="0.2">
      <c r="A220" t="s">
        <v>201</v>
      </c>
      <c r="B220" t="s">
        <v>124</v>
      </c>
      <c r="C220" t="s">
        <v>94</v>
      </c>
      <c r="D220" t="s">
        <v>95</v>
      </c>
      <c r="E220" t="s">
        <v>473</v>
      </c>
      <c r="F220" t="s">
        <v>474</v>
      </c>
      <c r="G220">
        <v>1</v>
      </c>
      <c r="H220" t="s">
        <v>45</v>
      </c>
      <c r="I220">
        <v>3</v>
      </c>
      <c r="J220">
        <v>3</v>
      </c>
    </row>
    <row r="221" spans="1:10" x14ac:dyDescent="0.2">
      <c r="A221" t="s">
        <v>201</v>
      </c>
      <c r="B221" t="s">
        <v>124</v>
      </c>
      <c r="C221" t="s">
        <v>94</v>
      </c>
      <c r="D221" t="s">
        <v>95</v>
      </c>
      <c r="E221" t="s">
        <v>522</v>
      </c>
      <c r="F221" t="s">
        <v>523</v>
      </c>
      <c r="G221">
        <v>1</v>
      </c>
      <c r="H221" t="s">
        <v>45</v>
      </c>
      <c r="I221">
        <v>19</v>
      </c>
      <c r="J221">
        <v>19</v>
      </c>
    </row>
    <row r="222" spans="1:10" x14ac:dyDescent="0.2">
      <c r="A222" t="s">
        <v>201</v>
      </c>
      <c r="B222" t="s">
        <v>124</v>
      </c>
      <c r="C222" t="s">
        <v>94</v>
      </c>
      <c r="D222" t="s">
        <v>95</v>
      </c>
      <c r="E222" t="s">
        <v>428</v>
      </c>
      <c r="F222" t="s">
        <v>429</v>
      </c>
      <c r="G222">
        <v>16</v>
      </c>
      <c r="H222" t="s">
        <v>45</v>
      </c>
      <c r="I222">
        <v>0.17</v>
      </c>
      <c r="J222">
        <v>2.72</v>
      </c>
    </row>
    <row r="223" spans="1:10" x14ac:dyDescent="0.2">
      <c r="A223" t="s">
        <v>201</v>
      </c>
      <c r="B223" t="s">
        <v>124</v>
      </c>
      <c r="C223" t="s">
        <v>94</v>
      </c>
      <c r="D223" t="s">
        <v>95</v>
      </c>
      <c r="E223" t="s">
        <v>579</v>
      </c>
      <c r="F223" t="s">
        <v>580</v>
      </c>
      <c r="G223">
        <v>1</v>
      </c>
      <c r="H223" t="s">
        <v>45</v>
      </c>
      <c r="I223">
        <v>17</v>
      </c>
      <c r="J223">
        <v>17</v>
      </c>
    </row>
    <row r="224" spans="1:10" x14ac:dyDescent="0.2">
      <c r="A224" t="s">
        <v>201</v>
      </c>
      <c r="B224" t="s">
        <v>124</v>
      </c>
      <c r="C224" t="s">
        <v>94</v>
      </c>
      <c r="D224" t="s">
        <v>95</v>
      </c>
      <c r="E224" t="s">
        <v>581</v>
      </c>
      <c r="F224" t="s">
        <v>582</v>
      </c>
      <c r="G224">
        <v>1</v>
      </c>
      <c r="H224" t="s">
        <v>45</v>
      </c>
      <c r="I224">
        <v>8</v>
      </c>
      <c r="J224">
        <v>8</v>
      </c>
    </row>
    <row r="225" spans="1:10" x14ac:dyDescent="0.2">
      <c r="A225" t="s">
        <v>201</v>
      </c>
      <c r="B225" t="s">
        <v>124</v>
      </c>
      <c r="C225" t="s">
        <v>94</v>
      </c>
      <c r="D225" t="s">
        <v>95</v>
      </c>
      <c r="E225" t="s">
        <v>583</v>
      </c>
      <c r="F225" t="s">
        <v>584</v>
      </c>
      <c r="G225">
        <v>2</v>
      </c>
      <c r="H225" t="s">
        <v>45</v>
      </c>
      <c r="I225">
        <v>0.22</v>
      </c>
      <c r="J225">
        <v>0.44</v>
      </c>
    </row>
    <row r="226" spans="1:10" x14ac:dyDescent="0.2">
      <c r="A226" t="s">
        <v>201</v>
      </c>
      <c r="B226" t="s">
        <v>124</v>
      </c>
      <c r="C226" t="s">
        <v>94</v>
      </c>
      <c r="D226" t="s">
        <v>95</v>
      </c>
      <c r="E226" t="s">
        <v>585</v>
      </c>
      <c r="F226" t="s">
        <v>586</v>
      </c>
      <c r="G226">
        <v>2</v>
      </c>
      <c r="H226" t="s">
        <v>45</v>
      </c>
      <c r="I226">
        <v>0.2</v>
      </c>
      <c r="J226">
        <v>0.4</v>
      </c>
    </row>
    <row r="227" spans="1:10" x14ac:dyDescent="0.2">
      <c r="A227" t="s">
        <v>201</v>
      </c>
      <c r="B227" t="s">
        <v>124</v>
      </c>
      <c r="C227" t="s">
        <v>94</v>
      </c>
      <c r="D227" t="s">
        <v>95</v>
      </c>
      <c r="E227" t="s">
        <v>587</v>
      </c>
      <c r="F227" t="s">
        <v>588</v>
      </c>
      <c r="G227">
        <v>1</v>
      </c>
      <c r="H227" t="s">
        <v>45</v>
      </c>
      <c r="I227">
        <v>2.41</v>
      </c>
      <c r="J227">
        <v>2.41</v>
      </c>
    </row>
    <row r="228" spans="1:10" x14ac:dyDescent="0.2">
      <c r="A228" t="s">
        <v>201</v>
      </c>
      <c r="B228" t="s">
        <v>124</v>
      </c>
      <c r="C228" t="s">
        <v>94</v>
      </c>
      <c r="D228" t="s">
        <v>95</v>
      </c>
      <c r="E228" t="s">
        <v>376</v>
      </c>
      <c r="F228" t="s">
        <v>377</v>
      </c>
      <c r="G228">
        <v>4</v>
      </c>
      <c r="H228" t="s">
        <v>45</v>
      </c>
      <c r="I228">
        <v>0.22</v>
      </c>
      <c r="J228">
        <v>0.88</v>
      </c>
    </row>
    <row r="229" spans="1:10" x14ac:dyDescent="0.2">
      <c r="A229" t="s">
        <v>201</v>
      </c>
      <c r="B229" t="s">
        <v>124</v>
      </c>
      <c r="C229" t="s">
        <v>94</v>
      </c>
      <c r="D229" t="s">
        <v>95</v>
      </c>
      <c r="E229" t="s">
        <v>589</v>
      </c>
      <c r="F229" t="s">
        <v>590</v>
      </c>
      <c r="G229">
        <v>1</v>
      </c>
      <c r="H229" t="s">
        <v>45</v>
      </c>
      <c r="I229">
        <v>0.69</v>
      </c>
      <c r="J229">
        <v>0.69</v>
      </c>
    </row>
    <row r="230" spans="1:10" x14ac:dyDescent="0.2">
      <c r="A230" t="s">
        <v>201</v>
      </c>
      <c r="B230" t="s">
        <v>124</v>
      </c>
      <c r="C230" t="s">
        <v>94</v>
      </c>
      <c r="D230" t="s">
        <v>95</v>
      </c>
      <c r="E230" t="s">
        <v>591</v>
      </c>
      <c r="F230" t="s">
        <v>592</v>
      </c>
      <c r="G230">
        <v>2</v>
      </c>
      <c r="H230" t="s">
        <v>45</v>
      </c>
      <c r="I230">
        <v>0.34</v>
      </c>
      <c r="J230">
        <v>0.68</v>
      </c>
    </row>
    <row r="231" spans="1:10" x14ac:dyDescent="0.2">
      <c r="A231" t="s">
        <v>201</v>
      </c>
      <c r="B231" t="s">
        <v>124</v>
      </c>
      <c r="C231" t="s">
        <v>94</v>
      </c>
      <c r="D231" t="s">
        <v>95</v>
      </c>
      <c r="E231" t="s">
        <v>420</v>
      </c>
      <c r="F231" t="s">
        <v>421</v>
      </c>
      <c r="G231">
        <v>1</v>
      </c>
      <c r="H231" t="s">
        <v>45</v>
      </c>
      <c r="I231">
        <v>9</v>
      </c>
      <c r="J231">
        <v>9</v>
      </c>
    </row>
    <row r="232" spans="1:10" x14ac:dyDescent="0.2">
      <c r="A232" t="s">
        <v>201</v>
      </c>
      <c r="B232" t="s">
        <v>124</v>
      </c>
      <c r="C232" t="s">
        <v>94</v>
      </c>
      <c r="D232" t="s">
        <v>95</v>
      </c>
      <c r="E232" t="s">
        <v>593</v>
      </c>
      <c r="F232" t="s">
        <v>594</v>
      </c>
      <c r="G232">
        <v>1</v>
      </c>
      <c r="H232" t="s">
        <v>45</v>
      </c>
      <c r="I232">
        <v>37</v>
      </c>
      <c r="J232">
        <v>37</v>
      </c>
    </row>
    <row r="233" spans="1:10" x14ac:dyDescent="0.2">
      <c r="A233" t="s">
        <v>201</v>
      </c>
      <c r="B233" t="s">
        <v>124</v>
      </c>
      <c r="C233" t="s">
        <v>94</v>
      </c>
      <c r="D233" t="s">
        <v>95</v>
      </c>
      <c r="E233" t="s">
        <v>595</v>
      </c>
      <c r="F233" t="s">
        <v>596</v>
      </c>
      <c r="G233">
        <v>2</v>
      </c>
      <c r="H233" t="s">
        <v>45</v>
      </c>
      <c r="I233">
        <v>0.17</v>
      </c>
      <c r="J233">
        <v>0.34</v>
      </c>
    </row>
    <row r="234" spans="1:10" x14ac:dyDescent="0.2">
      <c r="A234" t="s">
        <v>201</v>
      </c>
      <c r="B234" t="s">
        <v>124</v>
      </c>
      <c r="C234" t="s">
        <v>94</v>
      </c>
      <c r="D234" t="s">
        <v>95</v>
      </c>
      <c r="E234" t="s">
        <v>388</v>
      </c>
      <c r="F234" t="s">
        <v>389</v>
      </c>
      <c r="G234">
        <v>2</v>
      </c>
      <c r="H234" t="s">
        <v>45</v>
      </c>
      <c r="I234">
        <v>13</v>
      </c>
      <c r="J234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796E-CF1B-4F7C-9720-D1477895F9E6}">
  <sheetPr codeName="Sheet2"/>
  <dimension ref="A1:Q3"/>
  <sheetViews>
    <sheetView workbookViewId="0">
      <pane ySplit="1" topLeftCell="A2" activePane="bottomLeft" state="frozen"/>
      <selection activeCell="D139" sqref="D139"/>
      <selection pane="bottomLeft" activeCell="D139" sqref="D139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2">
      <c r="A3" s="27" t="s">
        <v>597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78C6-403F-4023-A7A7-78E45871D418}">
  <sheetPr codeName="Sheet12"/>
  <dimension ref="A1:Q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2" max="13" width="9.125" bestFit="1" customWidth="1"/>
    <col min="14" max="14" width="10.5" bestFit="1" customWidth="1"/>
    <col min="17" max="17" width="9.125" bestFit="1" customWidth="1"/>
  </cols>
  <sheetData>
    <row r="1" spans="1:17" s="27" customFormat="1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2">
      <c r="A3" t="s">
        <v>597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82A7-8AC1-4C3F-981C-A2B95A0F58D5}">
  <sheetPr codeName="Sheet7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1" width="9" style="31"/>
    <col min="12" max="12" width="10.625" style="31" bestFit="1" customWidth="1"/>
    <col min="13" max="13" width="11.375" style="31" bestFit="1" customWidth="1"/>
    <col min="14" max="14" width="10.5" style="31" bestFit="1" customWidth="1"/>
    <col min="15" max="15" width="9" style="31"/>
    <col min="16" max="16" width="16.625" style="31" customWidth="1"/>
    <col min="17" max="17" width="9.375" style="31" bestFit="1" customWidth="1"/>
    <col min="18" max="16384" width="9" style="31"/>
  </cols>
  <sheetData>
    <row r="1" spans="1:17" x14ac:dyDescent="0.3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64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35">
      <c r="A3" s="31" t="s">
        <v>597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0E8E-0345-4545-A2E1-AFEA0FC2CFCB}">
  <sheetPr codeName="Sheet8"/>
  <dimension ref="A1:P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875" customWidth="1"/>
    <col min="2" max="2" width="11" style="39" customWidth="1"/>
    <col min="3" max="3" width="5.625" bestFit="1" customWidth="1"/>
    <col min="4" max="4" width="12.875" customWidth="1"/>
    <col min="5" max="5" width="11.625" customWidth="1"/>
    <col min="6" max="7" width="21.37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19.125" customWidth="1"/>
    <col min="13" max="13" width="5.25" customWidth="1"/>
    <col min="14" max="14" width="7.875" bestFit="1" customWidth="1"/>
    <col min="15" max="15" width="15.375" style="40" customWidth="1"/>
    <col min="16" max="16" width="18.125" customWidth="1"/>
  </cols>
  <sheetData>
    <row r="1" spans="1:16" s="38" customFormat="1" ht="43.5" customHeight="1" x14ac:dyDescent="0.2">
      <c r="A1" s="32" t="s">
        <v>66</v>
      </c>
      <c r="B1" s="33" t="s">
        <v>67</v>
      </c>
      <c r="C1" s="32" t="s">
        <v>68</v>
      </c>
      <c r="D1" s="32" t="s">
        <v>69</v>
      </c>
      <c r="E1" s="32" t="s">
        <v>70</v>
      </c>
      <c r="F1" s="34" t="s">
        <v>71</v>
      </c>
      <c r="G1" s="34" t="s">
        <v>72</v>
      </c>
      <c r="H1" s="34" t="s">
        <v>73</v>
      </c>
      <c r="I1" s="35" t="s">
        <v>74</v>
      </c>
      <c r="J1" s="35" t="s">
        <v>75</v>
      </c>
      <c r="K1" s="34" t="s">
        <v>76</v>
      </c>
      <c r="L1" s="34" t="s">
        <v>77</v>
      </c>
      <c r="M1" s="34" t="s">
        <v>78</v>
      </c>
      <c r="N1" s="36" t="s">
        <v>79</v>
      </c>
      <c r="O1" s="37" t="s">
        <v>80</v>
      </c>
      <c r="P1" s="34" t="s">
        <v>81</v>
      </c>
    </row>
    <row r="3" spans="1:16" x14ac:dyDescent="0.2">
      <c r="A3" t="s">
        <v>597</v>
      </c>
    </row>
  </sheetData>
  <phoneticPr fontId="2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B29F-6460-4FB7-8DA7-51EFE7EA0DD2}">
  <sheetPr codeName="Sheet9"/>
  <dimension ref="A1:L3"/>
  <sheetViews>
    <sheetView workbookViewId="0">
      <pane ySplit="1" topLeftCell="A2" activePane="bottomLeft" state="frozen"/>
      <selection activeCell="M1" sqref="M1:M1048576"/>
      <selection pane="bottomLeft"/>
    </sheetView>
  </sheetViews>
  <sheetFormatPr defaultRowHeight="14.25" x14ac:dyDescent="0.2"/>
  <cols>
    <col min="1" max="1" width="10.5" bestFit="1" customWidth="1"/>
    <col min="2" max="2" width="23.625" bestFit="1" customWidth="1"/>
    <col min="3" max="3" width="24.5" customWidth="1"/>
    <col min="4" max="4" width="19.25" customWidth="1"/>
    <col min="5" max="6" width="18.125" customWidth="1"/>
    <col min="7" max="9" width="11.625" customWidth="1"/>
    <col min="10" max="10" width="13.375" customWidth="1"/>
    <col min="11" max="12" width="11.625" customWidth="1"/>
  </cols>
  <sheetData>
    <row r="1" spans="1:12" ht="63.75" customHeight="1" x14ac:dyDescent="0.2">
      <c r="A1" s="28" t="s">
        <v>82</v>
      </c>
      <c r="B1" s="28" t="s">
        <v>83</v>
      </c>
      <c r="C1" s="35" t="s">
        <v>84</v>
      </c>
      <c r="D1" s="35" t="s">
        <v>85</v>
      </c>
      <c r="E1" s="28" t="s">
        <v>86</v>
      </c>
      <c r="F1" s="28" t="s">
        <v>87</v>
      </c>
      <c r="G1" s="28" t="s">
        <v>88</v>
      </c>
      <c r="H1" s="28" t="s">
        <v>89</v>
      </c>
      <c r="I1" s="28" t="s">
        <v>90</v>
      </c>
      <c r="J1" s="28" t="s">
        <v>91</v>
      </c>
      <c r="K1" s="28" t="s">
        <v>92</v>
      </c>
      <c r="L1" s="28" t="s">
        <v>93</v>
      </c>
    </row>
    <row r="3" spans="1:12" x14ac:dyDescent="0.2">
      <c r="A3" t="s">
        <v>597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o-mandi.yang</dc:creator>
  <cp:lastModifiedBy>o-mandi.yang</cp:lastModifiedBy>
  <dcterms:created xsi:type="dcterms:W3CDTF">2025-11-21T10:54:46Z</dcterms:created>
  <dcterms:modified xsi:type="dcterms:W3CDTF">2025-11-21T10:55:01Z</dcterms:modified>
</cp:coreProperties>
</file>