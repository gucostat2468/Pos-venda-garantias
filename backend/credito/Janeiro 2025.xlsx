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5年\1月\单位月结账单\"/>
    </mc:Choice>
  </mc:AlternateContent>
  <xr:revisionPtr revIDLastSave="0" documentId="8_{A3FE53E6-02C7-47F5-A180-631C4F57523C}" xr6:coauthVersionLast="36" xr6:coauthVersionMax="36" xr10:uidLastSave="{00000000-0000-0000-0000-000000000000}"/>
  <bookViews>
    <workbookView xWindow="0" yWindow="0" windowWidth="57600" windowHeight="26580" xr2:uid="{960585ED-E37A-4F8D-8E40-673A9A549E92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CM'!$A$1:$O$1</definedName>
    <definedName name="_xlnm._FilterDatabase" localSheetId="4" hidden="1">'incentive labor fee'!$A$1:$L$1</definedName>
    <definedName name="_xlnm._FilterDatabase" localSheetId="5" hidden="1">'Maintenance list'!$A$1:$J$1</definedName>
    <definedName name="_xlnm._FilterDatabase" localSheetId="8" hidden="1">'other compensation'!$A$1:$Q$1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6" hidden="1">'service red-line deduction'!$A$1:$Q$1</definedName>
    <definedName name="_xlnm._FilterDatabase" localSheetId="2" hidden="1">'spare parts fee'!$A$1:$Q$1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5" i="3"/>
  <c r="E6" i="3" s="1"/>
  <c r="E14" i="3" l="1"/>
  <c r="E15" i="3" s="1"/>
</calcChain>
</file>

<file path=xl/sharedStrings.xml><?xml version="1.0" encoding="utf-8"?>
<sst xmlns="http://schemas.openxmlformats.org/spreadsheetml/2006/main" count="1658" uniqueCount="334">
  <si>
    <t>Dealer</t>
  </si>
  <si>
    <t>Dealer Account</t>
  </si>
  <si>
    <t>incentive labor fee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</si>
  <si>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</si>
  <si>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</si>
  <si>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</si>
  <si>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Jan</t>
    </r>
    <phoneticPr fontId="2" type="noConversion"/>
  </si>
  <si>
    <t>Dealer Account：</t>
  </si>
  <si>
    <t>Credit Trading</t>
  </si>
  <si>
    <t>Amount</t>
  </si>
  <si>
    <t>Remarks</t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</si>
  <si>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</si>
  <si>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</si>
  <si>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</si>
  <si>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</si>
  <si>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</si>
  <si>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</si>
  <si>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</si>
  <si>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</si>
  <si>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</si>
  <si>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</si>
  <si>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</si>
  <si>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</si>
  <si>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</si>
  <si>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</si>
  <si>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</si>
  <si>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</si>
  <si>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</si>
  <si>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</si>
  <si>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</si>
  <si>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</si>
  <si>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</si>
  <si>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</si>
  <si>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</si>
  <si>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</si>
  <si>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</si>
  <si>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</si>
  <si>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</si>
  <si>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</si>
  <si>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Manual adjustment</t>
  </si>
  <si>
    <t>USD</t>
  </si>
  <si>
    <t>Increase</t>
  </si>
  <si>
    <t>Month</t>
    <phoneticPr fontId="2" type="noConversion"/>
  </si>
  <si>
    <t>incentive labor fee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</si>
  <si>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</si>
  <si>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</si>
  <si>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</si>
  <si>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</si>
  <si>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</si>
  <si>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</si>
  <si>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</si>
  <si>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</si>
  <si>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</si>
  <si>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</si>
  <si>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BC.AG.SS000668.02</t>
  </si>
  <si>
    <r>
      <rPr>
        <b/>
        <sz val="11"/>
        <color rgb="FFFFFFFF"/>
        <rFont val="微软雅黑"/>
        <family val="2"/>
        <charset val="134"/>
      </rPr>
      <t>转售前</t>
    </r>
    <r>
      <rPr>
        <b/>
        <sz val="11"/>
        <color rgb="FFFFFFFF"/>
        <rFont val="Arial"/>
        <family val="2"/>
      </rPr>
      <t>Credit/</t>
    </r>
    <r>
      <rPr>
        <b/>
        <sz val="11"/>
        <color rgb="FFFFFFFF"/>
        <rFont val="微软雅黑"/>
        <family val="2"/>
        <charset val="134"/>
      </rPr>
      <t>售后</t>
    </r>
    <r>
      <rPr>
        <b/>
        <sz val="11"/>
        <color rgb="FFFFFFFF"/>
        <rFont val="Arial"/>
        <family val="2"/>
      </rPr>
      <t>Cedit
Pre-sale credit/After-sale credit</t>
    </r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</si>
  <si>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</si>
  <si>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</si>
  <si>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</si>
  <si>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</si>
  <si>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</si>
  <si>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</si>
  <si>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</si>
  <si>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</si>
  <si>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</si>
  <si>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</si>
  <si>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</si>
  <si>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</si>
  <si>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</si>
  <si>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</si>
  <si>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</si>
  <si>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  <phoneticPr fontId="2" type="noConversion"/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</si>
  <si>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(Dealer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</si>
  <si>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(Dealer Account)</t>
    </r>
    <phoneticPr fontId="2" type="noConversion"/>
  </si>
  <si>
    <t>退单物料编码（Chargeback Material code）</t>
    <phoneticPr fontId="2" type="noConversion"/>
  </si>
  <si>
    <t>退单物料名称（Chargeback Material name）</t>
    <phoneticPr fontId="2" type="noConversion"/>
  </si>
  <si>
    <t>退单数量（Chargeback quantity）</t>
    <phoneticPr fontId="2" type="noConversion"/>
  </si>
  <si>
    <t>物料单价（Material unit price）</t>
    <phoneticPr fontId="2" type="noConversion"/>
  </si>
  <si>
    <t>成交单价（Transaction unit price）</t>
    <phoneticPr fontId="2" type="noConversion"/>
  </si>
  <si>
    <t>转预付款金额（Transfer prepayment amount）</t>
    <phoneticPr fontId="2" type="noConversion"/>
  </si>
  <si>
    <t>预付款余额（pre-payment balance）</t>
    <phoneticPr fontId="2" type="noConversion"/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</si>
  <si>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</si>
  <si>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</si>
  <si>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 Agricola Comercial LTDA</t>
    <phoneticPr fontId="2" type="noConversion"/>
  </si>
  <si>
    <t>HUADA-agras</t>
  </si>
  <si>
    <t>HUADA-agras</t>
    <phoneticPr fontId="2" type="noConversion"/>
  </si>
  <si>
    <t>This item is not involved this time</t>
  </si>
  <si>
    <t>FQFO250124000446</t>
  </si>
  <si>
    <t>VETTORIZE DRONES</t>
  </si>
  <si>
    <t>Local repair-in warranty</t>
  </si>
  <si>
    <t>FWRC250122000249</t>
  </si>
  <si>
    <t>Repair spare parts fee</t>
  </si>
  <si>
    <t>Automatically generate</t>
  </si>
  <si>
    <t>FQFO250123001152</t>
  </si>
  <si>
    <t>FWRC250123000226</t>
  </si>
  <si>
    <t>FQFO250122000613</t>
  </si>
  <si>
    <t>FWRC250121000204</t>
  </si>
  <si>
    <t>FQFO250122000381</t>
  </si>
  <si>
    <t>Mercadão dos Drones</t>
  </si>
  <si>
    <t>FWRC250121000193</t>
  </si>
  <si>
    <t>FQFO250122000366</t>
  </si>
  <si>
    <t>DRONE NORTE</t>
  </si>
  <si>
    <t>FWRC250121000199</t>
  </si>
  <si>
    <t>FQFO250122000302</t>
  </si>
  <si>
    <t>FWRC250121000186</t>
  </si>
  <si>
    <t>FQFO250122000299</t>
  </si>
  <si>
    <t>FWRC250121000191</t>
  </si>
  <si>
    <t>FQFO250122000298</t>
  </si>
  <si>
    <t>FWRC250121000205</t>
  </si>
  <si>
    <t>FQFO250121000524</t>
  </si>
  <si>
    <t>FWRC250120000233</t>
  </si>
  <si>
    <t>FQFO250121000522</t>
  </si>
  <si>
    <t>FWRC250120000235</t>
  </si>
  <si>
    <t>FQFO250121000500</t>
  </si>
  <si>
    <t>FWRC250120000243</t>
  </si>
  <si>
    <t>FQFO250117000271</t>
  </si>
  <si>
    <t>FWRC250116000246</t>
  </si>
  <si>
    <t>FQFO250117000153</t>
  </si>
  <si>
    <t>FWRC250115000189</t>
  </si>
  <si>
    <t>FQFO250114000109</t>
  </si>
  <si>
    <t>Fialho e Sarti Agrotecnologia</t>
  </si>
  <si>
    <t>FWRC250113000243</t>
  </si>
  <si>
    <t>FQFO250113000514</t>
  </si>
  <si>
    <t>SMC - SOLUCOES EM ENGENHARIA EIRELI</t>
  </si>
  <si>
    <t>FWRC250110000234</t>
  </si>
  <si>
    <t>FQFO250113000477</t>
  </si>
  <si>
    <t>FWRC250111000262</t>
  </si>
  <si>
    <t>FQFO250113000411</t>
  </si>
  <si>
    <t>FWRC250107000330</t>
  </si>
  <si>
    <t>FQFO250113000066</t>
  </si>
  <si>
    <t>FWRC250102000307</t>
  </si>
  <si>
    <t>FQFO250113000049</t>
  </si>
  <si>
    <t>FWRC250111000274</t>
  </si>
  <si>
    <t>FQFO250110000330</t>
  </si>
  <si>
    <t>FWRC250109000261</t>
  </si>
  <si>
    <t>FQFO250109000292</t>
  </si>
  <si>
    <t>FWRC250108000166</t>
  </si>
  <si>
    <t>FQFO250109000272</t>
  </si>
  <si>
    <t>FWRC250109000178</t>
  </si>
  <si>
    <t>FQFO250109000242</t>
  </si>
  <si>
    <t>FWRC250109000192</t>
  </si>
  <si>
    <t>FQFO250109000226</t>
  </si>
  <si>
    <t>FWRC250109000201</t>
  </si>
  <si>
    <t>FQFO250108000298</t>
  </si>
  <si>
    <t>FWRC250108000274</t>
  </si>
  <si>
    <t>FQFO250107000293</t>
  </si>
  <si>
    <t>FWRC250106000295</t>
  </si>
  <si>
    <t>FQFO250106000473</t>
  </si>
  <si>
    <t>FWRC250102000312</t>
  </si>
  <si>
    <t>FQFO250106000465</t>
  </si>
  <si>
    <t>FWRC250104000092</t>
  </si>
  <si>
    <t>FQFO250106000461</t>
  </si>
  <si>
    <t>FWRC250103000140</t>
  </si>
  <si>
    <t>FQFO250106000395</t>
  </si>
  <si>
    <t>WRC241231000233</t>
  </si>
  <si>
    <t>FQFO250124000447</t>
  </si>
  <si>
    <t>Repair service fee</t>
  </si>
  <si>
    <t>FQFO250123001153</t>
  </si>
  <si>
    <t>FQFO250122000614</t>
  </si>
  <si>
    <t>FQFO250122000382</t>
  </si>
  <si>
    <t>FQFO250121000525</t>
  </si>
  <si>
    <t>FQFO250121000523</t>
  </si>
  <si>
    <t>FQFO250121000501</t>
  </si>
  <si>
    <t>FQFO250117000272</t>
  </si>
  <si>
    <t>FQFO250117000154</t>
  </si>
  <si>
    <t>FQFO250114000110</t>
  </si>
  <si>
    <t>FQFO250113000515</t>
  </si>
  <si>
    <t>FQFO250113000478</t>
  </si>
  <si>
    <t>FQFO250113000412</t>
  </si>
  <si>
    <t>FQFO250113000067</t>
  </si>
  <si>
    <t>FQFO250113000050</t>
  </si>
  <si>
    <t>FQFO250110000331</t>
  </si>
  <si>
    <t>FQFO250109000293</t>
  </si>
  <si>
    <t>FQFO250109000273</t>
  </si>
  <si>
    <t>FQFO250109000243</t>
  </si>
  <si>
    <t>FQFO250109000227</t>
  </si>
  <si>
    <t>FQFO250108000299</t>
  </si>
  <si>
    <t>FQFO250107000294</t>
  </si>
  <si>
    <t>FQFO250106000474</t>
  </si>
  <si>
    <t>FQFO250106000466</t>
  </si>
  <si>
    <t>FQFO250106000462</t>
  </si>
  <si>
    <t>FQFO250106000396</t>
  </si>
  <si>
    <t>BC.AG.SS000939.02.F</t>
  </si>
  <si>
    <t>【T50/T25】前雷达模块</t>
  </si>
  <si>
    <t>BC.AG.SS000566.01</t>
  </si>
  <si>
    <t>10033动力电机-M4</t>
  </si>
  <si>
    <t>BC.AG.SS000940.02.F</t>
  </si>
  <si>
    <t>【T50/T25】后雷达模块</t>
  </si>
  <si>
    <t>YC.XC.XX001010.05</t>
  </si>
  <si>
    <t>【T25】互联通信线</t>
  </si>
  <si>
    <t>【T50】10033动力电机</t>
  </si>
  <si>
    <t>YC.JG.ZS003495.02</t>
  </si>
  <si>
    <t>【大播撒】料箱盖</t>
  </si>
  <si>
    <t>YC.JG.ZS005017.03</t>
  </si>
  <si>
    <t>【T50】上反桨（U-CW）（白）</t>
  </si>
  <si>
    <t>YC.XC.XX001001.04</t>
  </si>
  <si>
    <t>【T50/T25】喷洒转接线</t>
  </si>
  <si>
    <t>YC.JG.ZS005018.03</t>
  </si>
  <si>
    <t>【T50】下正桨（L-CCW）（白）</t>
  </si>
  <si>
    <t>YC.JG.ZS003399.09</t>
  </si>
  <si>
    <t>【T50】喷杆外壳（后）</t>
  </si>
  <si>
    <t>YC.XC.XX001000.04</t>
  </si>
  <si>
    <t>【T50】离心喷头转接线（后）</t>
  </si>
  <si>
    <t>BC.AG.SS000707.01</t>
  </si>
  <si>
    <t>【T50/T25】电磁阀组件</t>
  </si>
  <si>
    <t>YC.JG.ZS005016.03</t>
  </si>
  <si>
    <t>【T50】上正桨（U-CCW）（白）</t>
  </si>
  <si>
    <t>BC.AG.SS000673.01</t>
  </si>
  <si>
    <t>【T50】称重模块</t>
  </si>
  <si>
    <t>BC.AG.SS000668.01</t>
  </si>
  <si>
    <t>10033动力电机-M5</t>
  </si>
  <si>
    <t>BC.AG.SS000563.01</t>
  </si>
  <si>
    <t>【T40/T20P】电调模块</t>
  </si>
  <si>
    <t>BC.AG.SS000558.01</t>
  </si>
  <si>
    <t>【T40】分电板模块</t>
  </si>
  <si>
    <t>YC.JG.ZS001963.05</t>
  </si>
  <si>
    <t>【T40/T20P】上正桨（U-CCW）</t>
  </si>
  <si>
    <t>YC.ST.LL000326.04</t>
  </si>
  <si>
    <t>M50-HF01900080-095050-5103-Y</t>
  </si>
  <si>
    <t>YC.JG.CS000012.06</t>
  </si>
  <si>
    <t>【T40】水箱（40L）</t>
  </si>
  <si>
    <t>YC.JG.QX003209.02</t>
  </si>
  <si>
    <t>分离式电机座（上）-M4</t>
  </si>
  <si>
    <t>YC.JG.ZS001965.05</t>
  </si>
  <si>
    <t>【T40】下正桨（L-CCW）</t>
  </si>
  <si>
    <t>BC.AG.SS000575.01</t>
  </si>
  <si>
    <t>【T40】锁紧扣手柄</t>
  </si>
  <si>
    <t>YC.JG.FP000018.03</t>
  </si>
  <si>
    <t>【T40】电机保护罩</t>
  </si>
  <si>
    <t>YC.JG.QX003210.02</t>
  </si>
  <si>
    <t>分离式电机座（下）-M4</t>
  </si>
  <si>
    <t>BC.AG.SS000777.01</t>
  </si>
  <si>
    <t>M2机臂（左前）（包胶）</t>
  </si>
  <si>
    <t>YC.JG.BJ001168.05</t>
  </si>
  <si>
    <t>【T40】脚架铝管</t>
  </si>
  <si>
    <t>YC.JG.ZS001966.05</t>
  </si>
  <si>
    <t>【T40】下反桨（L-CW）</t>
  </si>
  <si>
    <t>YC.JG.ZS001964.04</t>
  </si>
  <si>
    <t>上反桨（U-CW）</t>
  </si>
  <si>
    <t>BC.AG.SS000471.01</t>
  </si>
  <si>
    <t>【T50/T25】水箱液位计</t>
  </si>
  <si>
    <t>BC.AG.SS000752.01</t>
  </si>
  <si>
    <t>【T50/T25】喷杆螺母</t>
  </si>
  <si>
    <t>下反桨（L-CW）</t>
  </si>
  <si>
    <t>下正桨（L-CCW）</t>
  </si>
  <si>
    <t>YC.JG.ZS001963.04</t>
  </si>
  <si>
    <t>上正桨（U-CCW）</t>
  </si>
  <si>
    <t>YC.WJ.LL000232.02</t>
  </si>
  <si>
    <t>【T40/T20P】M40-HC01000100-072028-5103-N_01</t>
  </si>
  <si>
    <t>BC.AG.SS000697.01</t>
  </si>
  <si>
    <t>【T50】M2机臂（左前）</t>
  </si>
  <si>
    <t>YC.JG.ZS001964.05</t>
  </si>
  <si>
    <t>BC.AG.SS000691.01</t>
  </si>
  <si>
    <t>【T50】分电板模块</t>
  </si>
  <si>
    <t>BC.AG.SS000694.01</t>
  </si>
  <si>
    <t>【T50/T25】RTK天线组件</t>
  </si>
  <si>
    <t>YC.XC.TT000132.02</t>
  </si>
  <si>
    <t>【T50】RTK同轴线</t>
  </si>
  <si>
    <t>YC.WJ.LL000228.01</t>
  </si>
  <si>
    <t>M30-HBW01500070-055030-3123-Y_01</t>
  </si>
  <si>
    <t>YC.ST.LL000112.01</t>
  </si>
  <si>
    <t>【T40&amp;T20P电池】M40-HC00450039-076020-0003-Y</t>
  </si>
  <si>
    <t>YC.WJ.L00871.02</t>
  </si>
  <si>
    <t>【T40电池散热器】M30-HC100100-55-85 V2</t>
  </si>
  <si>
    <t>BC.AG.SS000559.01</t>
  </si>
  <si>
    <t>【T20P】分电板模块</t>
  </si>
  <si>
    <t>YC.JG.ZS003556.02</t>
  </si>
  <si>
    <t>T50电源模块管家板底壳</t>
  </si>
  <si>
    <t>BC.AG.SS000617.01</t>
  </si>
  <si>
    <t>【T40/T20P】航电模块L</t>
  </si>
  <si>
    <t>YC.JG.BJ001176.03</t>
  </si>
  <si>
    <t>【T20P】脚架铝管</t>
  </si>
  <si>
    <t>YC.JG.QX001242.03</t>
  </si>
  <si>
    <t>【T20P】锁紧扣连杆</t>
  </si>
  <si>
    <t>YC.JG.ZS002187.04</t>
  </si>
  <si>
    <t>【T40/T20P】脚架固定件（右前）</t>
  </si>
  <si>
    <t>YC.JG.JS000028.02</t>
  </si>
  <si>
    <t>【T40/T20P】喷杆水管</t>
  </si>
  <si>
    <t>YC.JG.ZS002291.11</t>
  </si>
  <si>
    <t>【T20P】喷杆固定座</t>
  </si>
  <si>
    <t>YC.JG.ZS002189.04</t>
  </si>
  <si>
    <t>【T40/T20P】脚架固定件（左后）</t>
  </si>
  <si>
    <t>BC.AG.SS000573.01</t>
  </si>
  <si>
    <t>【T20P】M3机臂（左后）</t>
  </si>
  <si>
    <t>YC.JG.ZS002483.02</t>
  </si>
  <si>
    <t>【T40/T20P】离心喷杆</t>
  </si>
  <si>
    <t>YC.JG.ZS002188.04</t>
  </si>
  <si>
    <t>【T40/T20P】脚架固定件（左前）</t>
  </si>
  <si>
    <t>CP.AG.00000579.01</t>
  </si>
  <si>
    <t>【T40充电器】T40 DC-DC电源模块（HJ）（不含输出线）</t>
  </si>
  <si>
    <t>BC.AG.SS000545.01</t>
  </si>
  <si>
    <t>【T40/T20P】流量计组件（含信号线）</t>
  </si>
  <si>
    <t>YC.JG.ZS002251.03</t>
  </si>
  <si>
    <t>【T40/T20P】水箱盖</t>
  </si>
  <si>
    <t>YC.WJ.L00876.02</t>
  </si>
  <si>
    <t>【T40/T20P】M40-HC060060-55-85 V2</t>
  </si>
  <si>
    <t>YC.JG.ZS002389.07</t>
  </si>
  <si>
    <t>【T40/T20P】叶轮泵保护罩</t>
  </si>
  <si>
    <t>YC.JG.ZS002234.07</t>
  </si>
  <si>
    <t>【T40/T20P】叶轮泵支架</t>
  </si>
  <si>
    <t>YC.JG.JS000027.04</t>
  </si>
  <si>
    <t>【T40】水箱出水口弯管</t>
  </si>
  <si>
    <t>BC.AG.SS000778.01</t>
  </si>
  <si>
    <t>M3机臂（左后）（包胶）</t>
  </si>
  <si>
    <t>YC.JG.ZS002250.02</t>
  </si>
  <si>
    <t>【T40/T20P】水箱盖防水透气盖</t>
  </si>
  <si>
    <t>YC.JG.FP000018.05</t>
  </si>
  <si>
    <t>YC.WJ.L00870.02</t>
  </si>
  <si>
    <t>【T40/T20P】M30-HC060060-55-85 V2</t>
  </si>
  <si>
    <t>YC.XC.XX000835.06</t>
  </si>
  <si>
    <t>【T40/T20P】喷洒信号线</t>
  </si>
  <si>
    <t>YC.JG.JS000022.04</t>
  </si>
  <si>
    <t>【T40/T20P】叶轮泵直角管</t>
  </si>
  <si>
    <t>YC.JG.MY000679.02</t>
  </si>
  <si>
    <t>【T40/T20P】水箱盖密封圈</t>
  </si>
  <si>
    <t>YC.ST.LL000209.02</t>
  </si>
  <si>
    <t>【T40/T20P】M50-HF01430102-116041-0003-Y</t>
  </si>
  <si>
    <t>YC.JG.ZS002298.02</t>
  </si>
  <si>
    <t>【T40/T20P】后壳上盖</t>
  </si>
  <si>
    <t>BC.AG.SS000776.01</t>
  </si>
  <si>
    <t>M1机臂（右前）（包胶）</t>
  </si>
  <si>
    <t>YC.JG.JS000018.03</t>
  </si>
  <si>
    <t>【T40/T20P】机臂水管</t>
  </si>
  <si>
    <t>YC.JG.ZS002299.02</t>
  </si>
  <si>
    <t>【T40/T20P】后壳下盖</t>
  </si>
  <si>
    <t>【T40/T20P】上反桨（U-CW）</t>
  </si>
  <si>
    <t>YC.XC.XX000857.06</t>
  </si>
  <si>
    <t>【T40/T20P】叶轮泵信号线</t>
  </si>
  <si>
    <t>售后credit（After-sale credit）</t>
  </si>
  <si>
    <t>CAS-19840459-F0Y2Z2</t>
  </si>
  <si>
    <t>CAS-19897588-J4B9C6</t>
  </si>
  <si>
    <t>CP.AG.00000570.01</t>
  </si>
  <si>
    <t>T40智能飞行电池</t>
  </si>
  <si>
    <t>57PPL7PDA30063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</si>
</sst>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3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8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17" fillId="0" borderId="0" xfId="0" applyFont="1"/>
    <xf numFmtId="0" fontId="0" fillId="0" borderId="0" xfId="0" applyNumberFormat="1"/>
    <xf numFmtId="0" fontId="18" fillId="8" borderId="1" xfId="0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2" xfId="0" applyFont="1" applyFill="1" applyBorder="1" applyAlignment="1">
      <alignment horizontal="center" vertical="center" wrapText="1"/>
    </xf>
    <xf numFmtId="177" fontId="21" fillId="9" borderId="2" xfId="0" applyNumberFormat="1" applyFont="1" applyFill="1" applyBorder="1" applyAlignment="1">
      <alignment horizontal="right" vertical="center"/>
    </xf>
    <xf numFmtId="0" fontId="21" fillId="9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/>
    </xf>
    <xf numFmtId="178" fontId="21" fillId="10" borderId="2" xfId="0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horizontal="right" vertical="center"/>
    </xf>
    <xf numFmtId="0" fontId="18" fillId="8" borderId="2" xfId="0" applyNumberFormat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13" fillId="6" borderId="9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B573FD2E-9607-4656-9935-0DDB87A7CA37}"/>
    <cellStyle name="常规 4 2 2" xfId="2" xr:uid="{684B6F1E-EDE2-40FE-9A9E-B56A0554690A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83E9-B31E-43D1-A0AD-00ECA24BB247}">
  <sheetPr codeName="Sheet4"/>
  <dimension ref="B1:F17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7" t="s">
        <v>6</v>
      </c>
      <c r="C2" s="48"/>
      <c r="D2" s="48"/>
      <c r="E2" s="48"/>
      <c r="F2" s="49"/>
    </row>
    <row r="3" spans="2:6" ht="18.75" customHeight="1" x14ac:dyDescent="0.2">
      <c r="B3" s="4" t="s">
        <v>0</v>
      </c>
      <c r="C3" s="50" t="s">
        <v>83</v>
      </c>
      <c r="D3" s="51"/>
      <c r="E3" s="4" t="s">
        <v>7</v>
      </c>
      <c r="F3" s="5" t="s">
        <v>85</v>
      </c>
    </row>
    <row r="4" spans="2:6" ht="18" x14ac:dyDescent="0.2">
      <c r="B4" s="52" t="s">
        <v>8</v>
      </c>
      <c r="C4" s="53"/>
      <c r="D4" s="54"/>
      <c r="E4" s="6" t="s">
        <v>9</v>
      </c>
      <c r="F4" s="7" t="s">
        <v>10</v>
      </c>
    </row>
    <row r="5" spans="2:6" ht="16.899999999999999" customHeight="1" x14ac:dyDescent="0.2">
      <c r="B5" s="8" t="s">
        <v>11</v>
      </c>
      <c r="C5" s="9">
        <v>1</v>
      </c>
      <c r="D5" s="10" t="s">
        <v>12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5" t="s">
        <v>13</v>
      </c>
      <c r="C6" s="56"/>
      <c r="D6" s="57"/>
      <c r="E6" s="11">
        <f>E5</f>
        <v>0</v>
      </c>
      <c r="F6" s="13"/>
    </row>
    <row r="7" spans="2:6" ht="16.899999999999999" customHeight="1" x14ac:dyDescent="0.2">
      <c r="B7" s="58" t="s">
        <v>14</v>
      </c>
      <c r="C7" s="14">
        <v>1</v>
      </c>
      <c r="D7" s="10" t="s">
        <v>15</v>
      </c>
      <c r="E7" s="11">
        <f>SUMIF('spare parts fee'!C:C,'monthly bill'!F3,'spare parts fee'!M:M)</f>
        <v>8455.6299999999992</v>
      </c>
      <c r="F7" s="13"/>
    </row>
    <row r="8" spans="2:6" ht="16.899999999999999" customHeight="1" x14ac:dyDescent="0.2">
      <c r="B8" s="58"/>
      <c r="C8" s="14">
        <v>2</v>
      </c>
      <c r="D8" s="10" t="s">
        <v>16</v>
      </c>
      <c r="E8" s="15">
        <f>SUMIF('service fee'!C:C,'monthly bill'!F3,'service fee'!M:M)</f>
        <v>276</v>
      </c>
      <c r="F8" s="13"/>
    </row>
    <row r="9" spans="2:6" ht="16.899999999999999" customHeight="1" x14ac:dyDescent="0.2">
      <c r="B9" s="58"/>
      <c r="C9" s="14">
        <v>3</v>
      </c>
      <c r="D9" s="10" t="s">
        <v>2</v>
      </c>
      <c r="E9" s="15">
        <f>SUMIF('incentive labor fee'!A:A,'monthly bill'!F3,'incentive labor fee'!J:J)</f>
        <v>110.4</v>
      </c>
      <c r="F9" s="13"/>
    </row>
    <row r="10" spans="2:6" ht="16.899999999999999" customHeight="1" x14ac:dyDescent="0.2">
      <c r="B10" s="58"/>
      <c r="C10" s="14">
        <v>4</v>
      </c>
      <c r="D10" s="10" t="s">
        <v>3</v>
      </c>
      <c r="E10" s="15">
        <f>SUMIF('service red-line deduction'!C:C,'monthly bill'!F3,'service red-line deduction'!M:M)</f>
        <v>0</v>
      </c>
      <c r="F10" s="13"/>
    </row>
    <row r="11" spans="2:6" ht="16.899999999999999" customHeight="1" x14ac:dyDescent="0.2">
      <c r="B11" s="58"/>
      <c r="C11" s="14">
        <v>5</v>
      </c>
      <c r="D11" s="10" t="s">
        <v>4</v>
      </c>
      <c r="E11" s="15">
        <f>SUMIF('bad parts deduction'!C:C,'monthly bill'!F3,'bad parts deduction'!M:M)</f>
        <v>0</v>
      </c>
      <c r="F11" s="13"/>
    </row>
    <row r="12" spans="2:6" ht="16.899999999999999" customHeight="1" x14ac:dyDescent="0.2">
      <c r="B12" s="58"/>
      <c r="C12" s="14">
        <v>6</v>
      </c>
      <c r="D12" s="10" t="s">
        <v>5</v>
      </c>
      <c r="E12" s="15">
        <f>SUMIF('other compensation'!C:C,'monthly bill'!F3,'other compensation'!M:M)</f>
        <v>0</v>
      </c>
      <c r="F12" s="13"/>
    </row>
    <row r="13" spans="2:6" ht="16.899999999999999" customHeight="1" x14ac:dyDescent="0.2">
      <c r="B13" s="58"/>
      <c r="C13" s="14">
        <v>7</v>
      </c>
      <c r="D13" s="10" t="s">
        <v>17</v>
      </c>
      <c r="E13" s="15">
        <f>SUMIF('DOA to CM'!I:I,'monthly bill'!F3,'DOA to CM'!B:B)</f>
        <v>1125</v>
      </c>
      <c r="F13" s="13"/>
    </row>
    <row r="14" spans="2:6" ht="16.899999999999999" customHeight="1" x14ac:dyDescent="0.2">
      <c r="B14" s="55" t="s">
        <v>18</v>
      </c>
      <c r="C14" s="56"/>
      <c r="D14" s="57"/>
      <c r="E14" s="15">
        <f>E7+E8+E9+E10+E11+E12+E13</f>
        <v>9967.0299999999988</v>
      </c>
      <c r="F14" s="13"/>
    </row>
    <row r="15" spans="2:6" ht="16.5" x14ac:dyDescent="0.2">
      <c r="B15" s="41" t="s">
        <v>19</v>
      </c>
      <c r="C15" s="42"/>
      <c r="D15" s="43"/>
      <c r="E15" s="16">
        <f>E14+E6</f>
        <v>9967.0299999999988</v>
      </c>
      <c r="F15" s="13" t="s">
        <v>20</v>
      </c>
    </row>
    <row r="16" spans="2:6" s="21" customFormat="1" ht="16.5" x14ac:dyDescent="0.2">
      <c r="B16" s="17" t="s">
        <v>21</v>
      </c>
      <c r="C16" s="18">
        <v>1</v>
      </c>
      <c r="D16" s="19" t="s">
        <v>22</v>
      </c>
      <c r="E16" s="2">
        <f>SUMIF('pre-payment balance'!D:D,F3,'pre-payment balance'!K:K)</f>
        <v>0</v>
      </c>
      <c r="F16" s="20"/>
    </row>
    <row r="17" spans="2:6" s="21" customFormat="1" ht="16.5" x14ac:dyDescent="0.2">
      <c r="B17" s="44" t="s">
        <v>23</v>
      </c>
      <c r="C17" s="45"/>
      <c r="D17" s="46"/>
      <c r="E17" s="22">
        <f>E16</f>
        <v>0</v>
      </c>
      <c r="F17" s="1" t="s">
        <v>24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DF68-D086-4F23-8FB8-AD6C21FA7842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7"/>
  </cols>
  <sheetData>
    <row r="1" spans="1:17" ht="15" x14ac:dyDescent="0.2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25" t="s">
        <v>38</v>
      </c>
    </row>
    <row r="3" spans="1:17" x14ac:dyDescent="0.2">
      <c r="A3" t="s">
        <v>86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4592-F3D7-435C-ABE0-BE4722029321}">
  <sheetPr codeName="Sheet6"/>
  <dimension ref="A1:Q31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6.75" customWidth="1"/>
    <col min="2" max="2" width="17.75" customWidth="1"/>
    <col min="3" max="3" width="15.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  <col min="12" max="13" width="11.5" bestFit="1" customWidth="1"/>
    <col min="14" max="14" width="14.5" bestFit="1" customWidth="1"/>
    <col min="17" max="17" width="10" bestFit="1" customWidth="1"/>
  </cols>
  <sheetData>
    <row r="1" spans="1:17" ht="15" x14ac:dyDescent="0.2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25" t="s">
        <v>38</v>
      </c>
    </row>
    <row r="2" spans="1:17" x14ac:dyDescent="0.2">
      <c r="A2" t="s">
        <v>87</v>
      </c>
      <c r="B2" s="59">
        <v>45681.801817129628</v>
      </c>
      <c r="C2" t="s">
        <v>84</v>
      </c>
      <c r="D2" t="s">
        <v>82</v>
      </c>
      <c r="E2" t="s">
        <v>88</v>
      </c>
      <c r="F2" t="s">
        <v>89</v>
      </c>
      <c r="G2" t="s">
        <v>90</v>
      </c>
      <c r="H2" t="s">
        <v>91</v>
      </c>
      <c r="I2" t="s">
        <v>41</v>
      </c>
      <c r="J2" t="s">
        <v>92</v>
      </c>
      <c r="K2" t="s">
        <v>40</v>
      </c>
      <c r="L2">
        <v>117.3</v>
      </c>
      <c r="M2">
        <v>117.3</v>
      </c>
      <c r="N2">
        <v>50489.09</v>
      </c>
      <c r="Q2">
        <v>202501</v>
      </c>
    </row>
    <row r="3" spans="1:17" x14ac:dyDescent="0.2">
      <c r="A3" t="s">
        <v>93</v>
      </c>
      <c r="B3" s="59">
        <v>45680.841585648152</v>
      </c>
      <c r="C3" t="s">
        <v>84</v>
      </c>
      <c r="D3" t="s">
        <v>82</v>
      </c>
      <c r="E3" t="s">
        <v>88</v>
      </c>
      <c r="F3" t="s">
        <v>89</v>
      </c>
      <c r="G3" t="s">
        <v>94</v>
      </c>
      <c r="H3" t="s">
        <v>91</v>
      </c>
      <c r="I3" t="s">
        <v>41</v>
      </c>
      <c r="J3" t="s">
        <v>92</v>
      </c>
      <c r="K3" t="s">
        <v>40</v>
      </c>
      <c r="L3">
        <v>283.12</v>
      </c>
      <c r="M3">
        <v>283.12</v>
      </c>
      <c r="N3">
        <v>50199.99</v>
      </c>
      <c r="Q3">
        <v>202501</v>
      </c>
    </row>
    <row r="4" spans="1:17" x14ac:dyDescent="0.2">
      <c r="A4" t="s">
        <v>95</v>
      </c>
      <c r="B4" s="59">
        <v>45679.829386574071</v>
      </c>
      <c r="C4" t="s">
        <v>84</v>
      </c>
      <c r="D4" t="s">
        <v>82</v>
      </c>
      <c r="E4" t="s">
        <v>88</v>
      </c>
      <c r="F4" t="s">
        <v>89</v>
      </c>
      <c r="G4" t="s">
        <v>96</v>
      </c>
      <c r="H4" t="s">
        <v>91</v>
      </c>
      <c r="I4" t="s">
        <v>41</v>
      </c>
      <c r="J4" t="s">
        <v>92</v>
      </c>
      <c r="K4" t="s">
        <v>40</v>
      </c>
      <c r="L4">
        <v>638.47</v>
      </c>
      <c r="M4">
        <v>638.47</v>
      </c>
      <c r="N4">
        <v>46421.87</v>
      </c>
      <c r="Q4">
        <v>202501</v>
      </c>
    </row>
    <row r="5" spans="1:17" x14ac:dyDescent="0.2">
      <c r="A5" t="s">
        <v>97</v>
      </c>
      <c r="B5" s="59">
        <v>45679.823148148149</v>
      </c>
      <c r="C5" t="s">
        <v>84</v>
      </c>
      <c r="D5" t="s">
        <v>82</v>
      </c>
      <c r="E5" t="s">
        <v>98</v>
      </c>
      <c r="F5" t="s">
        <v>89</v>
      </c>
      <c r="G5" t="s">
        <v>99</v>
      </c>
      <c r="H5" t="s">
        <v>91</v>
      </c>
      <c r="I5" t="s">
        <v>41</v>
      </c>
      <c r="J5" t="s">
        <v>92</v>
      </c>
      <c r="K5" t="s">
        <v>40</v>
      </c>
      <c r="L5">
        <v>141.56</v>
      </c>
      <c r="M5">
        <v>141.56</v>
      </c>
      <c r="N5">
        <v>45776.4</v>
      </c>
      <c r="Q5">
        <v>202501</v>
      </c>
    </row>
    <row r="6" spans="1:17" x14ac:dyDescent="0.2">
      <c r="A6" t="s">
        <v>100</v>
      </c>
      <c r="B6" s="59">
        <v>45679.822627314818</v>
      </c>
      <c r="C6" t="s">
        <v>84</v>
      </c>
      <c r="D6" t="s">
        <v>82</v>
      </c>
      <c r="E6" t="s">
        <v>101</v>
      </c>
      <c r="F6" t="s">
        <v>89</v>
      </c>
      <c r="G6" t="s">
        <v>102</v>
      </c>
      <c r="H6" t="s">
        <v>91</v>
      </c>
      <c r="I6" t="s">
        <v>41</v>
      </c>
      <c r="J6" t="s">
        <v>92</v>
      </c>
      <c r="K6" t="s">
        <v>40</v>
      </c>
      <c r="L6">
        <v>0.4</v>
      </c>
      <c r="M6">
        <v>0.4</v>
      </c>
      <c r="N6">
        <v>45634.84</v>
      </c>
      <c r="Q6">
        <v>202501</v>
      </c>
    </row>
    <row r="7" spans="1:17" x14ac:dyDescent="0.2">
      <c r="A7" t="s">
        <v>103</v>
      </c>
      <c r="B7" s="59">
        <v>45679.810983796298</v>
      </c>
      <c r="C7" t="s">
        <v>84</v>
      </c>
      <c r="D7" t="s">
        <v>82</v>
      </c>
      <c r="E7" t="s">
        <v>101</v>
      </c>
      <c r="F7" t="s">
        <v>89</v>
      </c>
      <c r="G7" t="s">
        <v>104</v>
      </c>
      <c r="H7" t="s">
        <v>91</v>
      </c>
      <c r="I7" t="s">
        <v>41</v>
      </c>
      <c r="J7" t="s">
        <v>92</v>
      </c>
      <c r="K7" t="s">
        <v>40</v>
      </c>
      <c r="L7">
        <v>0.22</v>
      </c>
      <c r="M7">
        <v>0.22</v>
      </c>
      <c r="N7">
        <v>45634.44</v>
      </c>
      <c r="Q7">
        <v>202501</v>
      </c>
    </row>
    <row r="8" spans="1:17" x14ac:dyDescent="0.2">
      <c r="A8" t="s">
        <v>105</v>
      </c>
      <c r="B8" s="59">
        <v>45679.809525462966</v>
      </c>
      <c r="C8" t="s">
        <v>84</v>
      </c>
      <c r="D8" t="s">
        <v>82</v>
      </c>
      <c r="E8" t="s">
        <v>101</v>
      </c>
      <c r="F8" t="s">
        <v>89</v>
      </c>
      <c r="G8" t="s">
        <v>106</v>
      </c>
      <c r="H8" t="s">
        <v>91</v>
      </c>
      <c r="I8" t="s">
        <v>41</v>
      </c>
      <c r="J8" t="s">
        <v>92</v>
      </c>
      <c r="K8" t="s">
        <v>40</v>
      </c>
      <c r="L8">
        <v>0.4</v>
      </c>
      <c r="M8">
        <v>0.4</v>
      </c>
      <c r="N8">
        <v>45634.22</v>
      </c>
      <c r="Q8">
        <v>202501</v>
      </c>
    </row>
    <row r="9" spans="1:17" x14ac:dyDescent="0.2">
      <c r="A9" t="s">
        <v>107</v>
      </c>
      <c r="B9" s="59">
        <v>45679.80841435185</v>
      </c>
      <c r="C9" t="s">
        <v>84</v>
      </c>
      <c r="D9" t="s">
        <v>82</v>
      </c>
      <c r="E9" t="s">
        <v>101</v>
      </c>
      <c r="F9" t="s">
        <v>89</v>
      </c>
      <c r="G9" t="s">
        <v>108</v>
      </c>
      <c r="H9" t="s">
        <v>91</v>
      </c>
      <c r="I9" t="s">
        <v>41</v>
      </c>
      <c r="J9" t="s">
        <v>92</v>
      </c>
      <c r="K9" t="s">
        <v>40</v>
      </c>
      <c r="L9">
        <v>0.22</v>
      </c>
      <c r="M9">
        <v>0.22</v>
      </c>
      <c r="N9">
        <v>45633.82</v>
      </c>
      <c r="Q9">
        <v>202501</v>
      </c>
    </row>
    <row r="10" spans="1:17" x14ac:dyDescent="0.2">
      <c r="A10" t="s">
        <v>109</v>
      </c>
      <c r="B10" s="59">
        <v>45678.884409722225</v>
      </c>
      <c r="C10" t="s">
        <v>84</v>
      </c>
      <c r="D10" t="s">
        <v>82</v>
      </c>
      <c r="E10" t="s">
        <v>101</v>
      </c>
      <c r="F10" t="s">
        <v>89</v>
      </c>
      <c r="G10" t="s">
        <v>110</v>
      </c>
      <c r="H10" t="s">
        <v>91</v>
      </c>
      <c r="I10" t="s">
        <v>41</v>
      </c>
      <c r="J10" t="s">
        <v>92</v>
      </c>
      <c r="K10" t="s">
        <v>40</v>
      </c>
      <c r="L10">
        <v>2</v>
      </c>
      <c r="M10">
        <v>2</v>
      </c>
      <c r="N10">
        <v>45626.6</v>
      </c>
      <c r="Q10">
        <v>202501</v>
      </c>
    </row>
    <row r="11" spans="1:17" x14ac:dyDescent="0.2">
      <c r="A11" t="s">
        <v>111</v>
      </c>
      <c r="B11" s="59">
        <v>45678.884375000001</v>
      </c>
      <c r="C11" t="s">
        <v>84</v>
      </c>
      <c r="D11" t="s">
        <v>82</v>
      </c>
      <c r="E11" t="s">
        <v>101</v>
      </c>
      <c r="F11" t="s">
        <v>89</v>
      </c>
      <c r="G11" t="s">
        <v>112</v>
      </c>
      <c r="H11" t="s">
        <v>91</v>
      </c>
      <c r="I11" t="s">
        <v>41</v>
      </c>
      <c r="J11" t="s">
        <v>92</v>
      </c>
      <c r="K11" t="s">
        <v>40</v>
      </c>
      <c r="L11">
        <v>2</v>
      </c>
      <c r="M11">
        <v>2</v>
      </c>
      <c r="N11">
        <v>45617.599999999999</v>
      </c>
      <c r="Q11">
        <v>202501</v>
      </c>
    </row>
    <row r="12" spans="1:17" x14ac:dyDescent="0.2">
      <c r="A12" t="s">
        <v>113</v>
      </c>
      <c r="B12" s="59">
        <v>45678.883796296293</v>
      </c>
      <c r="C12" t="s">
        <v>84</v>
      </c>
      <c r="D12" t="s">
        <v>82</v>
      </c>
      <c r="E12" t="s">
        <v>98</v>
      </c>
      <c r="F12" t="s">
        <v>89</v>
      </c>
      <c r="G12" t="s">
        <v>114</v>
      </c>
      <c r="H12" t="s">
        <v>91</v>
      </c>
      <c r="I12" t="s">
        <v>41</v>
      </c>
      <c r="J12" t="s">
        <v>92</v>
      </c>
      <c r="K12" t="s">
        <v>40</v>
      </c>
      <c r="L12">
        <v>97.47</v>
      </c>
      <c r="M12">
        <v>97.47</v>
      </c>
      <c r="N12">
        <v>45599.6</v>
      </c>
      <c r="Q12">
        <v>202501</v>
      </c>
    </row>
    <row r="13" spans="1:17" x14ac:dyDescent="0.2">
      <c r="A13" t="s">
        <v>115</v>
      </c>
      <c r="B13" s="59">
        <v>45674.901701388888</v>
      </c>
      <c r="C13" t="s">
        <v>84</v>
      </c>
      <c r="D13" t="s">
        <v>82</v>
      </c>
      <c r="E13" t="s">
        <v>98</v>
      </c>
      <c r="F13" t="s">
        <v>89</v>
      </c>
      <c r="G13" t="s">
        <v>116</v>
      </c>
      <c r="H13" t="s">
        <v>91</v>
      </c>
      <c r="I13" t="s">
        <v>41</v>
      </c>
      <c r="J13" t="s">
        <v>92</v>
      </c>
      <c r="K13" t="s">
        <v>40</v>
      </c>
      <c r="L13">
        <v>378.69</v>
      </c>
      <c r="M13">
        <v>378.69</v>
      </c>
      <c r="N13">
        <v>45475.13</v>
      </c>
      <c r="Q13">
        <v>202501</v>
      </c>
    </row>
    <row r="14" spans="1:17" x14ac:dyDescent="0.2">
      <c r="A14" t="s">
        <v>117</v>
      </c>
      <c r="B14" s="59">
        <v>45674.898252314815</v>
      </c>
      <c r="C14" t="s">
        <v>84</v>
      </c>
      <c r="D14" t="s">
        <v>82</v>
      </c>
      <c r="E14" t="s">
        <v>98</v>
      </c>
      <c r="F14" t="s">
        <v>89</v>
      </c>
      <c r="G14" t="s">
        <v>118</v>
      </c>
      <c r="H14" t="s">
        <v>91</v>
      </c>
      <c r="I14" t="s">
        <v>41</v>
      </c>
      <c r="J14" t="s">
        <v>92</v>
      </c>
      <c r="K14" t="s">
        <v>40</v>
      </c>
      <c r="L14">
        <v>403.78</v>
      </c>
      <c r="M14">
        <v>403.78</v>
      </c>
      <c r="N14">
        <v>45080.44</v>
      </c>
      <c r="Q14">
        <v>202501</v>
      </c>
    </row>
    <row r="15" spans="1:17" x14ac:dyDescent="0.2">
      <c r="A15" t="s">
        <v>119</v>
      </c>
      <c r="B15" s="59">
        <v>45671.876064814816</v>
      </c>
      <c r="C15" t="s">
        <v>84</v>
      </c>
      <c r="D15" t="s">
        <v>82</v>
      </c>
      <c r="E15" t="s">
        <v>120</v>
      </c>
      <c r="F15" t="s">
        <v>89</v>
      </c>
      <c r="G15" t="s">
        <v>121</v>
      </c>
      <c r="H15" t="s">
        <v>91</v>
      </c>
      <c r="I15" t="s">
        <v>41</v>
      </c>
      <c r="J15" t="s">
        <v>92</v>
      </c>
      <c r="K15" t="s">
        <v>40</v>
      </c>
      <c r="L15">
        <v>141.56</v>
      </c>
      <c r="M15">
        <v>141.56</v>
      </c>
      <c r="N15">
        <v>44669.66</v>
      </c>
      <c r="Q15">
        <v>202501</v>
      </c>
    </row>
    <row r="16" spans="1:17" x14ac:dyDescent="0.2">
      <c r="A16" t="s">
        <v>122</v>
      </c>
      <c r="B16" s="59">
        <v>45670.893449074072</v>
      </c>
      <c r="C16" t="s">
        <v>84</v>
      </c>
      <c r="D16" t="s">
        <v>82</v>
      </c>
      <c r="E16" t="s">
        <v>123</v>
      </c>
      <c r="F16" t="s">
        <v>89</v>
      </c>
      <c r="G16" t="s">
        <v>124</v>
      </c>
      <c r="H16" t="s">
        <v>91</v>
      </c>
      <c r="I16" t="s">
        <v>41</v>
      </c>
      <c r="J16" t="s">
        <v>92</v>
      </c>
      <c r="K16" t="s">
        <v>40</v>
      </c>
      <c r="L16">
        <v>570</v>
      </c>
      <c r="M16">
        <v>570</v>
      </c>
      <c r="N16">
        <v>44521.1</v>
      </c>
      <c r="Q16">
        <v>202501</v>
      </c>
    </row>
    <row r="17" spans="1:17" x14ac:dyDescent="0.2">
      <c r="A17" t="s">
        <v>125</v>
      </c>
      <c r="B17" s="59">
        <v>45670.892800925925</v>
      </c>
      <c r="C17" t="s">
        <v>84</v>
      </c>
      <c r="D17" t="s">
        <v>82</v>
      </c>
      <c r="F17" t="s">
        <v>89</v>
      </c>
      <c r="G17" t="s">
        <v>126</v>
      </c>
      <c r="H17" t="s">
        <v>91</v>
      </c>
      <c r="I17" t="s">
        <v>41</v>
      </c>
      <c r="J17" t="s">
        <v>92</v>
      </c>
      <c r="K17" t="s">
        <v>40</v>
      </c>
      <c r="L17">
        <v>378.69</v>
      </c>
      <c r="M17">
        <v>378.69</v>
      </c>
      <c r="N17">
        <v>43924.1</v>
      </c>
      <c r="Q17">
        <v>202501</v>
      </c>
    </row>
    <row r="18" spans="1:17" x14ac:dyDescent="0.2">
      <c r="A18" t="s">
        <v>127</v>
      </c>
      <c r="B18" s="59">
        <v>45670.891736111109</v>
      </c>
      <c r="C18" t="s">
        <v>84</v>
      </c>
      <c r="D18" t="s">
        <v>82</v>
      </c>
      <c r="E18" t="s">
        <v>123</v>
      </c>
      <c r="F18" t="s">
        <v>89</v>
      </c>
      <c r="G18" t="s">
        <v>128</v>
      </c>
      <c r="H18" t="s">
        <v>91</v>
      </c>
      <c r="I18" t="s">
        <v>41</v>
      </c>
      <c r="J18" t="s">
        <v>92</v>
      </c>
      <c r="K18" t="s">
        <v>40</v>
      </c>
      <c r="L18">
        <v>1310.44</v>
      </c>
      <c r="M18">
        <v>1310.44</v>
      </c>
      <c r="N18">
        <v>43529.41</v>
      </c>
      <c r="Q18">
        <v>202501</v>
      </c>
    </row>
    <row r="19" spans="1:17" x14ac:dyDescent="0.2">
      <c r="A19" t="s">
        <v>129</v>
      </c>
      <c r="B19" s="59">
        <v>45670.884432870371</v>
      </c>
      <c r="C19" t="s">
        <v>84</v>
      </c>
      <c r="D19" t="s">
        <v>82</v>
      </c>
      <c r="E19" t="s">
        <v>123</v>
      </c>
      <c r="F19" t="s">
        <v>89</v>
      </c>
      <c r="G19" t="s">
        <v>130</v>
      </c>
      <c r="H19" t="s">
        <v>91</v>
      </c>
      <c r="I19" t="s">
        <v>41</v>
      </c>
      <c r="J19" t="s">
        <v>92</v>
      </c>
      <c r="K19" t="s">
        <v>40</v>
      </c>
      <c r="L19">
        <v>741.15</v>
      </c>
      <c r="M19">
        <v>741.15</v>
      </c>
      <c r="N19">
        <v>42211.97</v>
      </c>
      <c r="Q19">
        <v>202501</v>
      </c>
    </row>
    <row r="20" spans="1:17" x14ac:dyDescent="0.2">
      <c r="A20" t="s">
        <v>131</v>
      </c>
      <c r="B20" s="59">
        <v>45670.836122685185</v>
      </c>
      <c r="C20" t="s">
        <v>84</v>
      </c>
      <c r="D20" t="s">
        <v>82</v>
      </c>
      <c r="E20" t="s">
        <v>123</v>
      </c>
      <c r="F20" t="s">
        <v>89</v>
      </c>
      <c r="G20" t="s">
        <v>132</v>
      </c>
      <c r="H20" t="s">
        <v>91</v>
      </c>
      <c r="I20" t="s">
        <v>41</v>
      </c>
      <c r="J20" t="s">
        <v>92</v>
      </c>
      <c r="K20" t="s">
        <v>40</v>
      </c>
      <c r="L20">
        <v>741.15</v>
      </c>
      <c r="M20">
        <v>741.15</v>
      </c>
      <c r="N20">
        <v>41463.82</v>
      </c>
      <c r="Q20">
        <v>202501</v>
      </c>
    </row>
    <row r="21" spans="1:17" x14ac:dyDescent="0.2">
      <c r="A21" t="s">
        <v>133</v>
      </c>
      <c r="B21" s="59">
        <v>45667.816319444442</v>
      </c>
      <c r="C21" t="s">
        <v>84</v>
      </c>
      <c r="D21" t="s">
        <v>82</v>
      </c>
      <c r="E21" t="s">
        <v>101</v>
      </c>
      <c r="F21" t="s">
        <v>89</v>
      </c>
      <c r="G21" t="s">
        <v>134</v>
      </c>
      <c r="H21" t="s">
        <v>91</v>
      </c>
      <c r="I21" t="s">
        <v>41</v>
      </c>
      <c r="J21" t="s">
        <v>92</v>
      </c>
      <c r="K21" t="s">
        <v>40</v>
      </c>
      <c r="L21">
        <v>570</v>
      </c>
      <c r="M21">
        <v>570</v>
      </c>
      <c r="N21">
        <v>40715.67</v>
      </c>
      <c r="Q21">
        <v>202501</v>
      </c>
    </row>
    <row r="22" spans="1:17" x14ac:dyDescent="0.2">
      <c r="A22" t="s">
        <v>135</v>
      </c>
      <c r="B22" s="59">
        <v>45666.871736111112</v>
      </c>
      <c r="C22" t="s">
        <v>84</v>
      </c>
      <c r="D22" t="s">
        <v>82</v>
      </c>
      <c r="E22" t="s">
        <v>123</v>
      </c>
      <c r="F22" t="s">
        <v>89</v>
      </c>
      <c r="G22" t="s">
        <v>136</v>
      </c>
      <c r="H22" t="s">
        <v>91</v>
      </c>
      <c r="I22" t="s">
        <v>41</v>
      </c>
      <c r="J22" t="s">
        <v>92</v>
      </c>
      <c r="K22" t="s">
        <v>40</v>
      </c>
      <c r="L22">
        <v>141.56</v>
      </c>
      <c r="M22">
        <v>141.56</v>
      </c>
      <c r="N22">
        <v>40138.67</v>
      </c>
      <c r="Q22">
        <v>202501</v>
      </c>
    </row>
    <row r="23" spans="1:17" x14ac:dyDescent="0.2">
      <c r="A23" t="s">
        <v>137</v>
      </c>
      <c r="B23" s="59">
        <v>45666.871527777781</v>
      </c>
      <c r="C23" t="s">
        <v>84</v>
      </c>
      <c r="D23" t="s">
        <v>82</v>
      </c>
      <c r="E23" t="s">
        <v>101</v>
      </c>
      <c r="F23" t="s">
        <v>89</v>
      </c>
      <c r="G23" t="s">
        <v>138</v>
      </c>
      <c r="H23" t="s">
        <v>91</v>
      </c>
      <c r="I23" t="s">
        <v>41</v>
      </c>
      <c r="J23" t="s">
        <v>92</v>
      </c>
      <c r="K23" t="s">
        <v>40</v>
      </c>
      <c r="L23">
        <v>5</v>
      </c>
      <c r="M23">
        <v>5</v>
      </c>
      <c r="N23">
        <v>39990.11</v>
      </c>
      <c r="Q23">
        <v>202501</v>
      </c>
    </row>
    <row r="24" spans="1:17" x14ac:dyDescent="0.2">
      <c r="A24" t="s">
        <v>139</v>
      </c>
      <c r="B24" s="59">
        <v>45666.871134259258</v>
      </c>
      <c r="C24" t="s">
        <v>84</v>
      </c>
      <c r="D24" t="s">
        <v>82</v>
      </c>
      <c r="E24" t="s">
        <v>101</v>
      </c>
      <c r="F24" t="s">
        <v>89</v>
      </c>
      <c r="G24" t="s">
        <v>140</v>
      </c>
      <c r="H24" t="s">
        <v>91</v>
      </c>
      <c r="I24" t="s">
        <v>41</v>
      </c>
      <c r="J24" t="s">
        <v>92</v>
      </c>
      <c r="K24" t="s">
        <v>40</v>
      </c>
      <c r="L24">
        <v>501</v>
      </c>
      <c r="M24">
        <v>501</v>
      </c>
      <c r="N24">
        <v>39978.11</v>
      </c>
      <c r="Q24">
        <v>202501</v>
      </c>
    </row>
    <row r="25" spans="1:17" x14ac:dyDescent="0.2">
      <c r="A25" t="s">
        <v>141</v>
      </c>
      <c r="B25" s="59">
        <v>45666.870879629627</v>
      </c>
      <c r="C25" t="s">
        <v>84</v>
      </c>
      <c r="D25" t="s">
        <v>82</v>
      </c>
      <c r="E25" t="s">
        <v>98</v>
      </c>
      <c r="F25" t="s">
        <v>89</v>
      </c>
      <c r="G25" t="s">
        <v>142</v>
      </c>
      <c r="H25" t="s">
        <v>91</v>
      </c>
      <c r="I25" t="s">
        <v>41</v>
      </c>
      <c r="J25" t="s">
        <v>92</v>
      </c>
      <c r="K25" t="s">
        <v>40</v>
      </c>
      <c r="L25">
        <v>141.56</v>
      </c>
      <c r="M25">
        <v>141.56</v>
      </c>
      <c r="N25">
        <v>39470.11</v>
      </c>
      <c r="Q25">
        <v>202501</v>
      </c>
    </row>
    <row r="26" spans="1:17" x14ac:dyDescent="0.2">
      <c r="A26" t="s">
        <v>143</v>
      </c>
      <c r="B26" s="59">
        <v>45665.888680555552</v>
      </c>
      <c r="C26" t="s">
        <v>84</v>
      </c>
      <c r="D26" t="s">
        <v>82</v>
      </c>
      <c r="E26" t="s">
        <v>123</v>
      </c>
      <c r="F26" t="s">
        <v>89</v>
      </c>
      <c r="G26" t="s">
        <v>144</v>
      </c>
      <c r="H26" t="s">
        <v>91</v>
      </c>
      <c r="I26" t="s">
        <v>41</v>
      </c>
      <c r="J26" t="s">
        <v>92</v>
      </c>
      <c r="K26" t="s">
        <v>40</v>
      </c>
      <c r="L26">
        <v>141.56</v>
      </c>
      <c r="M26">
        <v>141.56</v>
      </c>
      <c r="N26">
        <v>39321.550000000003</v>
      </c>
      <c r="Q26">
        <v>202501</v>
      </c>
    </row>
    <row r="27" spans="1:17" x14ac:dyDescent="0.2">
      <c r="A27" t="s">
        <v>145</v>
      </c>
      <c r="B27" s="59">
        <v>45664.852372685185</v>
      </c>
      <c r="C27" t="s">
        <v>84</v>
      </c>
      <c r="D27" t="s">
        <v>82</v>
      </c>
      <c r="E27" t="s">
        <v>123</v>
      </c>
      <c r="F27" t="s">
        <v>89</v>
      </c>
      <c r="G27" t="s">
        <v>146</v>
      </c>
      <c r="H27" t="s">
        <v>91</v>
      </c>
      <c r="I27" t="s">
        <v>41</v>
      </c>
      <c r="J27" t="s">
        <v>92</v>
      </c>
      <c r="K27" t="s">
        <v>40</v>
      </c>
      <c r="L27">
        <v>141.08000000000001</v>
      </c>
      <c r="M27">
        <v>141.08000000000001</v>
      </c>
      <c r="N27">
        <v>39172.99</v>
      </c>
      <c r="Q27">
        <v>202501</v>
      </c>
    </row>
    <row r="28" spans="1:17" x14ac:dyDescent="0.2">
      <c r="A28" t="s">
        <v>147</v>
      </c>
      <c r="B28" s="59">
        <v>45663.885000000002</v>
      </c>
      <c r="C28" t="s">
        <v>84</v>
      </c>
      <c r="D28" t="s">
        <v>82</v>
      </c>
      <c r="E28" t="s">
        <v>88</v>
      </c>
      <c r="F28" t="s">
        <v>89</v>
      </c>
      <c r="G28" t="s">
        <v>148</v>
      </c>
      <c r="H28" t="s">
        <v>91</v>
      </c>
      <c r="I28" t="s">
        <v>41</v>
      </c>
      <c r="J28" t="s">
        <v>92</v>
      </c>
      <c r="K28" t="s">
        <v>40</v>
      </c>
      <c r="L28">
        <v>407.8</v>
      </c>
      <c r="M28">
        <v>407.8</v>
      </c>
      <c r="N28">
        <v>39015.910000000003</v>
      </c>
      <c r="Q28">
        <v>202501</v>
      </c>
    </row>
    <row r="29" spans="1:17" x14ac:dyDescent="0.2">
      <c r="A29" t="s">
        <v>149</v>
      </c>
      <c r="B29" s="59">
        <v>45663.884872685187</v>
      </c>
      <c r="C29" t="s">
        <v>84</v>
      </c>
      <c r="D29" t="s">
        <v>82</v>
      </c>
      <c r="E29" t="s">
        <v>88</v>
      </c>
      <c r="F29" t="s">
        <v>89</v>
      </c>
      <c r="G29" t="s">
        <v>150</v>
      </c>
      <c r="H29" t="s">
        <v>91</v>
      </c>
      <c r="I29" t="s">
        <v>41</v>
      </c>
      <c r="J29" t="s">
        <v>92</v>
      </c>
      <c r="K29" t="s">
        <v>40</v>
      </c>
      <c r="L29">
        <v>74</v>
      </c>
      <c r="M29">
        <v>74</v>
      </c>
      <c r="N29">
        <v>38601.11</v>
      </c>
      <c r="Q29">
        <v>202501</v>
      </c>
    </row>
    <row r="30" spans="1:17" x14ac:dyDescent="0.2">
      <c r="A30" t="s">
        <v>151</v>
      </c>
      <c r="B30" s="59">
        <v>45663.88480324074</v>
      </c>
      <c r="C30" t="s">
        <v>84</v>
      </c>
      <c r="D30" t="s">
        <v>82</v>
      </c>
      <c r="E30" t="s">
        <v>123</v>
      </c>
      <c r="F30" t="s">
        <v>89</v>
      </c>
      <c r="G30" t="s">
        <v>152</v>
      </c>
      <c r="H30" t="s">
        <v>91</v>
      </c>
      <c r="I30" t="s">
        <v>41</v>
      </c>
      <c r="J30" t="s">
        <v>92</v>
      </c>
      <c r="K30" t="s">
        <v>40</v>
      </c>
      <c r="L30">
        <v>141.56</v>
      </c>
      <c r="M30">
        <v>141.56</v>
      </c>
      <c r="N30">
        <v>38520.11</v>
      </c>
      <c r="Q30">
        <v>202501</v>
      </c>
    </row>
    <row r="31" spans="1:17" x14ac:dyDescent="0.2">
      <c r="A31" t="s">
        <v>153</v>
      </c>
      <c r="B31" s="59">
        <v>45663.883611111109</v>
      </c>
      <c r="C31" t="s">
        <v>84</v>
      </c>
      <c r="D31" t="s">
        <v>82</v>
      </c>
      <c r="E31" t="s">
        <v>123</v>
      </c>
      <c r="F31" t="s">
        <v>89</v>
      </c>
      <c r="G31" t="s">
        <v>154</v>
      </c>
      <c r="H31" t="s">
        <v>91</v>
      </c>
      <c r="I31" t="s">
        <v>41</v>
      </c>
      <c r="J31" t="s">
        <v>92</v>
      </c>
      <c r="K31" t="s">
        <v>40</v>
      </c>
      <c r="L31">
        <v>241.89</v>
      </c>
      <c r="M31">
        <v>241.89</v>
      </c>
      <c r="N31">
        <v>38362.550000000003</v>
      </c>
      <c r="Q31">
        <v>202501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678F-A11B-44C3-8157-5C93AD0AED54}">
  <sheetPr codeName="Sheet10"/>
  <dimension ref="A1:Q2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2" max="2" width="14.875" customWidth="1"/>
    <col min="12" max="13" width="9.25" bestFit="1" customWidth="1"/>
    <col min="14" max="14" width="10.5" bestFit="1" customWidth="1"/>
    <col min="17" max="17" width="9.25" bestFit="1" customWidth="1"/>
  </cols>
  <sheetData>
    <row r="1" spans="1:17" ht="15" x14ac:dyDescent="0.2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25" t="s">
        <v>42</v>
      </c>
    </row>
    <row r="2" spans="1:17" x14ac:dyDescent="0.2">
      <c r="A2" t="s">
        <v>155</v>
      </c>
      <c r="B2" s="59">
        <v>45681.801817129628</v>
      </c>
      <c r="C2" t="s">
        <v>84</v>
      </c>
      <c r="D2" t="s">
        <v>82</v>
      </c>
      <c r="E2" t="s">
        <v>88</v>
      </c>
      <c r="F2" t="s">
        <v>89</v>
      </c>
      <c r="G2" t="s">
        <v>90</v>
      </c>
      <c r="H2" t="s">
        <v>156</v>
      </c>
      <c r="I2" t="s">
        <v>41</v>
      </c>
      <c r="J2" t="s">
        <v>92</v>
      </c>
      <c r="K2" t="s">
        <v>40</v>
      </c>
      <c r="L2">
        <v>7</v>
      </c>
      <c r="M2">
        <v>7</v>
      </c>
      <c r="N2">
        <v>50496.09</v>
      </c>
      <c r="Q2">
        <v>202501</v>
      </c>
    </row>
    <row r="3" spans="1:17" x14ac:dyDescent="0.2">
      <c r="A3" t="s">
        <v>157</v>
      </c>
      <c r="B3" s="59">
        <v>45680.841585648152</v>
      </c>
      <c r="C3" t="s">
        <v>84</v>
      </c>
      <c r="D3" t="s">
        <v>82</v>
      </c>
      <c r="E3" t="s">
        <v>88</v>
      </c>
      <c r="F3" t="s">
        <v>89</v>
      </c>
      <c r="G3" t="s">
        <v>94</v>
      </c>
      <c r="H3" t="s">
        <v>156</v>
      </c>
      <c r="I3" t="s">
        <v>41</v>
      </c>
      <c r="J3" t="s">
        <v>92</v>
      </c>
      <c r="K3" t="s">
        <v>40</v>
      </c>
      <c r="L3">
        <v>7</v>
      </c>
      <c r="M3">
        <v>7</v>
      </c>
      <c r="N3">
        <v>50206.99</v>
      </c>
      <c r="Q3">
        <v>202501</v>
      </c>
    </row>
    <row r="4" spans="1:17" x14ac:dyDescent="0.2">
      <c r="A4" t="s">
        <v>158</v>
      </c>
      <c r="B4" s="59">
        <v>45679.829386574071</v>
      </c>
      <c r="C4" t="s">
        <v>84</v>
      </c>
      <c r="D4" t="s">
        <v>82</v>
      </c>
      <c r="E4" t="s">
        <v>88</v>
      </c>
      <c r="F4" t="s">
        <v>89</v>
      </c>
      <c r="G4" t="s">
        <v>96</v>
      </c>
      <c r="H4" t="s">
        <v>156</v>
      </c>
      <c r="I4" t="s">
        <v>41</v>
      </c>
      <c r="J4" t="s">
        <v>92</v>
      </c>
      <c r="K4" t="s">
        <v>40</v>
      </c>
      <c r="L4">
        <v>16</v>
      </c>
      <c r="M4">
        <v>16</v>
      </c>
      <c r="N4">
        <v>46437.87</v>
      </c>
      <c r="Q4">
        <v>202501</v>
      </c>
    </row>
    <row r="5" spans="1:17" x14ac:dyDescent="0.2">
      <c r="A5" t="s">
        <v>159</v>
      </c>
      <c r="B5" s="59">
        <v>45679.823148148149</v>
      </c>
      <c r="C5" t="s">
        <v>84</v>
      </c>
      <c r="D5" t="s">
        <v>82</v>
      </c>
      <c r="E5" t="s">
        <v>98</v>
      </c>
      <c r="F5" t="s">
        <v>89</v>
      </c>
      <c r="G5" t="s">
        <v>99</v>
      </c>
      <c r="H5" t="s">
        <v>156</v>
      </c>
      <c r="I5" t="s">
        <v>41</v>
      </c>
      <c r="J5" t="s">
        <v>92</v>
      </c>
      <c r="K5" t="s">
        <v>40</v>
      </c>
      <c r="L5">
        <v>7</v>
      </c>
      <c r="M5">
        <v>7</v>
      </c>
      <c r="N5">
        <v>45783.4</v>
      </c>
      <c r="Q5">
        <v>202501</v>
      </c>
    </row>
    <row r="6" spans="1:17" x14ac:dyDescent="0.2">
      <c r="A6" t="s">
        <v>160</v>
      </c>
      <c r="B6" s="59">
        <v>45678.884409722225</v>
      </c>
      <c r="C6" t="s">
        <v>84</v>
      </c>
      <c r="D6" t="s">
        <v>82</v>
      </c>
      <c r="E6" t="s">
        <v>101</v>
      </c>
      <c r="F6" t="s">
        <v>89</v>
      </c>
      <c r="G6" t="s">
        <v>110</v>
      </c>
      <c r="H6" t="s">
        <v>156</v>
      </c>
      <c r="I6" t="s">
        <v>41</v>
      </c>
      <c r="J6" t="s">
        <v>92</v>
      </c>
      <c r="K6" t="s">
        <v>40</v>
      </c>
      <c r="L6">
        <v>7</v>
      </c>
      <c r="M6">
        <v>7</v>
      </c>
      <c r="N6">
        <v>45633.599999999999</v>
      </c>
      <c r="Q6">
        <v>202501</v>
      </c>
    </row>
    <row r="7" spans="1:17" x14ac:dyDescent="0.2">
      <c r="A7" t="s">
        <v>161</v>
      </c>
      <c r="B7" s="59">
        <v>45678.884375000001</v>
      </c>
      <c r="C7" t="s">
        <v>84</v>
      </c>
      <c r="D7" t="s">
        <v>82</v>
      </c>
      <c r="E7" t="s">
        <v>101</v>
      </c>
      <c r="F7" t="s">
        <v>89</v>
      </c>
      <c r="G7" t="s">
        <v>112</v>
      </c>
      <c r="H7" t="s">
        <v>156</v>
      </c>
      <c r="I7" t="s">
        <v>41</v>
      </c>
      <c r="J7" t="s">
        <v>92</v>
      </c>
      <c r="K7" t="s">
        <v>40</v>
      </c>
      <c r="L7">
        <v>7</v>
      </c>
      <c r="M7">
        <v>7</v>
      </c>
      <c r="N7">
        <v>45624.6</v>
      </c>
      <c r="Q7">
        <v>202501</v>
      </c>
    </row>
    <row r="8" spans="1:17" x14ac:dyDescent="0.2">
      <c r="A8" t="s">
        <v>162</v>
      </c>
      <c r="B8" s="59">
        <v>45678.883796296293</v>
      </c>
      <c r="C8" t="s">
        <v>84</v>
      </c>
      <c r="D8" t="s">
        <v>82</v>
      </c>
      <c r="E8" t="s">
        <v>98</v>
      </c>
      <c r="F8" t="s">
        <v>89</v>
      </c>
      <c r="G8" t="s">
        <v>114</v>
      </c>
      <c r="H8" t="s">
        <v>156</v>
      </c>
      <c r="I8" t="s">
        <v>41</v>
      </c>
      <c r="J8" t="s">
        <v>92</v>
      </c>
      <c r="K8" t="s">
        <v>40</v>
      </c>
      <c r="L8">
        <v>16</v>
      </c>
      <c r="M8">
        <v>16</v>
      </c>
      <c r="N8">
        <v>45615.6</v>
      </c>
      <c r="Q8">
        <v>202501</v>
      </c>
    </row>
    <row r="9" spans="1:17" x14ac:dyDescent="0.2">
      <c r="A9" t="s">
        <v>163</v>
      </c>
      <c r="B9" s="59">
        <v>45674.901701388888</v>
      </c>
      <c r="C9" t="s">
        <v>84</v>
      </c>
      <c r="D9" t="s">
        <v>82</v>
      </c>
      <c r="E9" t="s">
        <v>98</v>
      </c>
      <c r="F9" t="s">
        <v>89</v>
      </c>
      <c r="G9" t="s">
        <v>116</v>
      </c>
      <c r="H9" t="s">
        <v>156</v>
      </c>
      <c r="I9" t="s">
        <v>41</v>
      </c>
      <c r="J9" t="s">
        <v>92</v>
      </c>
      <c r="K9" t="s">
        <v>40</v>
      </c>
      <c r="L9">
        <v>27</v>
      </c>
      <c r="M9">
        <v>27</v>
      </c>
      <c r="N9">
        <v>45502.13</v>
      </c>
      <c r="Q9">
        <v>202501</v>
      </c>
    </row>
    <row r="10" spans="1:17" x14ac:dyDescent="0.2">
      <c r="A10" t="s">
        <v>164</v>
      </c>
      <c r="B10" s="59">
        <v>45674.898252314815</v>
      </c>
      <c r="C10" t="s">
        <v>84</v>
      </c>
      <c r="D10" t="s">
        <v>82</v>
      </c>
      <c r="E10" t="s">
        <v>98</v>
      </c>
      <c r="F10" t="s">
        <v>89</v>
      </c>
      <c r="G10" t="s">
        <v>118</v>
      </c>
      <c r="H10" t="s">
        <v>156</v>
      </c>
      <c r="I10" t="s">
        <v>41</v>
      </c>
      <c r="J10" t="s">
        <v>92</v>
      </c>
      <c r="K10" t="s">
        <v>40</v>
      </c>
      <c r="L10">
        <v>16</v>
      </c>
      <c r="M10">
        <v>16</v>
      </c>
      <c r="N10">
        <v>45096.44</v>
      </c>
      <c r="Q10">
        <v>202501</v>
      </c>
    </row>
    <row r="11" spans="1:17" x14ac:dyDescent="0.2">
      <c r="A11" t="s">
        <v>165</v>
      </c>
      <c r="B11" s="59">
        <v>45671.876064814816</v>
      </c>
      <c r="C11" t="s">
        <v>84</v>
      </c>
      <c r="D11" t="s">
        <v>82</v>
      </c>
      <c r="E11" t="s">
        <v>120</v>
      </c>
      <c r="F11" t="s">
        <v>89</v>
      </c>
      <c r="G11" t="s">
        <v>121</v>
      </c>
      <c r="H11" t="s">
        <v>156</v>
      </c>
      <c r="I11" t="s">
        <v>41</v>
      </c>
      <c r="J11" t="s">
        <v>92</v>
      </c>
      <c r="K11" t="s">
        <v>40</v>
      </c>
      <c r="L11">
        <v>7</v>
      </c>
      <c r="M11">
        <v>7</v>
      </c>
      <c r="N11">
        <v>44676.66</v>
      </c>
      <c r="Q11">
        <v>202501</v>
      </c>
    </row>
    <row r="12" spans="1:17" x14ac:dyDescent="0.2">
      <c r="A12" t="s">
        <v>166</v>
      </c>
      <c r="B12" s="59">
        <v>45670.893449074072</v>
      </c>
      <c r="C12" t="s">
        <v>84</v>
      </c>
      <c r="D12" t="s">
        <v>82</v>
      </c>
      <c r="E12" t="s">
        <v>123</v>
      </c>
      <c r="F12" t="s">
        <v>89</v>
      </c>
      <c r="G12" t="s">
        <v>124</v>
      </c>
      <c r="H12" t="s">
        <v>156</v>
      </c>
      <c r="I12" t="s">
        <v>41</v>
      </c>
      <c r="J12" t="s">
        <v>92</v>
      </c>
      <c r="K12" t="s">
        <v>40</v>
      </c>
      <c r="L12">
        <v>7</v>
      </c>
      <c r="M12">
        <v>7</v>
      </c>
      <c r="N12">
        <v>44528.1</v>
      </c>
      <c r="Q12">
        <v>202501</v>
      </c>
    </row>
    <row r="13" spans="1:17" x14ac:dyDescent="0.2">
      <c r="A13" t="s">
        <v>167</v>
      </c>
      <c r="B13" s="59">
        <v>45670.892800925925</v>
      </c>
      <c r="C13" t="s">
        <v>84</v>
      </c>
      <c r="D13" t="s">
        <v>82</v>
      </c>
      <c r="F13" t="s">
        <v>89</v>
      </c>
      <c r="G13" t="s">
        <v>126</v>
      </c>
      <c r="H13" t="s">
        <v>156</v>
      </c>
      <c r="I13" t="s">
        <v>41</v>
      </c>
      <c r="J13" t="s">
        <v>92</v>
      </c>
      <c r="K13" t="s">
        <v>40</v>
      </c>
      <c r="L13">
        <v>27</v>
      </c>
      <c r="M13">
        <v>27</v>
      </c>
      <c r="N13">
        <v>43951.1</v>
      </c>
      <c r="Q13">
        <v>202501</v>
      </c>
    </row>
    <row r="14" spans="1:17" x14ac:dyDescent="0.2">
      <c r="A14" t="s">
        <v>168</v>
      </c>
      <c r="B14" s="59">
        <v>45670.891736111109</v>
      </c>
      <c r="C14" t="s">
        <v>84</v>
      </c>
      <c r="D14" t="s">
        <v>82</v>
      </c>
      <c r="E14" t="s">
        <v>123</v>
      </c>
      <c r="F14" t="s">
        <v>89</v>
      </c>
      <c r="G14" t="s">
        <v>128</v>
      </c>
      <c r="H14" t="s">
        <v>156</v>
      </c>
      <c r="I14" t="s">
        <v>41</v>
      </c>
      <c r="J14" t="s">
        <v>92</v>
      </c>
      <c r="K14" t="s">
        <v>40</v>
      </c>
      <c r="L14">
        <v>16</v>
      </c>
      <c r="M14">
        <v>16</v>
      </c>
      <c r="N14">
        <v>43545.41</v>
      </c>
      <c r="Q14">
        <v>202501</v>
      </c>
    </row>
    <row r="15" spans="1:17" x14ac:dyDescent="0.2">
      <c r="A15" t="s">
        <v>169</v>
      </c>
      <c r="B15" s="59">
        <v>45670.884432870371</v>
      </c>
      <c r="C15" t="s">
        <v>84</v>
      </c>
      <c r="D15" t="s">
        <v>82</v>
      </c>
      <c r="E15" t="s">
        <v>123</v>
      </c>
      <c r="F15" t="s">
        <v>89</v>
      </c>
      <c r="G15" t="s">
        <v>130</v>
      </c>
      <c r="H15" t="s">
        <v>156</v>
      </c>
      <c r="I15" t="s">
        <v>41</v>
      </c>
      <c r="J15" t="s">
        <v>92</v>
      </c>
      <c r="K15" t="s">
        <v>40</v>
      </c>
      <c r="L15">
        <v>7</v>
      </c>
      <c r="M15">
        <v>7</v>
      </c>
      <c r="N15">
        <v>42218.97</v>
      </c>
      <c r="Q15">
        <v>202501</v>
      </c>
    </row>
    <row r="16" spans="1:17" x14ac:dyDescent="0.2">
      <c r="A16" t="s">
        <v>170</v>
      </c>
      <c r="B16" s="59">
        <v>45670.836122685185</v>
      </c>
      <c r="C16" t="s">
        <v>84</v>
      </c>
      <c r="D16" t="s">
        <v>82</v>
      </c>
      <c r="E16" t="s">
        <v>123</v>
      </c>
      <c r="F16" t="s">
        <v>89</v>
      </c>
      <c r="G16" t="s">
        <v>132</v>
      </c>
      <c r="H16" t="s">
        <v>156</v>
      </c>
      <c r="I16" t="s">
        <v>41</v>
      </c>
      <c r="J16" t="s">
        <v>92</v>
      </c>
      <c r="K16" t="s">
        <v>40</v>
      </c>
      <c r="L16">
        <v>7</v>
      </c>
      <c r="M16">
        <v>7</v>
      </c>
      <c r="N16">
        <v>41470.82</v>
      </c>
      <c r="Q16">
        <v>202501</v>
      </c>
    </row>
    <row r="17" spans="1:17" x14ac:dyDescent="0.2">
      <c r="A17" t="s">
        <v>171</v>
      </c>
      <c r="B17" s="59">
        <v>45667.816319444442</v>
      </c>
      <c r="C17" t="s">
        <v>84</v>
      </c>
      <c r="D17" t="s">
        <v>82</v>
      </c>
      <c r="E17" t="s">
        <v>101</v>
      </c>
      <c r="F17" t="s">
        <v>89</v>
      </c>
      <c r="G17" t="s">
        <v>134</v>
      </c>
      <c r="H17" t="s">
        <v>156</v>
      </c>
      <c r="I17" t="s">
        <v>41</v>
      </c>
      <c r="J17" t="s">
        <v>92</v>
      </c>
      <c r="K17" t="s">
        <v>40</v>
      </c>
      <c r="L17">
        <v>7</v>
      </c>
      <c r="M17">
        <v>7</v>
      </c>
      <c r="N17">
        <v>40722.67</v>
      </c>
      <c r="Q17">
        <v>202501</v>
      </c>
    </row>
    <row r="18" spans="1:17" x14ac:dyDescent="0.2">
      <c r="A18" t="s">
        <v>172</v>
      </c>
      <c r="B18" s="59">
        <v>45666.871747685182</v>
      </c>
      <c r="C18" t="s">
        <v>84</v>
      </c>
      <c r="D18" t="s">
        <v>82</v>
      </c>
      <c r="E18" t="s">
        <v>123</v>
      </c>
      <c r="F18" t="s">
        <v>89</v>
      </c>
      <c r="G18" t="s">
        <v>136</v>
      </c>
      <c r="H18" t="s">
        <v>156</v>
      </c>
      <c r="I18" t="s">
        <v>41</v>
      </c>
      <c r="J18" t="s">
        <v>92</v>
      </c>
      <c r="K18" t="s">
        <v>40</v>
      </c>
      <c r="L18">
        <v>7</v>
      </c>
      <c r="M18">
        <v>7</v>
      </c>
      <c r="N18">
        <v>40145.67</v>
      </c>
      <c r="Q18">
        <v>202501</v>
      </c>
    </row>
    <row r="19" spans="1:17" x14ac:dyDescent="0.2">
      <c r="A19" t="s">
        <v>173</v>
      </c>
      <c r="B19" s="59">
        <v>45666.871527777781</v>
      </c>
      <c r="C19" t="s">
        <v>84</v>
      </c>
      <c r="D19" t="s">
        <v>82</v>
      </c>
      <c r="E19" t="s">
        <v>101</v>
      </c>
      <c r="F19" t="s">
        <v>89</v>
      </c>
      <c r="G19" t="s">
        <v>138</v>
      </c>
      <c r="H19" t="s">
        <v>156</v>
      </c>
      <c r="I19" t="s">
        <v>41</v>
      </c>
      <c r="J19" t="s">
        <v>92</v>
      </c>
      <c r="K19" t="s">
        <v>40</v>
      </c>
      <c r="L19">
        <v>7</v>
      </c>
      <c r="M19">
        <v>7</v>
      </c>
      <c r="N19">
        <v>39997.11</v>
      </c>
      <c r="Q19">
        <v>202501</v>
      </c>
    </row>
    <row r="20" spans="1:17" x14ac:dyDescent="0.2">
      <c r="A20" t="s">
        <v>174</v>
      </c>
      <c r="B20" s="59">
        <v>45666.871134259258</v>
      </c>
      <c r="C20" t="s">
        <v>84</v>
      </c>
      <c r="D20" t="s">
        <v>82</v>
      </c>
      <c r="E20" t="s">
        <v>101</v>
      </c>
      <c r="F20" t="s">
        <v>89</v>
      </c>
      <c r="G20" t="s">
        <v>140</v>
      </c>
      <c r="H20" t="s">
        <v>156</v>
      </c>
      <c r="I20" t="s">
        <v>41</v>
      </c>
      <c r="J20" t="s">
        <v>92</v>
      </c>
      <c r="K20" t="s">
        <v>40</v>
      </c>
      <c r="L20">
        <v>7</v>
      </c>
      <c r="M20">
        <v>7</v>
      </c>
      <c r="N20">
        <v>39985.11</v>
      </c>
      <c r="Q20">
        <v>202501</v>
      </c>
    </row>
    <row r="21" spans="1:17" x14ac:dyDescent="0.2">
      <c r="A21" t="s">
        <v>175</v>
      </c>
      <c r="B21" s="59">
        <v>45666.870879629627</v>
      </c>
      <c r="C21" t="s">
        <v>84</v>
      </c>
      <c r="D21" t="s">
        <v>82</v>
      </c>
      <c r="E21" t="s">
        <v>98</v>
      </c>
      <c r="F21" t="s">
        <v>89</v>
      </c>
      <c r="G21" t="s">
        <v>142</v>
      </c>
      <c r="H21" t="s">
        <v>156</v>
      </c>
      <c r="I21" t="s">
        <v>41</v>
      </c>
      <c r="J21" t="s">
        <v>92</v>
      </c>
      <c r="K21" t="s">
        <v>40</v>
      </c>
      <c r="L21">
        <v>7</v>
      </c>
      <c r="M21">
        <v>7</v>
      </c>
      <c r="N21">
        <v>39477.11</v>
      </c>
      <c r="Q21">
        <v>202501</v>
      </c>
    </row>
    <row r="22" spans="1:17" x14ac:dyDescent="0.2">
      <c r="A22" t="s">
        <v>176</v>
      </c>
      <c r="B22" s="59">
        <v>45665.888680555552</v>
      </c>
      <c r="C22" t="s">
        <v>84</v>
      </c>
      <c r="D22" t="s">
        <v>82</v>
      </c>
      <c r="E22" t="s">
        <v>123</v>
      </c>
      <c r="F22" t="s">
        <v>89</v>
      </c>
      <c r="G22" t="s">
        <v>144</v>
      </c>
      <c r="H22" t="s">
        <v>156</v>
      </c>
      <c r="I22" t="s">
        <v>41</v>
      </c>
      <c r="J22" t="s">
        <v>92</v>
      </c>
      <c r="K22" t="s">
        <v>40</v>
      </c>
      <c r="L22">
        <v>7</v>
      </c>
      <c r="M22">
        <v>7</v>
      </c>
      <c r="N22">
        <v>39328.550000000003</v>
      </c>
      <c r="Q22">
        <v>202501</v>
      </c>
    </row>
    <row r="23" spans="1:17" x14ac:dyDescent="0.2">
      <c r="A23" t="s">
        <v>177</v>
      </c>
      <c r="B23" s="59">
        <v>45664.852372685185</v>
      </c>
      <c r="C23" t="s">
        <v>84</v>
      </c>
      <c r="D23" t="s">
        <v>82</v>
      </c>
      <c r="E23" t="s">
        <v>123</v>
      </c>
      <c r="F23" t="s">
        <v>89</v>
      </c>
      <c r="G23" t="s">
        <v>146</v>
      </c>
      <c r="H23" t="s">
        <v>156</v>
      </c>
      <c r="I23" t="s">
        <v>41</v>
      </c>
      <c r="J23" t="s">
        <v>92</v>
      </c>
      <c r="K23" t="s">
        <v>40</v>
      </c>
      <c r="L23">
        <v>7</v>
      </c>
      <c r="M23">
        <v>7</v>
      </c>
      <c r="N23">
        <v>39179.99</v>
      </c>
      <c r="Q23">
        <v>202501</v>
      </c>
    </row>
    <row r="24" spans="1:17" x14ac:dyDescent="0.2">
      <c r="A24" t="s">
        <v>178</v>
      </c>
      <c r="B24" s="59">
        <v>45663.885000000002</v>
      </c>
      <c r="C24" t="s">
        <v>84</v>
      </c>
      <c r="D24" t="s">
        <v>82</v>
      </c>
      <c r="E24" t="s">
        <v>88</v>
      </c>
      <c r="F24" t="s">
        <v>89</v>
      </c>
      <c r="G24" t="s">
        <v>148</v>
      </c>
      <c r="H24" t="s">
        <v>156</v>
      </c>
      <c r="I24" t="s">
        <v>41</v>
      </c>
      <c r="J24" t="s">
        <v>92</v>
      </c>
      <c r="K24" t="s">
        <v>40</v>
      </c>
      <c r="L24">
        <v>16</v>
      </c>
      <c r="M24">
        <v>16</v>
      </c>
      <c r="N24">
        <v>39031.910000000003</v>
      </c>
      <c r="Q24">
        <v>202501</v>
      </c>
    </row>
    <row r="25" spans="1:17" x14ac:dyDescent="0.2">
      <c r="A25" t="s">
        <v>179</v>
      </c>
      <c r="B25" s="59">
        <v>45663.884872685187</v>
      </c>
      <c r="C25" t="s">
        <v>84</v>
      </c>
      <c r="D25" t="s">
        <v>82</v>
      </c>
      <c r="E25" t="s">
        <v>88</v>
      </c>
      <c r="F25" t="s">
        <v>89</v>
      </c>
      <c r="G25" t="s">
        <v>150</v>
      </c>
      <c r="H25" t="s">
        <v>156</v>
      </c>
      <c r="I25" t="s">
        <v>41</v>
      </c>
      <c r="J25" t="s">
        <v>92</v>
      </c>
      <c r="K25" t="s">
        <v>40</v>
      </c>
      <c r="L25">
        <v>7</v>
      </c>
      <c r="M25">
        <v>7</v>
      </c>
      <c r="N25">
        <v>38608.11</v>
      </c>
      <c r="Q25">
        <v>202501</v>
      </c>
    </row>
    <row r="26" spans="1:17" x14ac:dyDescent="0.2">
      <c r="A26" t="s">
        <v>180</v>
      </c>
      <c r="B26" s="59">
        <v>45663.88480324074</v>
      </c>
      <c r="C26" t="s">
        <v>84</v>
      </c>
      <c r="D26" t="s">
        <v>82</v>
      </c>
      <c r="E26" t="s">
        <v>123</v>
      </c>
      <c r="F26" t="s">
        <v>89</v>
      </c>
      <c r="G26" t="s">
        <v>152</v>
      </c>
      <c r="H26" t="s">
        <v>156</v>
      </c>
      <c r="I26" t="s">
        <v>41</v>
      </c>
      <c r="J26" t="s">
        <v>92</v>
      </c>
      <c r="K26" t="s">
        <v>40</v>
      </c>
      <c r="L26">
        <v>7</v>
      </c>
      <c r="M26">
        <v>7</v>
      </c>
      <c r="N26">
        <v>38527.11</v>
      </c>
      <c r="Q26">
        <v>202501</v>
      </c>
    </row>
    <row r="27" spans="1:17" x14ac:dyDescent="0.2">
      <c r="A27" t="s">
        <v>181</v>
      </c>
      <c r="B27" s="59">
        <v>45663.883611111109</v>
      </c>
      <c r="C27" t="s">
        <v>84</v>
      </c>
      <c r="D27" t="s">
        <v>82</v>
      </c>
      <c r="E27" t="s">
        <v>123</v>
      </c>
      <c r="F27" t="s">
        <v>89</v>
      </c>
      <c r="G27" t="s">
        <v>154</v>
      </c>
      <c r="H27" t="s">
        <v>156</v>
      </c>
      <c r="I27" t="s">
        <v>41</v>
      </c>
      <c r="J27" t="s">
        <v>92</v>
      </c>
      <c r="K27" t="s">
        <v>40</v>
      </c>
      <c r="L27">
        <v>16</v>
      </c>
      <c r="M27">
        <v>16</v>
      </c>
      <c r="N27">
        <v>38378.550000000003</v>
      </c>
      <c r="Q27">
        <v>202501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C710-4894-4B40-AD3E-28AD53FF0346}">
  <sheetPr codeName="Sheet11"/>
  <dimension ref="A1:L2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125" customWidth="1"/>
    <col min="2" max="2" width="17.375" customWidth="1"/>
    <col min="3" max="8" width="13.5" customWidth="1"/>
    <col min="9" max="9" width="18.25" customWidth="1"/>
    <col min="10" max="10" width="13.25" bestFit="1" customWidth="1"/>
  </cols>
  <sheetData>
    <row r="1" spans="1:12" ht="15" x14ac:dyDescent="0.25">
      <c r="A1" s="24" t="s">
        <v>1</v>
      </c>
      <c r="B1" s="24" t="s">
        <v>0</v>
      </c>
      <c r="C1" s="23" t="s">
        <v>27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10</v>
      </c>
      <c r="L1" s="25" t="s">
        <v>42</v>
      </c>
    </row>
    <row r="2" spans="1:12" x14ac:dyDescent="0.2">
      <c r="A2" t="s">
        <v>84</v>
      </c>
      <c r="B2" t="s">
        <v>82</v>
      </c>
      <c r="C2" t="s">
        <v>82</v>
      </c>
      <c r="D2" t="s">
        <v>126</v>
      </c>
      <c r="E2" t="s">
        <v>43</v>
      </c>
      <c r="F2" t="s">
        <v>41</v>
      </c>
      <c r="G2" t="s">
        <v>39</v>
      </c>
      <c r="H2" t="s">
        <v>40</v>
      </c>
      <c r="I2">
        <v>10.8</v>
      </c>
      <c r="J2">
        <v>10.8</v>
      </c>
      <c r="L2">
        <v>202501</v>
      </c>
    </row>
    <row r="3" spans="1:12" x14ac:dyDescent="0.2">
      <c r="A3" t="s">
        <v>84</v>
      </c>
      <c r="B3" t="s">
        <v>82</v>
      </c>
      <c r="C3" t="s">
        <v>101</v>
      </c>
      <c r="D3" t="s">
        <v>138</v>
      </c>
      <c r="E3" t="s">
        <v>43</v>
      </c>
      <c r="F3" t="s">
        <v>41</v>
      </c>
      <c r="G3" t="s">
        <v>39</v>
      </c>
      <c r="H3" t="s">
        <v>40</v>
      </c>
      <c r="I3">
        <v>2.8</v>
      </c>
      <c r="J3">
        <v>2.8</v>
      </c>
      <c r="L3">
        <v>202501</v>
      </c>
    </row>
    <row r="4" spans="1:12" x14ac:dyDescent="0.2">
      <c r="A4" t="s">
        <v>84</v>
      </c>
      <c r="B4" t="s">
        <v>82</v>
      </c>
      <c r="C4" t="s">
        <v>101</v>
      </c>
      <c r="D4" t="s">
        <v>140</v>
      </c>
      <c r="E4" t="s">
        <v>43</v>
      </c>
      <c r="F4" t="s">
        <v>41</v>
      </c>
      <c r="G4" t="s">
        <v>39</v>
      </c>
      <c r="H4" t="s">
        <v>40</v>
      </c>
      <c r="I4">
        <v>2.8</v>
      </c>
      <c r="J4">
        <v>2.8</v>
      </c>
      <c r="L4">
        <v>202501</v>
      </c>
    </row>
    <row r="5" spans="1:12" x14ac:dyDescent="0.2">
      <c r="A5" t="s">
        <v>84</v>
      </c>
      <c r="B5" t="s">
        <v>82</v>
      </c>
      <c r="C5" t="s">
        <v>101</v>
      </c>
      <c r="D5" t="s">
        <v>134</v>
      </c>
      <c r="E5" t="s">
        <v>43</v>
      </c>
      <c r="F5" t="s">
        <v>41</v>
      </c>
      <c r="G5" t="s">
        <v>39</v>
      </c>
      <c r="H5" t="s">
        <v>40</v>
      </c>
      <c r="I5">
        <v>2.8</v>
      </c>
      <c r="J5">
        <v>2.8</v>
      </c>
      <c r="L5">
        <v>202501</v>
      </c>
    </row>
    <row r="6" spans="1:12" x14ac:dyDescent="0.2">
      <c r="A6" t="s">
        <v>84</v>
      </c>
      <c r="B6" t="s">
        <v>82</v>
      </c>
      <c r="C6" t="s">
        <v>101</v>
      </c>
      <c r="D6" t="s">
        <v>110</v>
      </c>
      <c r="E6" t="s">
        <v>43</v>
      </c>
      <c r="F6" t="s">
        <v>41</v>
      </c>
      <c r="G6" t="s">
        <v>39</v>
      </c>
      <c r="H6" t="s">
        <v>40</v>
      </c>
      <c r="I6">
        <v>2.8</v>
      </c>
      <c r="J6">
        <v>2.8</v>
      </c>
      <c r="L6">
        <v>202501</v>
      </c>
    </row>
    <row r="7" spans="1:12" x14ac:dyDescent="0.2">
      <c r="A7" t="s">
        <v>84</v>
      </c>
      <c r="B7" t="s">
        <v>82</v>
      </c>
      <c r="C7" t="s">
        <v>101</v>
      </c>
      <c r="D7" t="s">
        <v>112</v>
      </c>
      <c r="E7" t="s">
        <v>43</v>
      </c>
      <c r="F7" t="s">
        <v>41</v>
      </c>
      <c r="G7" t="s">
        <v>39</v>
      </c>
      <c r="H7" t="s">
        <v>40</v>
      </c>
      <c r="I7">
        <v>2.8</v>
      </c>
      <c r="J7">
        <v>2.8</v>
      </c>
      <c r="L7">
        <v>202501</v>
      </c>
    </row>
    <row r="8" spans="1:12" x14ac:dyDescent="0.2">
      <c r="A8" t="s">
        <v>84</v>
      </c>
      <c r="B8" t="s">
        <v>82</v>
      </c>
      <c r="C8" t="s">
        <v>120</v>
      </c>
      <c r="D8" t="s">
        <v>121</v>
      </c>
      <c r="E8" t="s">
        <v>43</v>
      </c>
      <c r="F8" t="s">
        <v>41</v>
      </c>
      <c r="G8" t="s">
        <v>39</v>
      </c>
      <c r="H8" t="s">
        <v>40</v>
      </c>
      <c r="I8">
        <v>2.8</v>
      </c>
      <c r="J8">
        <v>2.8</v>
      </c>
      <c r="L8">
        <v>202501</v>
      </c>
    </row>
    <row r="9" spans="1:12" x14ac:dyDescent="0.2">
      <c r="A9" t="s">
        <v>84</v>
      </c>
      <c r="B9" t="s">
        <v>82</v>
      </c>
      <c r="C9" t="s">
        <v>98</v>
      </c>
      <c r="D9" t="s">
        <v>142</v>
      </c>
      <c r="E9" t="s">
        <v>43</v>
      </c>
      <c r="F9" t="s">
        <v>41</v>
      </c>
      <c r="G9" t="s">
        <v>39</v>
      </c>
      <c r="H9" t="s">
        <v>40</v>
      </c>
      <c r="I9">
        <v>2.8</v>
      </c>
      <c r="J9">
        <v>2.8</v>
      </c>
      <c r="L9">
        <v>202501</v>
      </c>
    </row>
    <row r="10" spans="1:12" x14ac:dyDescent="0.2">
      <c r="A10" t="s">
        <v>84</v>
      </c>
      <c r="B10" t="s">
        <v>82</v>
      </c>
      <c r="C10" t="s">
        <v>98</v>
      </c>
      <c r="D10" t="s">
        <v>118</v>
      </c>
      <c r="E10" t="s">
        <v>43</v>
      </c>
      <c r="F10" t="s">
        <v>41</v>
      </c>
      <c r="G10" t="s">
        <v>39</v>
      </c>
      <c r="H10" t="s">
        <v>40</v>
      </c>
      <c r="I10">
        <v>6.4</v>
      </c>
      <c r="J10">
        <v>6.4</v>
      </c>
      <c r="L10">
        <v>202501</v>
      </c>
    </row>
    <row r="11" spans="1:12" x14ac:dyDescent="0.2">
      <c r="A11" t="s">
        <v>84</v>
      </c>
      <c r="B11" t="s">
        <v>82</v>
      </c>
      <c r="C11" t="s">
        <v>98</v>
      </c>
      <c r="D11" t="s">
        <v>116</v>
      </c>
      <c r="E11" t="s">
        <v>43</v>
      </c>
      <c r="F11" t="s">
        <v>41</v>
      </c>
      <c r="G11" t="s">
        <v>39</v>
      </c>
      <c r="H11" t="s">
        <v>40</v>
      </c>
      <c r="I11">
        <v>10.8</v>
      </c>
      <c r="J11">
        <v>10.8</v>
      </c>
      <c r="L11">
        <v>202501</v>
      </c>
    </row>
    <row r="12" spans="1:12" x14ac:dyDescent="0.2">
      <c r="A12" t="s">
        <v>84</v>
      </c>
      <c r="B12" t="s">
        <v>82</v>
      </c>
      <c r="C12" t="s">
        <v>98</v>
      </c>
      <c r="D12" t="s">
        <v>114</v>
      </c>
      <c r="E12" t="s">
        <v>43</v>
      </c>
      <c r="F12" t="s">
        <v>41</v>
      </c>
      <c r="G12" t="s">
        <v>39</v>
      </c>
      <c r="H12" t="s">
        <v>40</v>
      </c>
      <c r="I12">
        <v>6.4</v>
      </c>
      <c r="J12">
        <v>6.4</v>
      </c>
      <c r="L12">
        <v>202501</v>
      </c>
    </row>
    <row r="13" spans="1:12" x14ac:dyDescent="0.2">
      <c r="A13" t="s">
        <v>84</v>
      </c>
      <c r="B13" t="s">
        <v>82</v>
      </c>
      <c r="C13" t="s">
        <v>98</v>
      </c>
      <c r="D13" t="s">
        <v>99</v>
      </c>
      <c r="E13" t="s">
        <v>43</v>
      </c>
      <c r="F13" t="s">
        <v>41</v>
      </c>
      <c r="G13" t="s">
        <v>39</v>
      </c>
      <c r="H13" t="s">
        <v>40</v>
      </c>
      <c r="I13">
        <v>2.8</v>
      </c>
      <c r="J13">
        <v>2.8</v>
      </c>
      <c r="L13">
        <v>202501</v>
      </c>
    </row>
    <row r="14" spans="1:12" x14ac:dyDescent="0.2">
      <c r="A14" t="s">
        <v>84</v>
      </c>
      <c r="B14" t="s">
        <v>82</v>
      </c>
      <c r="C14" t="s">
        <v>123</v>
      </c>
      <c r="D14" t="s">
        <v>130</v>
      </c>
      <c r="E14" t="s">
        <v>43</v>
      </c>
      <c r="F14" t="s">
        <v>41</v>
      </c>
      <c r="G14" t="s">
        <v>39</v>
      </c>
      <c r="H14" t="s">
        <v>40</v>
      </c>
      <c r="I14">
        <v>2.8</v>
      </c>
      <c r="J14">
        <v>2.8</v>
      </c>
      <c r="L14">
        <v>202501</v>
      </c>
    </row>
    <row r="15" spans="1:12" x14ac:dyDescent="0.2">
      <c r="A15" t="s">
        <v>84</v>
      </c>
      <c r="B15" t="s">
        <v>82</v>
      </c>
      <c r="C15" t="s">
        <v>123</v>
      </c>
      <c r="D15" t="s">
        <v>152</v>
      </c>
      <c r="E15" t="s">
        <v>43</v>
      </c>
      <c r="F15" t="s">
        <v>41</v>
      </c>
      <c r="G15" t="s">
        <v>39</v>
      </c>
      <c r="H15" t="s">
        <v>40</v>
      </c>
      <c r="I15">
        <v>2.8</v>
      </c>
      <c r="J15">
        <v>2.8</v>
      </c>
      <c r="L15">
        <v>202501</v>
      </c>
    </row>
    <row r="16" spans="1:12" x14ac:dyDescent="0.2">
      <c r="A16" t="s">
        <v>84</v>
      </c>
      <c r="B16" t="s">
        <v>82</v>
      </c>
      <c r="C16" t="s">
        <v>123</v>
      </c>
      <c r="D16" t="s">
        <v>146</v>
      </c>
      <c r="E16" t="s">
        <v>43</v>
      </c>
      <c r="F16" t="s">
        <v>41</v>
      </c>
      <c r="G16" t="s">
        <v>39</v>
      </c>
      <c r="H16" t="s">
        <v>40</v>
      </c>
      <c r="I16">
        <v>2.8</v>
      </c>
      <c r="J16">
        <v>2.8</v>
      </c>
      <c r="L16">
        <v>202501</v>
      </c>
    </row>
    <row r="17" spans="1:12" x14ac:dyDescent="0.2">
      <c r="A17" t="s">
        <v>84</v>
      </c>
      <c r="B17" t="s">
        <v>82</v>
      </c>
      <c r="C17" t="s">
        <v>123</v>
      </c>
      <c r="D17" t="s">
        <v>128</v>
      </c>
      <c r="E17" t="s">
        <v>43</v>
      </c>
      <c r="F17" t="s">
        <v>41</v>
      </c>
      <c r="G17" t="s">
        <v>39</v>
      </c>
      <c r="H17" t="s">
        <v>40</v>
      </c>
      <c r="I17">
        <v>6.4</v>
      </c>
      <c r="J17">
        <v>6.4</v>
      </c>
      <c r="L17">
        <v>202501</v>
      </c>
    </row>
    <row r="18" spans="1:12" x14ac:dyDescent="0.2">
      <c r="A18" t="s">
        <v>84</v>
      </c>
      <c r="B18" t="s">
        <v>82</v>
      </c>
      <c r="C18" t="s">
        <v>123</v>
      </c>
      <c r="D18" t="s">
        <v>136</v>
      </c>
      <c r="E18" t="s">
        <v>43</v>
      </c>
      <c r="F18" t="s">
        <v>41</v>
      </c>
      <c r="G18" t="s">
        <v>39</v>
      </c>
      <c r="H18" t="s">
        <v>40</v>
      </c>
      <c r="I18">
        <v>2.8</v>
      </c>
      <c r="J18">
        <v>2.8</v>
      </c>
      <c r="L18">
        <v>202501</v>
      </c>
    </row>
    <row r="19" spans="1:12" x14ac:dyDescent="0.2">
      <c r="A19" t="s">
        <v>84</v>
      </c>
      <c r="B19" t="s">
        <v>82</v>
      </c>
      <c r="C19" t="s">
        <v>123</v>
      </c>
      <c r="D19" t="s">
        <v>144</v>
      </c>
      <c r="E19" t="s">
        <v>43</v>
      </c>
      <c r="F19" t="s">
        <v>41</v>
      </c>
      <c r="G19" t="s">
        <v>39</v>
      </c>
      <c r="H19" t="s">
        <v>40</v>
      </c>
      <c r="I19">
        <v>2.8</v>
      </c>
      <c r="J19">
        <v>2.8</v>
      </c>
      <c r="L19">
        <v>202501</v>
      </c>
    </row>
    <row r="20" spans="1:12" x14ac:dyDescent="0.2">
      <c r="A20" t="s">
        <v>84</v>
      </c>
      <c r="B20" t="s">
        <v>82</v>
      </c>
      <c r="C20" t="s">
        <v>123</v>
      </c>
      <c r="D20" t="s">
        <v>124</v>
      </c>
      <c r="E20" t="s">
        <v>43</v>
      </c>
      <c r="F20" t="s">
        <v>41</v>
      </c>
      <c r="G20" t="s">
        <v>39</v>
      </c>
      <c r="H20" t="s">
        <v>40</v>
      </c>
      <c r="I20">
        <v>2.8</v>
      </c>
      <c r="J20">
        <v>2.8</v>
      </c>
      <c r="L20">
        <v>202501</v>
      </c>
    </row>
    <row r="21" spans="1:12" x14ac:dyDescent="0.2">
      <c r="A21" t="s">
        <v>84</v>
      </c>
      <c r="B21" t="s">
        <v>82</v>
      </c>
      <c r="C21" t="s">
        <v>123</v>
      </c>
      <c r="D21" t="s">
        <v>132</v>
      </c>
      <c r="E21" t="s">
        <v>43</v>
      </c>
      <c r="F21" t="s">
        <v>41</v>
      </c>
      <c r="G21" t="s">
        <v>39</v>
      </c>
      <c r="H21" t="s">
        <v>40</v>
      </c>
      <c r="I21">
        <v>2.8</v>
      </c>
      <c r="J21">
        <v>2.8</v>
      </c>
      <c r="L21">
        <v>202501</v>
      </c>
    </row>
    <row r="22" spans="1:12" x14ac:dyDescent="0.2">
      <c r="A22" t="s">
        <v>84</v>
      </c>
      <c r="B22" t="s">
        <v>82</v>
      </c>
      <c r="C22" t="s">
        <v>123</v>
      </c>
      <c r="D22" t="s">
        <v>154</v>
      </c>
      <c r="E22" t="s">
        <v>43</v>
      </c>
      <c r="F22" t="s">
        <v>41</v>
      </c>
      <c r="G22" t="s">
        <v>39</v>
      </c>
      <c r="H22" t="s">
        <v>40</v>
      </c>
      <c r="I22">
        <v>6.4</v>
      </c>
      <c r="J22">
        <v>6.4</v>
      </c>
      <c r="L22">
        <v>202501</v>
      </c>
    </row>
    <row r="23" spans="1:12" x14ac:dyDescent="0.2">
      <c r="A23" t="s">
        <v>84</v>
      </c>
      <c r="B23" t="s">
        <v>82</v>
      </c>
      <c r="C23" t="s">
        <v>88</v>
      </c>
      <c r="D23" t="s">
        <v>148</v>
      </c>
      <c r="E23" t="s">
        <v>43</v>
      </c>
      <c r="F23" t="s">
        <v>41</v>
      </c>
      <c r="G23" t="s">
        <v>39</v>
      </c>
      <c r="H23" t="s">
        <v>40</v>
      </c>
      <c r="I23">
        <v>6.4</v>
      </c>
      <c r="J23">
        <v>6.4</v>
      </c>
      <c r="L23">
        <v>202501</v>
      </c>
    </row>
    <row r="24" spans="1:12" x14ac:dyDescent="0.2">
      <c r="A24" t="s">
        <v>84</v>
      </c>
      <c r="B24" t="s">
        <v>82</v>
      </c>
      <c r="C24" t="s">
        <v>88</v>
      </c>
      <c r="D24" t="s">
        <v>150</v>
      </c>
      <c r="E24" t="s">
        <v>43</v>
      </c>
      <c r="F24" t="s">
        <v>41</v>
      </c>
      <c r="G24" t="s">
        <v>39</v>
      </c>
      <c r="H24" t="s">
        <v>40</v>
      </c>
      <c r="I24">
        <v>2.8</v>
      </c>
      <c r="J24">
        <v>2.8</v>
      </c>
      <c r="L24">
        <v>202501</v>
      </c>
    </row>
    <row r="25" spans="1:12" x14ac:dyDescent="0.2">
      <c r="A25" t="s">
        <v>84</v>
      </c>
      <c r="B25" t="s">
        <v>82</v>
      </c>
      <c r="C25" t="s">
        <v>88</v>
      </c>
      <c r="D25" t="s">
        <v>96</v>
      </c>
      <c r="E25" t="s">
        <v>43</v>
      </c>
      <c r="F25" t="s">
        <v>41</v>
      </c>
      <c r="G25" t="s">
        <v>39</v>
      </c>
      <c r="H25" t="s">
        <v>40</v>
      </c>
      <c r="I25">
        <v>6.4</v>
      </c>
      <c r="J25">
        <v>6.4</v>
      </c>
      <c r="L25">
        <v>202501</v>
      </c>
    </row>
    <row r="26" spans="1:12" x14ac:dyDescent="0.2">
      <c r="A26" t="s">
        <v>84</v>
      </c>
      <c r="B26" t="s">
        <v>82</v>
      </c>
      <c r="C26" t="s">
        <v>88</v>
      </c>
      <c r="D26" t="s">
        <v>90</v>
      </c>
      <c r="E26" t="s">
        <v>43</v>
      </c>
      <c r="F26" t="s">
        <v>41</v>
      </c>
      <c r="G26" t="s">
        <v>39</v>
      </c>
      <c r="H26" t="s">
        <v>40</v>
      </c>
      <c r="I26">
        <v>2.8</v>
      </c>
      <c r="J26">
        <v>2.8</v>
      </c>
      <c r="L26">
        <v>202501</v>
      </c>
    </row>
    <row r="27" spans="1:12" x14ac:dyDescent="0.2">
      <c r="A27" t="s">
        <v>84</v>
      </c>
      <c r="B27" t="s">
        <v>82</v>
      </c>
      <c r="C27" t="s">
        <v>88</v>
      </c>
      <c r="D27" t="s">
        <v>94</v>
      </c>
      <c r="E27" t="s">
        <v>43</v>
      </c>
      <c r="F27" t="s">
        <v>41</v>
      </c>
      <c r="G27" t="s">
        <v>39</v>
      </c>
      <c r="H27" t="s">
        <v>40</v>
      </c>
      <c r="I27">
        <v>2.8</v>
      </c>
      <c r="J27">
        <v>2.8</v>
      </c>
      <c r="L27">
        <v>202501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F5D9-A7E0-431D-85F8-3A1A7BE0E528}">
  <sheetPr codeName="Sheet1"/>
  <dimension ref="A1:J101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44</v>
      </c>
      <c r="B1" s="28" t="s">
        <v>45</v>
      </c>
      <c r="C1" s="29" t="s">
        <v>46</v>
      </c>
      <c r="D1" s="29" t="s">
        <v>47</v>
      </c>
      <c r="E1" s="28" t="s">
        <v>48</v>
      </c>
      <c r="F1" s="28" t="s">
        <v>49</v>
      </c>
      <c r="G1" s="28" t="s">
        <v>50</v>
      </c>
      <c r="H1" s="28" t="s">
        <v>51</v>
      </c>
      <c r="I1" s="28" t="s">
        <v>52</v>
      </c>
      <c r="J1" s="28" t="s">
        <v>53</v>
      </c>
    </row>
    <row r="2" spans="1:10" x14ac:dyDescent="0.2">
      <c r="A2" t="s">
        <v>134</v>
      </c>
      <c r="B2" t="s">
        <v>101</v>
      </c>
      <c r="C2" t="s">
        <v>82</v>
      </c>
      <c r="D2" t="s">
        <v>84</v>
      </c>
      <c r="E2" t="s">
        <v>182</v>
      </c>
      <c r="F2" t="s">
        <v>183</v>
      </c>
      <c r="G2">
        <v>1</v>
      </c>
      <c r="H2" t="s">
        <v>40</v>
      </c>
      <c r="I2">
        <v>570</v>
      </c>
      <c r="J2">
        <v>570</v>
      </c>
    </row>
    <row r="3" spans="1:10" x14ac:dyDescent="0.2">
      <c r="A3" t="s">
        <v>142</v>
      </c>
      <c r="B3" t="s">
        <v>98</v>
      </c>
      <c r="C3" t="s">
        <v>82</v>
      </c>
      <c r="D3" t="s">
        <v>84</v>
      </c>
      <c r="E3" t="s">
        <v>184</v>
      </c>
      <c r="F3" t="s">
        <v>185</v>
      </c>
      <c r="G3">
        <v>1</v>
      </c>
      <c r="H3" t="s">
        <v>40</v>
      </c>
      <c r="I3">
        <v>141.56</v>
      </c>
      <c r="J3">
        <v>141.56</v>
      </c>
    </row>
    <row r="4" spans="1:10" x14ac:dyDescent="0.2">
      <c r="A4" t="s">
        <v>140</v>
      </c>
      <c r="B4" t="s">
        <v>101</v>
      </c>
      <c r="C4" t="s">
        <v>82</v>
      </c>
      <c r="D4" t="s">
        <v>84</v>
      </c>
      <c r="E4" t="s">
        <v>186</v>
      </c>
      <c r="F4" t="s">
        <v>187</v>
      </c>
      <c r="G4">
        <v>1</v>
      </c>
      <c r="H4" t="s">
        <v>40</v>
      </c>
      <c r="I4">
        <v>501</v>
      </c>
      <c r="J4">
        <v>501</v>
      </c>
    </row>
    <row r="5" spans="1:10" x14ac:dyDescent="0.2">
      <c r="A5" t="s">
        <v>138</v>
      </c>
      <c r="B5" t="s">
        <v>101</v>
      </c>
      <c r="C5" t="s">
        <v>82</v>
      </c>
      <c r="D5" t="s">
        <v>84</v>
      </c>
      <c r="E5" t="s">
        <v>188</v>
      </c>
      <c r="F5" t="s">
        <v>189</v>
      </c>
      <c r="G5">
        <v>1</v>
      </c>
      <c r="H5" t="s">
        <v>40</v>
      </c>
      <c r="I5">
        <v>5</v>
      </c>
      <c r="J5">
        <v>5</v>
      </c>
    </row>
    <row r="6" spans="1:10" x14ac:dyDescent="0.2">
      <c r="A6" t="s">
        <v>136</v>
      </c>
      <c r="B6" t="s">
        <v>123</v>
      </c>
      <c r="C6" t="s">
        <v>82</v>
      </c>
      <c r="D6" t="s">
        <v>84</v>
      </c>
      <c r="E6" t="s">
        <v>54</v>
      </c>
      <c r="F6" t="s">
        <v>190</v>
      </c>
      <c r="G6">
        <v>1</v>
      </c>
      <c r="H6" t="s">
        <v>40</v>
      </c>
      <c r="I6">
        <v>141.56</v>
      </c>
      <c r="J6">
        <v>141.56</v>
      </c>
    </row>
    <row r="7" spans="1:10" x14ac:dyDescent="0.2">
      <c r="A7" t="s">
        <v>144</v>
      </c>
      <c r="B7" t="s">
        <v>123</v>
      </c>
      <c r="C7" t="s">
        <v>82</v>
      </c>
      <c r="D7" t="s">
        <v>84</v>
      </c>
      <c r="E7" t="s">
        <v>54</v>
      </c>
      <c r="F7" t="s">
        <v>190</v>
      </c>
      <c r="G7">
        <v>1</v>
      </c>
      <c r="H7" t="s">
        <v>40</v>
      </c>
      <c r="I7">
        <v>141.56</v>
      </c>
      <c r="J7">
        <v>141.56</v>
      </c>
    </row>
    <row r="8" spans="1:10" x14ac:dyDescent="0.2">
      <c r="A8" t="s">
        <v>146</v>
      </c>
      <c r="B8" t="s">
        <v>123</v>
      </c>
      <c r="C8" t="s">
        <v>82</v>
      </c>
      <c r="D8" t="s">
        <v>84</v>
      </c>
      <c r="E8" t="s">
        <v>191</v>
      </c>
      <c r="F8" t="s">
        <v>192</v>
      </c>
      <c r="G8">
        <v>1</v>
      </c>
      <c r="H8" t="s">
        <v>40</v>
      </c>
      <c r="I8">
        <v>6</v>
      </c>
      <c r="J8">
        <v>6</v>
      </c>
    </row>
    <row r="9" spans="1:10" x14ac:dyDescent="0.2">
      <c r="A9" t="s">
        <v>146</v>
      </c>
      <c r="B9" t="s">
        <v>123</v>
      </c>
      <c r="C9" t="s">
        <v>82</v>
      </c>
      <c r="D9" t="s">
        <v>84</v>
      </c>
      <c r="E9" t="s">
        <v>193</v>
      </c>
      <c r="F9" t="s">
        <v>194</v>
      </c>
      <c r="G9">
        <v>1</v>
      </c>
      <c r="H9" t="s">
        <v>40</v>
      </c>
      <c r="I9">
        <v>21.27</v>
      </c>
      <c r="J9">
        <v>21.27</v>
      </c>
    </row>
    <row r="10" spans="1:10" x14ac:dyDescent="0.2">
      <c r="A10" t="s">
        <v>146</v>
      </c>
      <c r="B10" t="s">
        <v>123</v>
      </c>
      <c r="C10" t="s">
        <v>82</v>
      </c>
      <c r="D10" t="s">
        <v>84</v>
      </c>
      <c r="E10" t="s">
        <v>195</v>
      </c>
      <c r="F10" t="s">
        <v>196</v>
      </c>
      <c r="G10">
        <v>1</v>
      </c>
      <c r="H10" t="s">
        <v>40</v>
      </c>
      <c r="I10">
        <v>17</v>
      </c>
      <c r="J10">
        <v>17</v>
      </c>
    </row>
    <row r="11" spans="1:10" x14ac:dyDescent="0.2">
      <c r="A11" t="s">
        <v>146</v>
      </c>
      <c r="B11" t="s">
        <v>123</v>
      </c>
      <c r="C11" t="s">
        <v>82</v>
      </c>
      <c r="D11" t="s">
        <v>84</v>
      </c>
      <c r="E11" t="s">
        <v>197</v>
      </c>
      <c r="F11" t="s">
        <v>198</v>
      </c>
      <c r="G11">
        <v>2</v>
      </c>
      <c r="H11" t="s">
        <v>40</v>
      </c>
      <c r="I11">
        <v>21.27</v>
      </c>
      <c r="J11">
        <v>42.54</v>
      </c>
    </row>
    <row r="12" spans="1:10" x14ac:dyDescent="0.2">
      <c r="A12" t="s">
        <v>146</v>
      </c>
      <c r="B12" t="s">
        <v>123</v>
      </c>
      <c r="C12" t="s">
        <v>82</v>
      </c>
      <c r="D12" t="s">
        <v>84</v>
      </c>
      <c r="E12" t="s">
        <v>199</v>
      </c>
      <c r="F12" t="s">
        <v>200</v>
      </c>
      <c r="G12">
        <v>1</v>
      </c>
      <c r="H12" t="s">
        <v>40</v>
      </c>
      <c r="I12">
        <v>2</v>
      </c>
      <c r="J12">
        <v>2</v>
      </c>
    </row>
    <row r="13" spans="1:10" x14ac:dyDescent="0.2">
      <c r="A13" t="s">
        <v>146</v>
      </c>
      <c r="B13" t="s">
        <v>123</v>
      </c>
      <c r="C13" t="s">
        <v>82</v>
      </c>
      <c r="D13" t="s">
        <v>84</v>
      </c>
      <c r="E13" t="s">
        <v>201</v>
      </c>
      <c r="F13" t="s">
        <v>202</v>
      </c>
      <c r="G13">
        <v>1</v>
      </c>
      <c r="H13" t="s">
        <v>40</v>
      </c>
      <c r="I13">
        <v>12</v>
      </c>
      <c r="J13">
        <v>12</v>
      </c>
    </row>
    <row r="14" spans="1:10" x14ac:dyDescent="0.2">
      <c r="A14" t="s">
        <v>146</v>
      </c>
      <c r="B14" t="s">
        <v>123</v>
      </c>
      <c r="C14" t="s">
        <v>82</v>
      </c>
      <c r="D14" t="s">
        <v>84</v>
      </c>
      <c r="E14" t="s">
        <v>203</v>
      </c>
      <c r="F14" t="s">
        <v>204</v>
      </c>
      <c r="G14">
        <v>1</v>
      </c>
      <c r="H14" t="s">
        <v>40</v>
      </c>
      <c r="I14">
        <v>19</v>
      </c>
      <c r="J14">
        <v>19</v>
      </c>
    </row>
    <row r="15" spans="1:10" x14ac:dyDescent="0.2">
      <c r="A15" t="s">
        <v>146</v>
      </c>
      <c r="B15" t="s">
        <v>123</v>
      </c>
      <c r="C15" t="s">
        <v>82</v>
      </c>
      <c r="D15" t="s">
        <v>84</v>
      </c>
      <c r="E15" t="s">
        <v>205</v>
      </c>
      <c r="F15" t="s">
        <v>206</v>
      </c>
      <c r="G15">
        <v>1</v>
      </c>
      <c r="H15" t="s">
        <v>40</v>
      </c>
      <c r="I15">
        <v>21.27</v>
      </c>
      <c r="J15">
        <v>21.27</v>
      </c>
    </row>
    <row r="16" spans="1:10" x14ac:dyDescent="0.2">
      <c r="A16" t="s">
        <v>150</v>
      </c>
      <c r="B16" t="s">
        <v>88</v>
      </c>
      <c r="C16" t="s">
        <v>82</v>
      </c>
      <c r="D16" t="s">
        <v>84</v>
      </c>
      <c r="E16" t="s">
        <v>207</v>
      </c>
      <c r="F16" t="s">
        <v>208</v>
      </c>
      <c r="G16">
        <v>1</v>
      </c>
      <c r="H16" t="s">
        <v>40</v>
      </c>
      <c r="I16">
        <v>74</v>
      </c>
      <c r="J16">
        <v>74</v>
      </c>
    </row>
    <row r="17" spans="1:10" x14ac:dyDescent="0.2">
      <c r="A17" t="s">
        <v>152</v>
      </c>
      <c r="B17" t="s">
        <v>123</v>
      </c>
      <c r="C17" t="s">
        <v>82</v>
      </c>
      <c r="D17" t="s">
        <v>84</v>
      </c>
      <c r="E17" t="s">
        <v>54</v>
      </c>
      <c r="F17" t="s">
        <v>190</v>
      </c>
      <c r="G17">
        <v>1</v>
      </c>
      <c r="H17" t="s">
        <v>40</v>
      </c>
      <c r="I17">
        <v>141.56</v>
      </c>
      <c r="J17">
        <v>141.56</v>
      </c>
    </row>
    <row r="18" spans="1:10" x14ac:dyDescent="0.2">
      <c r="A18" t="s">
        <v>148</v>
      </c>
      <c r="B18" t="s">
        <v>88</v>
      </c>
      <c r="C18" t="s">
        <v>82</v>
      </c>
      <c r="D18" t="s">
        <v>84</v>
      </c>
      <c r="E18" t="s">
        <v>209</v>
      </c>
      <c r="F18" t="s">
        <v>210</v>
      </c>
      <c r="G18">
        <v>1</v>
      </c>
      <c r="H18" t="s">
        <v>40</v>
      </c>
      <c r="I18">
        <v>141.56</v>
      </c>
      <c r="J18">
        <v>141.56</v>
      </c>
    </row>
    <row r="19" spans="1:10" x14ac:dyDescent="0.2">
      <c r="A19" t="s">
        <v>148</v>
      </c>
      <c r="B19" t="s">
        <v>88</v>
      </c>
      <c r="C19" t="s">
        <v>82</v>
      </c>
      <c r="D19" t="s">
        <v>84</v>
      </c>
      <c r="E19" t="s">
        <v>211</v>
      </c>
      <c r="F19" t="s">
        <v>212</v>
      </c>
      <c r="G19">
        <v>1</v>
      </c>
      <c r="H19" t="s">
        <v>40</v>
      </c>
      <c r="I19">
        <v>128.63999999999999</v>
      </c>
      <c r="J19">
        <v>128.63999999999999</v>
      </c>
    </row>
    <row r="20" spans="1:10" x14ac:dyDescent="0.2">
      <c r="A20" t="s">
        <v>148</v>
      </c>
      <c r="B20" t="s">
        <v>88</v>
      </c>
      <c r="C20" t="s">
        <v>82</v>
      </c>
      <c r="D20" t="s">
        <v>84</v>
      </c>
      <c r="E20" t="s">
        <v>213</v>
      </c>
      <c r="F20" t="s">
        <v>214</v>
      </c>
      <c r="G20">
        <v>1</v>
      </c>
      <c r="H20" t="s">
        <v>40</v>
      </c>
      <c r="I20">
        <v>137.6</v>
      </c>
      <c r="J20">
        <v>137.6</v>
      </c>
    </row>
    <row r="21" spans="1:10" x14ac:dyDescent="0.2">
      <c r="A21" t="s">
        <v>154</v>
      </c>
      <c r="B21" t="s">
        <v>123</v>
      </c>
      <c r="C21" t="s">
        <v>82</v>
      </c>
      <c r="D21" t="s">
        <v>84</v>
      </c>
      <c r="E21" t="s">
        <v>215</v>
      </c>
      <c r="F21" t="s">
        <v>216</v>
      </c>
      <c r="G21">
        <v>1</v>
      </c>
      <c r="H21" t="s">
        <v>40</v>
      </c>
      <c r="I21">
        <v>21.27</v>
      </c>
      <c r="J21">
        <v>21.27</v>
      </c>
    </row>
    <row r="22" spans="1:10" x14ac:dyDescent="0.2">
      <c r="A22" t="s">
        <v>154</v>
      </c>
      <c r="B22" t="s">
        <v>123</v>
      </c>
      <c r="C22" t="s">
        <v>82</v>
      </c>
      <c r="D22" t="s">
        <v>84</v>
      </c>
      <c r="E22" t="s">
        <v>217</v>
      </c>
      <c r="F22" t="s">
        <v>218</v>
      </c>
      <c r="G22">
        <v>6</v>
      </c>
      <c r="H22" t="s">
        <v>40</v>
      </c>
      <c r="I22">
        <v>0.17</v>
      </c>
      <c r="J22">
        <v>1.02</v>
      </c>
    </row>
    <row r="23" spans="1:10" x14ac:dyDescent="0.2">
      <c r="A23" t="s">
        <v>154</v>
      </c>
      <c r="B23" t="s">
        <v>123</v>
      </c>
      <c r="C23" t="s">
        <v>82</v>
      </c>
      <c r="D23" t="s">
        <v>84</v>
      </c>
      <c r="E23" t="s">
        <v>219</v>
      </c>
      <c r="F23" t="s">
        <v>220</v>
      </c>
      <c r="G23">
        <v>1</v>
      </c>
      <c r="H23" t="s">
        <v>40</v>
      </c>
      <c r="I23">
        <v>51.49</v>
      </c>
      <c r="J23">
        <v>51.49</v>
      </c>
    </row>
    <row r="24" spans="1:10" x14ac:dyDescent="0.2">
      <c r="A24" t="s">
        <v>154</v>
      </c>
      <c r="B24" t="s">
        <v>123</v>
      </c>
      <c r="C24" t="s">
        <v>82</v>
      </c>
      <c r="D24" t="s">
        <v>84</v>
      </c>
      <c r="E24" t="s">
        <v>221</v>
      </c>
      <c r="F24" t="s">
        <v>222</v>
      </c>
      <c r="G24">
        <v>1</v>
      </c>
      <c r="H24" t="s">
        <v>40</v>
      </c>
      <c r="I24">
        <v>5.7</v>
      </c>
      <c r="J24">
        <v>5.7</v>
      </c>
    </row>
    <row r="25" spans="1:10" x14ac:dyDescent="0.2">
      <c r="A25" t="s">
        <v>154</v>
      </c>
      <c r="B25" t="s">
        <v>123</v>
      </c>
      <c r="C25" t="s">
        <v>82</v>
      </c>
      <c r="D25" t="s">
        <v>84</v>
      </c>
      <c r="E25" t="s">
        <v>223</v>
      </c>
      <c r="F25" t="s">
        <v>224</v>
      </c>
      <c r="G25">
        <v>1</v>
      </c>
      <c r="H25" t="s">
        <v>40</v>
      </c>
      <c r="I25">
        <v>21.27</v>
      </c>
      <c r="J25">
        <v>21.27</v>
      </c>
    </row>
    <row r="26" spans="1:10" x14ac:dyDescent="0.2">
      <c r="A26" t="s">
        <v>154</v>
      </c>
      <c r="B26" t="s">
        <v>123</v>
      </c>
      <c r="C26" t="s">
        <v>82</v>
      </c>
      <c r="D26" t="s">
        <v>84</v>
      </c>
      <c r="E26" t="s">
        <v>225</v>
      </c>
      <c r="F26" t="s">
        <v>226</v>
      </c>
      <c r="G26">
        <v>1</v>
      </c>
      <c r="H26" t="s">
        <v>40</v>
      </c>
      <c r="I26">
        <v>7.75</v>
      </c>
      <c r="J26">
        <v>7.75</v>
      </c>
    </row>
    <row r="27" spans="1:10" x14ac:dyDescent="0.2">
      <c r="A27" t="s">
        <v>154</v>
      </c>
      <c r="B27" t="s">
        <v>123</v>
      </c>
      <c r="C27" t="s">
        <v>82</v>
      </c>
      <c r="D27" t="s">
        <v>84</v>
      </c>
      <c r="E27" t="s">
        <v>227</v>
      </c>
      <c r="F27" t="s">
        <v>228</v>
      </c>
      <c r="G27">
        <v>1</v>
      </c>
      <c r="H27" t="s">
        <v>40</v>
      </c>
      <c r="I27">
        <v>2.41</v>
      </c>
      <c r="J27">
        <v>2.41</v>
      </c>
    </row>
    <row r="28" spans="1:10" x14ac:dyDescent="0.2">
      <c r="A28" t="s">
        <v>154</v>
      </c>
      <c r="B28" t="s">
        <v>123</v>
      </c>
      <c r="C28" t="s">
        <v>82</v>
      </c>
      <c r="D28" t="s">
        <v>84</v>
      </c>
      <c r="E28" t="s">
        <v>229</v>
      </c>
      <c r="F28" t="s">
        <v>230</v>
      </c>
      <c r="G28">
        <v>1</v>
      </c>
      <c r="H28" t="s">
        <v>40</v>
      </c>
      <c r="I28">
        <v>5.7</v>
      </c>
      <c r="J28">
        <v>5.7</v>
      </c>
    </row>
    <row r="29" spans="1:10" x14ac:dyDescent="0.2">
      <c r="A29" t="s">
        <v>154</v>
      </c>
      <c r="B29" t="s">
        <v>123</v>
      </c>
      <c r="C29" t="s">
        <v>82</v>
      </c>
      <c r="D29" t="s">
        <v>84</v>
      </c>
      <c r="E29" t="s">
        <v>231</v>
      </c>
      <c r="F29" t="s">
        <v>232</v>
      </c>
      <c r="G29">
        <v>1</v>
      </c>
      <c r="H29" t="s">
        <v>40</v>
      </c>
      <c r="I29">
        <v>74.91</v>
      </c>
      <c r="J29">
        <v>74.91</v>
      </c>
    </row>
    <row r="30" spans="1:10" x14ac:dyDescent="0.2">
      <c r="A30" t="s">
        <v>154</v>
      </c>
      <c r="B30" t="s">
        <v>123</v>
      </c>
      <c r="C30" t="s">
        <v>82</v>
      </c>
      <c r="D30" t="s">
        <v>84</v>
      </c>
      <c r="E30" t="s">
        <v>233</v>
      </c>
      <c r="F30" t="s">
        <v>234</v>
      </c>
      <c r="G30">
        <v>1</v>
      </c>
      <c r="H30" t="s">
        <v>40</v>
      </c>
      <c r="I30">
        <v>29.1</v>
      </c>
      <c r="J30">
        <v>29.1</v>
      </c>
    </row>
    <row r="31" spans="1:10" x14ac:dyDescent="0.2">
      <c r="A31" t="s">
        <v>154</v>
      </c>
      <c r="B31" t="s">
        <v>123</v>
      </c>
      <c r="C31" t="s">
        <v>82</v>
      </c>
      <c r="D31" t="s">
        <v>84</v>
      </c>
      <c r="E31" t="s">
        <v>235</v>
      </c>
      <c r="F31" t="s">
        <v>236</v>
      </c>
      <c r="G31">
        <v>1</v>
      </c>
      <c r="H31" t="s">
        <v>40</v>
      </c>
      <c r="I31">
        <v>21.27</v>
      </c>
      <c r="J31">
        <v>21.27</v>
      </c>
    </row>
    <row r="32" spans="1:10" x14ac:dyDescent="0.2">
      <c r="A32" t="s">
        <v>94</v>
      </c>
      <c r="B32" t="s">
        <v>88</v>
      </c>
      <c r="C32" t="s">
        <v>82</v>
      </c>
      <c r="D32" t="s">
        <v>84</v>
      </c>
      <c r="E32" t="s">
        <v>54</v>
      </c>
      <c r="F32" t="s">
        <v>190</v>
      </c>
      <c r="G32">
        <v>2</v>
      </c>
      <c r="H32" t="s">
        <v>40</v>
      </c>
      <c r="I32">
        <v>141.56</v>
      </c>
      <c r="J32">
        <v>283.12</v>
      </c>
    </row>
    <row r="33" spans="1:10" x14ac:dyDescent="0.2">
      <c r="A33" t="s">
        <v>90</v>
      </c>
      <c r="B33" t="s">
        <v>88</v>
      </c>
      <c r="C33" t="s">
        <v>82</v>
      </c>
      <c r="D33" t="s">
        <v>84</v>
      </c>
      <c r="E33" t="s">
        <v>237</v>
      </c>
      <c r="F33" t="s">
        <v>238</v>
      </c>
      <c r="G33">
        <v>1</v>
      </c>
      <c r="H33" t="s">
        <v>40</v>
      </c>
      <c r="I33">
        <v>21.27</v>
      </c>
      <c r="J33">
        <v>21.27</v>
      </c>
    </row>
    <row r="34" spans="1:10" x14ac:dyDescent="0.2">
      <c r="A34" t="s">
        <v>90</v>
      </c>
      <c r="B34" t="s">
        <v>88</v>
      </c>
      <c r="C34" t="s">
        <v>82</v>
      </c>
      <c r="D34" t="s">
        <v>84</v>
      </c>
      <c r="E34" t="s">
        <v>239</v>
      </c>
      <c r="F34" t="s">
        <v>240</v>
      </c>
      <c r="G34">
        <v>1</v>
      </c>
      <c r="H34" t="s">
        <v>40</v>
      </c>
      <c r="I34">
        <v>4.95</v>
      </c>
      <c r="J34">
        <v>4.95</v>
      </c>
    </row>
    <row r="35" spans="1:10" x14ac:dyDescent="0.2">
      <c r="A35" t="s">
        <v>90</v>
      </c>
      <c r="B35" t="s">
        <v>88</v>
      </c>
      <c r="C35" t="s">
        <v>82</v>
      </c>
      <c r="D35" t="s">
        <v>84</v>
      </c>
      <c r="E35" t="s">
        <v>241</v>
      </c>
      <c r="F35" t="s">
        <v>242</v>
      </c>
      <c r="G35">
        <v>1</v>
      </c>
      <c r="H35" t="s">
        <v>40</v>
      </c>
      <c r="I35">
        <v>4</v>
      </c>
      <c r="J35">
        <v>4</v>
      </c>
    </row>
    <row r="36" spans="1:10" x14ac:dyDescent="0.2">
      <c r="A36" t="s">
        <v>90</v>
      </c>
      <c r="B36" t="s">
        <v>88</v>
      </c>
      <c r="C36" t="s">
        <v>82</v>
      </c>
      <c r="D36" t="s">
        <v>84</v>
      </c>
      <c r="E36" t="s">
        <v>235</v>
      </c>
      <c r="F36" t="s">
        <v>243</v>
      </c>
      <c r="G36">
        <v>2</v>
      </c>
      <c r="H36" t="s">
        <v>40</v>
      </c>
      <c r="I36">
        <v>21.27</v>
      </c>
      <c r="J36">
        <v>42.54</v>
      </c>
    </row>
    <row r="37" spans="1:10" x14ac:dyDescent="0.2">
      <c r="A37" t="s">
        <v>90</v>
      </c>
      <c r="B37" t="s">
        <v>88</v>
      </c>
      <c r="C37" t="s">
        <v>82</v>
      </c>
      <c r="D37" t="s">
        <v>84</v>
      </c>
      <c r="E37" t="s">
        <v>199</v>
      </c>
      <c r="F37" t="s">
        <v>200</v>
      </c>
      <c r="G37">
        <v>1</v>
      </c>
      <c r="H37" t="s">
        <v>40</v>
      </c>
      <c r="I37">
        <v>2</v>
      </c>
      <c r="J37">
        <v>2</v>
      </c>
    </row>
    <row r="38" spans="1:10" x14ac:dyDescent="0.2">
      <c r="A38" t="s">
        <v>90</v>
      </c>
      <c r="B38" t="s">
        <v>88</v>
      </c>
      <c r="C38" t="s">
        <v>82</v>
      </c>
      <c r="D38" t="s">
        <v>84</v>
      </c>
      <c r="E38" t="s">
        <v>223</v>
      </c>
      <c r="F38" t="s">
        <v>244</v>
      </c>
      <c r="G38">
        <v>1</v>
      </c>
      <c r="H38" t="s">
        <v>40</v>
      </c>
      <c r="I38">
        <v>21.27</v>
      </c>
      <c r="J38">
        <v>21.27</v>
      </c>
    </row>
    <row r="39" spans="1:10" x14ac:dyDescent="0.2">
      <c r="A39" t="s">
        <v>90</v>
      </c>
      <c r="B39" t="s">
        <v>88</v>
      </c>
      <c r="C39" t="s">
        <v>82</v>
      </c>
      <c r="D39" t="s">
        <v>84</v>
      </c>
      <c r="E39" t="s">
        <v>245</v>
      </c>
      <c r="F39" t="s">
        <v>246</v>
      </c>
      <c r="G39">
        <v>1</v>
      </c>
      <c r="H39" t="s">
        <v>40</v>
      </c>
      <c r="I39">
        <v>21.27</v>
      </c>
      <c r="J39">
        <v>21.27</v>
      </c>
    </row>
    <row r="40" spans="1:10" x14ac:dyDescent="0.2">
      <c r="A40" t="s">
        <v>108</v>
      </c>
      <c r="B40" t="s">
        <v>101</v>
      </c>
      <c r="C40" t="s">
        <v>82</v>
      </c>
      <c r="D40" t="s">
        <v>84</v>
      </c>
      <c r="E40" t="s">
        <v>247</v>
      </c>
      <c r="F40" t="s">
        <v>248</v>
      </c>
      <c r="G40">
        <v>1</v>
      </c>
      <c r="H40" t="s">
        <v>40</v>
      </c>
      <c r="I40">
        <v>0.22</v>
      </c>
      <c r="J40">
        <v>0.22</v>
      </c>
    </row>
    <row r="41" spans="1:10" x14ac:dyDescent="0.2">
      <c r="A41" t="s">
        <v>96</v>
      </c>
      <c r="B41" t="s">
        <v>88</v>
      </c>
      <c r="C41" t="s">
        <v>82</v>
      </c>
      <c r="D41" t="s">
        <v>84</v>
      </c>
      <c r="E41" t="s">
        <v>54</v>
      </c>
      <c r="F41" t="s">
        <v>190</v>
      </c>
      <c r="G41">
        <v>2</v>
      </c>
      <c r="H41" t="s">
        <v>40</v>
      </c>
      <c r="I41">
        <v>141.56</v>
      </c>
      <c r="J41">
        <v>283.12</v>
      </c>
    </row>
    <row r="42" spans="1:10" x14ac:dyDescent="0.2">
      <c r="A42" t="s">
        <v>96</v>
      </c>
      <c r="B42" t="s">
        <v>88</v>
      </c>
      <c r="C42" t="s">
        <v>82</v>
      </c>
      <c r="D42" t="s">
        <v>84</v>
      </c>
      <c r="E42" t="s">
        <v>223</v>
      </c>
      <c r="F42" t="s">
        <v>244</v>
      </c>
      <c r="G42">
        <v>1</v>
      </c>
      <c r="H42" t="s">
        <v>40</v>
      </c>
      <c r="I42">
        <v>21.27</v>
      </c>
      <c r="J42">
        <v>21.27</v>
      </c>
    </row>
    <row r="43" spans="1:10" x14ac:dyDescent="0.2">
      <c r="A43" t="s">
        <v>96</v>
      </c>
      <c r="B43" t="s">
        <v>88</v>
      </c>
      <c r="C43" t="s">
        <v>82</v>
      </c>
      <c r="D43" t="s">
        <v>84</v>
      </c>
      <c r="E43" t="s">
        <v>245</v>
      </c>
      <c r="F43" t="s">
        <v>246</v>
      </c>
      <c r="G43">
        <v>1</v>
      </c>
      <c r="H43" t="s">
        <v>40</v>
      </c>
      <c r="I43">
        <v>21.27</v>
      </c>
      <c r="J43">
        <v>21.27</v>
      </c>
    </row>
    <row r="44" spans="1:10" x14ac:dyDescent="0.2">
      <c r="A44" t="s">
        <v>96</v>
      </c>
      <c r="B44" t="s">
        <v>88</v>
      </c>
      <c r="C44" t="s">
        <v>82</v>
      </c>
      <c r="D44" t="s">
        <v>84</v>
      </c>
      <c r="E44" t="s">
        <v>241</v>
      </c>
      <c r="F44" t="s">
        <v>242</v>
      </c>
      <c r="G44">
        <v>2</v>
      </c>
      <c r="H44" t="s">
        <v>40</v>
      </c>
      <c r="I44">
        <v>4</v>
      </c>
      <c r="J44">
        <v>8</v>
      </c>
    </row>
    <row r="45" spans="1:10" x14ac:dyDescent="0.2">
      <c r="A45" t="s">
        <v>96</v>
      </c>
      <c r="B45" t="s">
        <v>88</v>
      </c>
      <c r="C45" t="s">
        <v>82</v>
      </c>
      <c r="D45" t="s">
        <v>84</v>
      </c>
      <c r="E45" t="s">
        <v>249</v>
      </c>
      <c r="F45" t="s">
        <v>250</v>
      </c>
      <c r="G45">
        <v>1</v>
      </c>
      <c r="H45" t="s">
        <v>40</v>
      </c>
      <c r="I45">
        <v>85</v>
      </c>
      <c r="J45">
        <v>85</v>
      </c>
    </row>
    <row r="46" spans="1:10" x14ac:dyDescent="0.2">
      <c r="A46" t="s">
        <v>96</v>
      </c>
      <c r="B46" t="s">
        <v>88</v>
      </c>
      <c r="C46" t="s">
        <v>82</v>
      </c>
      <c r="D46" t="s">
        <v>84</v>
      </c>
      <c r="E46" t="s">
        <v>235</v>
      </c>
      <c r="F46" t="s">
        <v>243</v>
      </c>
      <c r="G46">
        <v>2</v>
      </c>
      <c r="H46" t="s">
        <v>40</v>
      </c>
      <c r="I46">
        <v>21.27</v>
      </c>
      <c r="J46">
        <v>42.54</v>
      </c>
    </row>
    <row r="47" spans="1:10" x14ac:dyDescent="0.2">
      <c r="A47" t="s">
        <v>96</v>
      </c>
      <c r="B47" t="s">
        <v>88</v>
      </c>
      <c r="C47" t="s">
        <v>82</v>
      </c>
      <c r="D47" t="s">
        <v>84</v>
      </c>
      <c r="E47" t="s">
        <v>251</v>
      </c>
      <c r="F47" t="s">
        <v>238</v>
      </c>
      <c r="G47">
        <v>1</v>
      </c>
      <c r="H47" t="s">
        <v>40</v>
      </c>
      <c r="I47">
        <v>21.27</v>
      </c>
      <c r="J47">
        <v>21.27</v>
      </c>
    </row>
    <row r="48" spans="1:10" x14ac:dyDescent="0.2">
      <c r="A48" t="s">
        <v>96</v>
      </c>
      <c r="B48" t="s">
        <v>88</v>
      </c>
      <c r="C48" t="s">
        <v>82</v>
      </c>
      <c r="D48" t="s">
        <v>84</v>
      </c>
      <c r="E48" t="s">
        <v>252</v>
      </c>
      <c r="F48" t="s">
        <v>253</v>
      </c>
      <c r="G48">
        <v>1</v>
      </c>
      <c r="H48" t="s">
        <v>40</v>
      </c>
      <c r="I48">
        <v>122</v>
      </c>
      <c r="J48">
        <v>122</v>
      </c>
    </row>
    <row r="49" spans="1:10" x14ac:dyDescent="0.2">
      <c r="A49" t="s">
        <v>96</v>
      </c>
      <c r="B49" t="s">
        <v>88</v>
      </c>
      <c r="C49" t="s">
        <v>82</v>
      </c>
      <c r="D49" t="s">
        <v>84</v>
      </c>
      <c r="E49" t="s">
        <v>254</v>
      </c>
      <c r="F49" t="s">
        <v>255</v>
      </c>
      <c r="G49">
        <v>1</v>
      </c>
      <c r="H49" t="s">
        <v>40</v>
      </c>
      <c r="I49">
        <v>24</v>
      </c>
      <c r="J49">
        <v>24</v>
      </c>
    </row>
    <row r="50" spans="1:10" x14ac:dyDescent="0.2">
      <c r="A50" t="s">
        <v>96</v>
      </c>
      <c r="B50" t="s">
        <v>88</v>
      </c>
      <c r="C50" t="s">
        <v>82</v>
      </c>
      <c r="D50" t="s">
        <v>84</v>
      </c>
      <c r="E50" t="s">
        <v>256</v>
      </c>
      <c r="F50" t="s">
        <v>257</v>
      </c>
      <c r="G50">
        <v>1</v>
      </c>
      <c r="H50" t="s">
        <v>40</v>
      </c>
      <c r="I50">
        <v>6</v>
      </c>
      <c r="J50">
        <v>6</v>
      </c>
    </row>
    <row r="51" spans="1:10" x14ac:dyDescent="0.2">
      <c r="A51" t="s">
        <v>96</v>
      </c>
      <c r="B51" t="s">
        <v>88</v>
      </c>
      <c r="C51" t="s">
        <v>82</v>
      </c>
      <c r="D51" t="s">
        <v>84</v>
      </c>
      <c r="E51" t="s">
        <v>199</v>
      </c>
      <c r="F51" t="s">
        <v>200</v>
      </c>
      <c r="G51">
        <v>2</v>
      </c>
      <c r="H51" t="s">
        <v>40</v>
      </c>
      <c r="I51">
        <v>2</v>
      </c>
      <c r="J51">
        <v>4</v>
      </c>
    </row>
    <row r="52" spans="1:10" x14ac:dyDescent="0.2">
      <c r="A52" t="s">
        <v>102</v>
      </c>
      <c r="B52" t="s">
        <v>101</v>
      </c>
      <c r="C52" t="s">
        <v>82</v>
      </c>
      <c r="D52" t="s">
        <v>84</v>
      </c>
      <c r="E52" t="s">
        <v>258</v>
      </c>
      <c r="F52" t="s">
        <v>259</v>
      </c>
      <c r="G52">
        <v>1</v>
      </c>
      <c r="H52" t="s">
        <v>40</v>
      </c>
      <c r="I52">
        <v>0.4</v>
      </c>
      <c r="J52">
        <v>0.4</v>
      </c>
    </row>
    <row r="53" spans="1:10" x14ac:dyDescent="0.2">
      <c r="A53" t="s">
        <v>99</v>
      </c>
      <c r="B53" t="s">
        <v>98</v>
      </c>
      <c r="C53" t="s">
        <v>82</v>
      </c>
      <c r="D53" t="s">
        <v>84</v>
      </c>
      <c r="E53" t="s">
        <v>54</v>
      </c>
      <c r="F53" t="s">
        <v>190</v>
      </c>
      <c r="G53">
        <v>1</v>
      </c>
      <c r="H53" t="s">
        <v>40</v>
      </c>
      <c r="I53">
        <v>141.56</v>
      </c>
      <c r="J53">
        <v>141.56</v>
      </c>
    </row>
    <row r="54" spans="1:10" x14ac:dyDescent="0.2">
      <c r="A54" t="s">
        <v>106</v>
      </c>
      <c r="B54" t="s">
        <v>101</v>
      </c>
      <c r="C54" t="s">
        <v>82</v>
      </c>
      <c r="D54" t="s">
        <v>84</v>
      </c>
      <c r="E54" t="s">
        <v>260</v>
      </c>
      <c r="F54" t="s">
        <v>261</v>
      </c>
      <c r="G54">
        <v>1</v>
      </c>
      <c r="H54" t="s">
        <v>40</v>
      </c>
      <c r="I54">
        <v>0.4</v>
      </c>
      <c r="J54">
        <v>0.4</v>
      </c>
    </row>
    <row r="55" spans="1:10" x14ac:dyDescent="0.2">
      <c r="A55" t="s">
        <v>104</v>
      </c>
      <c r="B55" t="s">
        <v>101</v>
      </c>
      <c r="C55" t="s">
        <v>82</v>
      </c>
      <c r="D55" t="s">
        <v>84</v>
      </c>
      <c r="E55" t="s">
        <v>262</v>
      </c>
      <c r="F55" t="s">
        <v>263</v>
      </c>
      <c r="G55">
        <v>1</v>
      </c>
      <c r="H55" t="s">
        <v>40</v>
      </c>
      <c r="I55">
        <v>0.22</v>
      </c>
      <c r="J55">
        <v>0.22</v>
      </c>
    </row>
    <row r="56" spans="1:10" x14ac:dyDescent="0.2">
      <c r="A56" t="s">
        <v>114</v>
      </c>
      <c r="B56" t="s">
        <v>98</v>
      </c>
      <c r="C56" t="s">
        <v>82</v>
      </c>
      <c r="D56" t="s">
        <v>84</v>
      </c>
      <c r="E56" t="s">
        <v>264</v>
      </c>
      <c r="F56" t="s">
        <v>265</v>
      </c>
      <c r="G56">
        <v>1</v>
      </c>
      <c r="H56" t="s">
        <v>40</v>
      </c>
      <c r="I56">
        <v>97.47</v>
      </c>
      <c r="J56">
        <v>97.47</v>
      </c>
    </row>
    <row r="57" spans="1:10" x14ac:dyDescent="0.2">
      <c r="A57" t="s">
        <v>112</v>
      </c>
      <c r="B57" t="s">
        <v>101</v>
      </c>
      <c r="C57" t="s">
        <v>82</v>
      </c>
      <c r="D57" t="s">
        <v>84</v>
      </c>
      <c r="E57" t="s">
        <v>266</v>
      </c>
      <c r="F57" t="s">
        <v>267</v>
      </c>
      <c r="G57">
        <v>1</v>
      </c>
      <c r="H57" t="s">
        <v>40</v>
      </c>
      <c r="I57">
        <v>2</v>
      </c>
      <c r="J57">
        <v>2</v>
      </c>
    </row>
    <row r="58" spans="1:10" x14ac:dyDescent="0.2">
      <c r="A58" t="s">
        <v>110</v>
      </c>
      <c r="B58" t="s">
        <v>101</v>
      </c>
      <c r="C58" t="s">
        <v>82</v>
      </c>
      <c r="D58" t="s">
        <v>84</v>
      </c>
      <c r="E58" t="s">
        <v>266</v>
      </c>
      <c r="F58" t="s">
        <v>267</v>
      </c>
      <c r="G58">
        <v>1</v>
      </c>
      <c r="H58" t="s">
        <v>40</v>
      </c>
      <c r="I58">
        <v>2</v>
      </c>
      <c r="J58">
        <v>2</v>
      </c>
    </row>
    <row r="59" spans="1:10" x14ac:dyDescent="0.2">
      <c r="A59" t="s">
        <v>116</v>
      </c>
      <c r="B59" t="s">
        <v>98</v>
      </c>
      <c r="C59" t="s">
        <v>82</v>
      </c>
      <c r="D59" t="s">
        <v>84</v>
      </c>
      <c r="E59" t="s">
        <v>268</v>
      </c>
      <c r="F59" t="s">
        <v>269</v>
      </c>
      <c r="G59">
        <v>1</v>
      </c>
      <c r="H59" t="s">
        <v>40</v>
      </c>
      <c r="I59">
        <v>378.69</v>
      </c>
      <c r="J59">
        <v>378.69</v>
      </c>
    </row>
    <row r="60" spans="1:10" x14ac:dyDescent="0.2">
      <c r="A60" t="s">
        <v>118</v>
      </c>
      <c r="B60" t="s">
        <v>98</v>
      </c>
      <c r="C60" t="s">
        <v>82</v>
      </c>
      <c r="D60" t="s">
        <v>84</v>
      </c>
      <c r="E60" t="s">
        <v>270</v>
      </c>
      <c r="F60" t="s">
        <v>271</v>
      </c>
      <c r="G60">
        <v>2</v>
      </c>
      <c r="H60" t="s">
        <v>40</v>
      </c>
      <c r="I60">
        <v>22.22</v>
      </c>
      <c r="J60">
        <v>44.44</v>
      </c>
    </row>
    <row r="61" spans="1:10" x14ac:dyDescent="0.2">
      <c r="A61" t="s">
        <v>118</v>
      </c>
      <c r="B61" t="s">
        <v>98</v>
      </c>
      <c r="C61" t="s">
        <v>82</v>
      </c>
      <c r="D61" t="s">
        <v>84</v>
      </c>
      <c r="E61" t="s">
        <v>272</v>
      </c>
      <c r="F61" t="s">
        <v>273</v>
      </c>
      <c r="G61">
        <v>1</v>
      </c>
      <c r="H61" t="s">
        <v>40</v>
      </c>
      <c r="I61">
        <v>0.43</v>
      </c>
      <c r="J61">
        <v>0.43</v>
      </c>
    </row>
    <row r="62" spans="1:10" x14ac:dyDescent="0.2">
      <c r="A62" t="s">
        <v>118</v>
      </c>
      <c r="B62" t="s">
        <v>98</v>
      </c>
      <c r="C62" t="s">
        <v>82</v>
      </c>
      <c r="D62" t="s">
        <v>84</v>
      </c>
      <c r="E62" t="s">
        <v>274</v>
      </c>
      <c r="F62" t="s">
        <v>275</v>
      </c>
      <c r="G62">
        <v>1</v>
      </c>
      <c r="H62" t="s">
        <v>40</v>
      </c>
      <c r="I62">
        <v>15.33</v>
      </c>
      <c r="J62">
        <v>15.33</v>
      </c>
    </row>
    <row r="63" spans="1:10" x14ac:dyDescent="0.2">
      <c r="A63" t="s">
        <v>118</v>
      </c>
      <c r="B63" t="s">
        <v>98</v>
      </c>
      <c r="C63" t="s">
        <v>82</v>
      </c>
      <c r="D63" t="s">
        <v>84</v>
      </c>
      <c r="E63" t="s">
        <v>276</v>
      </c>
      <c r="F63" t="s">
        <v>277</v>
      </c>
      <c r="G63">
        <v>2</v>
      </c>
      <c r="H63" t="s">
        <v>40</v>
      </c>
      <c r="I63">
        <v>1.38</v>
      </c>
      <c r="J63">
        <v>2.76</v>
      </c>
    </row>
    <row r="64" spans="1:10" x14ac:dyDescent="0.2">
      <c r="A64" t="s">
        <v>118</v>
      </c>
      <c r="B64" t="s">
        <v>98</v>
      </c>
      <c r="C64" t="s">
        <v>82</v>
      </c>
      <c r="D64" t="s">
        <v>84</v>
      </c>
      <c r="E64" t="s">
        <v>278</v>
      </c>
      <c r="F64" t="s">
        <v>279</v>
      </c>
      <c r="G64">
        <v>2</v>
      </c>
      <c r="H64" t="s">
        <v>40</v>
      </c>
      <c r="I64">
        <v>0.52</v>
      </c>
      <c r="J64">
        <v>1.04</v>
      </c>
    </row>
    <row r="65" spans="1:10" x14ac:dyDescent="0.2">
      <c r="A65" t="s">
        <v>118</v>
      </c>
      <c r="B65" t="s">
        <v>98</v>
      </c>
      <c r="C65" t="s">
        <v>82</v>
      </c>
      <c r="D65" t="s">
        <v>84</v>
      </c>
      <c r="E65" t="s">
        <v>280</v>
      </c>
      <c r="F65" t="s">
        <v>281</v>
      </c>
      <c r="G65">
        <v>1</v>
      </c>
      <c r="H65" t="s">
        <v>40</v>
      </c>
      <c r="I65">
        <v>15.33</v>
      </c>
      <c r="J65">
        <v>15.33</v>
      </c>
    </row>
    <row r="66" spans="1:10" x14ac:dyDescent="0.2">
      <c r="A66" t="s">
        <v>118</v>
      </c>
      <c r="B66" t="s">
        <v>98</v>
      </c>
      <c r="C66" t="s">
        <v>82</v>
      </c>
      <c r="D66" t="s">
        <v>84</v>
      </c>
      <c r="E66" t="s">
        <v>282</v>
      </c>
      <c r="F66" t="s">
        <v>283</v>
      </c>
      <c r="G66">
        <v>1</v>
      </c>
      <c r="H66" t="s">
        <v>40</v>
      </c>
      <c r="I66">
        <v>32.89</v>
      </c>
      <c r="J66">
        <v>32.89</v>
      </c>
    </row>
    <row r="67" spans="1:10" x14ac:dyDescent="0.2">
      <c r="A67" t="s">
        <v>118</v>
      </c>
      <c r="B67" t="s">
        <v>98</v>
      </c>
      <c r="C67" t="s">
        <v>82</v>
      </c>
      <c r="D67" t="s">
        <v>84</v>
      </c>
      <c r="E67" t="s">
        <v>211</v>
      </c>
      <c r="F67" t="s">
        <v>212</v>
      </c>
      <c r="G67">
        <v>1</v>
      </c>
      <c r="H67" t="s">
        <v>40</v>
      </c>
      <c r="I67">
        <v>128.63999999999999</v>
      </c>
      <c r="J67">
        <v>128.63999999999999</v>
      </c>
    </row>
    <row r="68" spans="1:10" x14ac:dyDescent="0.2">
      <c r="A68" t="s">
        <v>118</v>
      </c>
      <c r="B68" t="s">
        <v>98</v>
      </c>
      <c r="C68" t="s">
        <v>82</v>
      </c>
      <c r="D68" t="s">
        <v>84</v>
      </c>
      <c r="E68" t="s">
        <v>184</v>
      </c>
      <c r="F68" t="s">
        <v>185</v>
      </c>
      <c r="G68">
        <v>1</v>
      </c>
      <c r="H68" t="s">
        <v>40</v>
      </c>
      <c r="I68">
        <v>141.56</v>
      </c>
      <c r="J68">
        <v>141.56</v>
      </c>
    </row>
    <row r="69" spans="1:10" x14ac:dyDescent="0.2">
      <c r="A69" t="s">
        <v>118</v>
      </c>
      <c r="B69" t="s">
        <v>98</v>
      </c>
      <c r="C69" t="s">
        <v>82</v>
      </c>
      <c r="D69" t="s">
        <v>84</v>
      </c>
      <c r="E69" t="s">
        <v>284</v>
      </c>
      <c r="F69" t="s">
        <v>285</v>
      </c>
      <c r="G69">
        <v>1</v>
      </c>
      <c r="H69" t="s">
        <v>40</v>
      </c>
      <c r="I69">
        <v>6.03</v>
      </c>
      <c r="J69">
        <v>6.03</v>
      </c>
    </row>
    <row r="70" spans="1:10" x14ac:dyDescent="0.2">
      <c r="A70" t="s">
        <v>118</v>
      </c>
      <c r="B70" t="s">
        <v>98</v>
      </c>
      <c r="C70" t="s">
        <v>82</v>
      </c>
      <c r="D70" t="s">
        <v>84</v>
      </c>
      <c r="E70" t="s">
        <v>286</v>
      </c>
      <c r="F70" t="s">
        <v>287</v>
      </c>
      <c r="G70">
        <v>1</v>
      </c>
      <c r="H70" t="s">
        <v>40</v>
      </c>
      <c r="I70">
        <v>15.33</v>
      </c>
      <c r="J70">
        <v>15.33</v>
      </c>
    </row>
    <row r="71" spans="1:10" x14ac:dyDescent="0.2">
      <c r="A71" t="s">
        <v>121</v>
      </c>
      <c r="B71" t="s">
        <v>120</v>
      </c>
      <c r="C71" t="s">
        <v>82</v>
      </c>
      <c r="D71" t="s">
        <v>84</v>
      </c>
      <c r="E71" t="s">
        <v>54</v>
      </c>
      <c r="F71" t="s">
        <v>190</v>
      </c>
      <c r="G71">
        <v>1</v>
      </c>
      <c r="H71" t="s">
        <v>40</v>
      </c>
      <c r="I71">
        <v>141.56</v>
      </c>
      <c r="J71">
        <v>141.56</v>
      </c>
    </row>
    <row r="72" spans="1:10" x14ac:dyDescent="0.2">
      <c r="A72" t="s">
        <v>132</v>
      </c>
      <c r="B72" t="s">
        <v>123</v>
      </c>
      <c r="C72" t="s">
        <v>82</v>
      </c>
      <c r="D72" t="s">
        <v>84</v>
      </c>
      <c r="E72" t="s">
        <v>288</v>
      </c>
      <c r="F72" t="s">
        <v>289</v>
      </c>
      <c r="G72">
        <v>1</v>
      </c>
      <c r="H72" t="s">
        <v>40</v>
      </c>
      <c r="I72">
        <v>741.15</v>
      </c>
      <c r="J72">
        <v>741.15</v>
      </c>
    </row>
    <row r="73" spans="1:10" x14ac:dyDescent="0.2">
      <c r="A73" t="s">
        <v>126</v>
      </c>
      <c r="B73" t="s">
        <v>82</v>
      </c>
      <c r="C73" t="s">
        <v>82</v>
      </c>
      <c r="D73" t="s">
        <v>84</v>
      </c>
      <c r="E73" t="s">
        <v>268</v>
      </c>
      <c r="F73" t="s">
        <v>269</v>
      </c>
      <c r="G73">
        <v>1</v>
      </c>
      <c r="H73" t="s">
        <v>40</v>
      </c>
      <c r="I73">
        <v>378.69</v>
      </c>
      <c r="J73">
        <v>378.69</v>
      </c>
    </row>
    <row r="74" spans="1:10" x14ac:dyDescent="0.2">
      <c r="A74" t="s">
        <v>124</v>
      </c>
      <c r="B74" t="s">
        <v>123</v>
      </c>
      <c r="C74" t="s">
        <v>82</v>
      </c>
      <c r="D74" t="s">
        <v>84</v>
      </c>
      <c r="E74" t="s">
        <v>182</v>
      </c>
      <c r="F74" t="s">
        <v>183</v>
      </c>
      <c r="G74">
        <v>1</v>
      </c>
      <c r="H74" t="s">
        <v>40</v>
      </c>
      <c r="I74">
        <v>570</v>
      </c>
      <c r="J74">
        <v>570</v>
      </c>
    </row>
    <row r="75" spans="1:10" x14ac:dyDescent="0.2">
      <c r="A75" t="s">
        <v>128</v>
      </c>
      <c r="B75" t="s">
        <v>123</v>
      </c>
      <c r="C75" t="s">
        <v>82</v>
      </c>
      <c r="D75" t="s">
        <v>84</v>
      </c>
      <c r="E75" t="s">
        <v>290</v>
      </c>
      <c r="F75" t="s">
        <v>291</v>
      </c>
      <c r="G75">
        <v>1</v>
      </c>
      <c r="H75" t="s">
        <v>40</v>
      </c>
      <c r="I75">
        <v>120.38</v>
      </c>
      <c r="J75">
        <v>120.38</v>
      </c>
    </row>
    <row r="76" spans="1:10" x14ac:dyDescent="0.2">
      <c r="A76" t="s">
        <v>128</v>
      </c>
      <c r="B76" t="s">
        <v>123</v>
      </c>
      <c r="C76" t="s">
        <v>82</v>
      </c>
      <c r="D76" t="s">
        <v>84</v>
      </c>
      <c r="E76" t="s">
        <v>292</v>
      </c>
      <c r="F76" t="s">
        <v>293</v>
      </c>
      <c r="G76">
        <v>1</v>
      </c>
      <c r="H76" t="s">
        <v>40</v>
      </c>
      <c r="I76">
        <v>2.41</v>
      </c>
      <c r="J76">
        <v>2.41</v>
      </c>
    </row>
    <row r="77" spans="1:10" x14ac:dyDescent="0.2">
      <c r="A77" t="s">
        <v>128</v>
      </c>
      <c r="B77" t="s">
        <v>123</v>
      </c>
      <c r="C77" t="s">
        <v>82</v>
      </c>
      <c r="D77" t="s">
        <v>84</v>
      </c>
      <c r="E77" t="s">
        <v>294</v>
      </c>
      <c r="F77" t="s">
        <v>295</v>
      </c>
      <c r="G77">
        <v>2</v>
      </c>
      <c r="H77" t="s">
        <v>40</v>
      </c>
      <c r="I77">
        <v>0.22</v>
      </c>
      <c r="J77">
        <v>0.44</v>
      </c>
    </row>
    <row r="78" spans="1:10" x14ac:dyDescent="0.2">
      <c r="A78" t="s">
        <v>128</v>
      </c>
      <c r="B78" t="s">
        <v>123</v>
      </c>
      <c r="C78" t="s">
        <v>82</v>
      </c>
      <c r="D78" t="s">
        <v>84</v>
      </c>
      <c r="E78" t="s">
        <v>296</v>
      </c>
      <c r="F78" t="s">
        <v>297</v>
      </c>
      <c r="G78">
        <v>2</v>
      </c>
      <c r="H78" t="s">
        <v>40</v>
      </c>
      <c r="I78">
        <v>2.41</v>
      </c>
      <c r="J78">
        <v>4.82</v>
      </c>
    </row>
    <row r="79" spans="1:10" x14ac:dyDescent="0.2">
      <c r="A79" t="s">
        <v>128</v>
      </c>
      <c r="B79" t="s">
        <v>123</v>
      </c>
      <c r="C79" t="s">
        <v>82</v>
      </c>
      <c r="D79" t="s">
        <v>84</v>
      </c>
      <c r="E79" t="s">
        <v>298</v>
      </c>
      <c r="F79" t="s">
        <v>299</v>
      </c>
      <c r="G79">
        <v>1</v>
      </c>
      <c r="H79" t="s">
        <v>40</v>
      </c>
      <c r="I79">
        <v>1.03</v>
      </c>
      <c r="J79">
        <v>1.03</v>
      </c>
    </row>
    <row r="80" spans="1:10" x14ac:dyDescent="0.2">
      <c r="A80" t="s">
        <v>128</v>
      </c>
      <c r="B80" t="s">
        <v>123</v>
      </c>
      <c r="C80" t="s">
        <v>82</v>
      </c>
      <c r="D80" t="s">
        <v>84</v>
      </c>
      <c r="E80" t="s">
        <v>300</v>
      </c>
      <c r="F80" t="s">
        <v>301</v>
      </c>
      <c r="G80">
        <v>2</v>
      </c>
      <c r="H80" t="s">
        <v>40</v>
      </c>
      <c r="I80">
        <v>3.62</v>
      </c>
      <c r="J80">
        <v>7.24</v>
      </c>
    </row>
    <row r="81" spans="1:10" x14ac:dyDescent="0.2">
      <c r="A81" t="s">
        <v>128</v>
      </c>
      <c r="B81" t="s">
        <v>123</v>
      </c>
      <c r="C81" t="s">
        <v>82</v>
      </c>
      <c r="D81" t="s">
        <v>84</v>
      </c>
      <c r="E81" t="s">
        <v>302</v>
      </c>
      <c r="F81" t="s">
        <v>303</v>
      </c>
      <c r="G81">
        <v>1</v>
      </c>
      <c r="H81" t="s">
        <v>40</v>
      </c>
      <c r="I81">
        <v>74.91</v>
      </c>
      <c r="J81">
        <v>74.91</v>
      </c>
    </row>
    <row r="82" spans="1:10" x14ac:dyDescent="0.2">
      <c r="A82" t="s">
        <v>128</v>
      </c>
      <c r="B82" t="s">
        <v>123</v>
      </c>
      <c r="C82" t="s">
        <v>82</v>
      </c>
      <c r="D82" t="s">
        <v>84</v>
      </c>
      <c r="E82" t="s">
        <v>304</v>
      </c>
      <c r="F82" t="s">
        <v>305</v>
      </c>
      <c r="G82">
        <v>1</v>
      </c>
      <c r="H82" t="s">
        <v>40</v>
      </c>
      <c r="I82">
        <v>0.17</v>
      </c>
      <c r="J82">
        <v>0.17</v>
      </c>
    </row>
    <row r="83" spans="1:10" x14ac:dyDescent="0.2">
      <c r="A83" t="s">
        <v>128</v>
      </c>
      <c r="B83" t="s">
        <v>123</v>
      </c>
      <c r="C83" t="s">
        <v>82</v>
      </c>
      <c r="D83" t="s">
        <v>84</v>
      </c>
      <c r="E83" t="s">
        <v>306</v>
      </c>
      <c r="F83" t="s">
        <v>228</v>
      </c>
      <c r="G83">
        <v>1</v>
      </c>
      <c r="H83" t="s">
        <v>40</v>
      </c>
      <c r="I83">
        <v>2.41</v>
      </c>
      <c r="J83">
        <v>2.41</v>
      </c>
    </row>
    <row r="84" spans="1:10" x14ac:dyDescent="0.2">
      <c r="A84" t="s">
        <v>128</v>
      </c>
      <c r="B84" t="s">
        <v>123</v>
      </c>
      <c r="C84" t="s">
        <v>82</v>
      </c>
      <c r="D84" t="s">
        <v>84</v>
      </c>
      <c r="E84" t="s">
        <v>307</v>
      </c>
      <c r="F84" t="s">
        <v>308</v>
      </c>
      <c r="G84">
        <v>5</v>
      </c>
      <c r="H84" t="s">
        <v>40</v>
      </c>
      <c r="I84">
        <v>0.22</v>
      </c>
      <c r="J84">
        <v>1.1000000000000001</v>
      </c>
    </row>
    <row r="85" spans="1:10" x14ac:dyDescent="0.2">
      <c r="A85" t="s">
        <v>128</v>
      </c>
      <c r="B85" t="s">
        <v>123</v>
      </c>
      <c r="C85" t="s">
        <v>82</v>
      </c>
      <c r="D85" t="s">
        <v>84</v>
      </c>
      <c r="E85" t="s">
        <v>184</v>
      </c>
      <c r="F85" t="s">
        <v>185</v>
      </c>
      <c r="G85">
        <v>3</v>
      </c>
      <c r="H85" t="s">
        <v>40</v>
      </c>
      <c r="I85">
        <v>141.56</v>
      </c>
      <c r="J85">
        <v>424.68</v>
      </c>
    </row>
    <row r="86" spans="1:10" x14ac:dyDescent="0.2">
      <c r="A86" t="s">
        <v>128</v>
      </c>
      <c r="B86" t="s">
        <v>123</v>
      </c>
      <c r="C86" t="s">
        <v>82</v>
      </c>
      <c r="D86" t="s">
        <v>84</v>
      </c>
      <c r="E86" t="s">
        <v>309</v>
      </c>
      <c r="F86" t="s">
        <v>310</v>
      </c>
      <c r="G86">
        <v>1</v>
      </c>
      <c r="H86" t="s">
        <v>40</v>
      </c>
      <c r="I86">
        <v>15.33</v>
      </c>
      <c r="J86">
        <v>15.33</v>
      </c>
    </row>
    <row r="87" spans="1:10" x14ac:dyDescent="0.2">
      <c r="A87" t="s">
        <v>128</v>
      </c>
      <c r="B87" t="s">
        <v>123</v>
      </c>
      <c r="C87" t="s">
        <v>82</v>
      </c>
      <c r="D87" t="s">
        <v>84</v>
      </c>
      <c r="E87" t="s">
        <v>311</v>
      </c>
      <c r="F87" t="s">
        <v>312</v>
      </c>
      <c r="G87">
        <v>2</v>
      </c>
      <c r="H87" t="s">
        <v>40</v>
      </c>
      <c r="I87">
        <v>1.72</v>
      </c>
      <c r="J87">
        <v>3.44</v>
      </c>
    </row>
    <row r="88" spans="1:10" x14ac:dyDescent="0.2">
      <c r="A88" t="s">
        <v>128</v>
      </c>
      <c r="B88" t="s">
        <v>123</v>
      </c>
      <c r="C88" t="s">
        <v>82</v>
      </c>
      <c r="D88" t="s">
        <v>84</v>
      </c>
      <c r="E88" t="s">
        <v>313</v>
      </c>
      <c r="F88" t="s">
        <v>314</v>
      </c>
      <c r="G88">
        <v>1</v>
      </c>
      <c r="H88" t="s">
        <v>40</v>
      </c>
      <c r="I88">
        <v>0.69</v>
      </c>
      <c r="J88">
        <v>0.69</v>
      </c>
    </row>
    <row r="89" spans="1:10" x14ac:dyDescent="0.2">
      <c r="A89" t="s">
        <v>128</v>
      </c>
      <c r="B89" t="s">
        <v>123</v>
      </c>
      <c r="C89" t="s">
        <v>82</v>
      </c>
      <c r="D89" t="s">
        <v>84</v>
      </c>
      <c r="E89" t="s">
        <v>211</v>
      </c>
      <c r="F89" t="s">
        <v>212</v>
      </c>
      <c r="G89">
        <v>3</v>
      </c>
      <c r="H89" t="s">
        <v>40</v>
      </c>
      <c r="I89">
        <v>128.63999999999999</v>
      </c>
      <c r="J89">
        <v>385.92</v>
      </c>
    </row>
    <row r="90" spans="1:10" x14ac:dyDescent="0.2">
      <c r="A90" t="s">
        <v>128</v>
      </c>
      <c r="B90" t="s">
        <v>123</v>
      </c>
      <c r="C90" t="s">
        <v>82</v>
      </c>
      <c r="D90" t="s">
        <v>84</v>
      </c>
      <c r="E90" t="s">
        <v>315</v>
      </c>
      <c r="F90" t="s">
        <v>316</v>
      </c>
      <c r="G90">
        <v>2</v>
      </c>
      <c r="H90" t="s">
        <v>40</v>
      </c>
      <c r="I90">
        <v>0.17</v>
      </c>
      <c r="J90">
        <v>0.34</v>
      </c>
    </row>
    <row r="91" spans="1:10" x14ac:dyDescent="0.2">
      <c r="A91" t="s">
        <v>128</v>
      </c>
      <c r="B91" t="s">
        <v>123</v>
      </c>
      <c r="C91" t="s">
        <v>82</v>
      </c>
      <c r="D91" t="s">
        <v>84</v>
      </c>
      <c r="E91" t="s">
        <v>219</v>
      </c>
      <c r="F91" t="s">
        <v>220</v>
      </c>
      <c r="G91">
        <v>1</v>
      </c>
      <c r="H91" t="s">
        <v>40</v>
      </c>
      <c r="I91">
        <v>51.49</v>
      </c>
      <c r="J91">
        <v>51.49</v>
      </c>
    </row>
    <row r="92" spans="1:10" x14ac:dyDescent="0.2">
      <c r="A92" t="s">
        <v>128</v>
      </c>
      <c r="B92" t="s">
        <v>123</v>
      </c>
      <c r="C92" t="s">
        <v>82</v>
      </c>
      <c r="D92" t="s">
        <v>84</v>
      </c>
      <c r="E92" t="s">
        <v>317</v>
      </c>
      <c r="F92" t="s">
        <v>318</v>
      </c>
      <c r="G92">
        <v>1</v>
      </c>
      <c r="H92" t="s">
        <v>40</v>
      </c>
      <c r="I92">
        <v>7.75</v>
      </c>
      <c r="J92">
        <v>7.75</v>
      </c>
    </row>
    <row r="93" spans="1:10" x14ac:dyDescent="0.2">
      <c r="A93" t="s">
        <v>128</v>
      </c>
      <c r="B93" t="s">
        <v>123</v>
      </c>
      <c r="C93" t="s">
        <v>82</v>
      </c>
      <c r="D93" t="s">
        <v>84</v>
      </c>
      <c r="E93" t="s">
        <v>223</v>
      </c>
      <c r="F93" t="s">
        <v>224</v>
      </c>
      <c r="G93">
        <v>1</v>
      </c>
      <c r="H93" t="s">
        <v>40</v>
      </c>
      <c r="I93">
        <v>21.27</v>
      </c>
      <c r="J93">
        <v>21.27</v>
      </c>
    </row>
    <row r="94" spans="1:10" x14ac:dyDescent="0.2">
      <c r="A94" t="s">
        <v>128</v>
      </c>
      <c r="B94" t="s">
        <v>123</v>
      </c>
      <c r="C94" t="s">
        <v>82</v>
      </c>
      <c r="D94" t="s">
        <v>84</v>
      </c>
      <c r="E94" t="s">
        <v>319</v>
      </c>
      <c r="F94" t="s">
        <v>320</v>
      </c>
      <c r="G94">
        <v>1</v>
      </c>
      <c r="H94" t="s">
        <v>40</v>
      </c>
      <c r="I94">
        <v>74.91</v>
      </c>
      <c r="J94">
        <v>74.91</v>
      </c>
    </row>
    <row r="95" spans="1:10" x14ac:dyDescent="0.2">
      <c r="A95" t="s">
        <v>128</v>
      </c>
      <c r="B95" t="s">
        <v>123</v>
      </c>
      <c r="C95" t="s">
        <v>82</v>
      </c>
      <c r="D95" t="s">
        <v>84</v>
      </c>
      <c r="E95" t="s">
        <v>321</v>
      </c>
      <c r="F95" t="s">
        <v>322</v>
      </c>
      <c r="G95">
        <v>1</v>
      </c>
      <c r="H95" t="s">
        <v>40</v>
      </c>
      <c r="I95">
        <v>2.58</v>
      </c>
      <c r="J95">
        <v>2.58</v>
      </c>
    </row>
    <row r="96" spans="1:10" x14ac:dyDescent="0.2">
      <c r="A96" t="s">
        <v>128</v>
      </c>
      <c r="B96" t="s">
        <v>123</v>
      </c>
      <c r="C96" t="s">
        <v>82</v>
      </c>
      <c r="D96" t="s">
        <v>84</v>
      </c>
      <c r="E96" t="s">
        <v>215</v>
      </c>
      <c r="F96" t="s">
        <v>216</v>
      </c>
      <c r="G96">
        <v>1</v>
      </c>
      <c r="H96" t="s">
        <v>40</v>
      </c>
      <c r="I96">
        <v>21.27</v>
      </c>
      <c r="J96">
        <v>21.27</v>
      </c>
    </row>
    <row r="97" spans="1:10" x14ac:dyDescent="0.2">
      <c r="A97" t="s">
        <v>128</v>
      </c>
      <c r="B97" t="s">
        <v>123</v>
      </c>
      <c r="C97" t="s">
        <v>82</v>
      </c>
      <c r="D97" t="s">
        <v>84</v>
      </c>
      <c r="E97" t="s">
        <v>323</v>
      </c>
      <c r="F97" t="s">
        <v>324</v>
      </c>
      <c r="G97">
        <v>1</v>
      </c>
      <c r="H97" t="s">
        <v>40</v>
      </c>
      <c r="I97">
        <v>6.72</v>
      </c>
      <c r="J97">
        <v>6.72</v>
      </c>
    </row>
    <row r="98" spans="1:10" x14ac:dyDescent="0.2">
      <c r="A98" t="s">
        <v>128</v>
      </c>
      <c r="B98" t="s">
        <v>123</v>
      </c>
      <c r="C98" t="s">
        <v>82</v>
      </c>
      <c r="D98" t="s">
        <v>84</v>
      </c>
      <c r="E98" t="s">
        <v>251</v>
      </c>
      <c r="F98" t="s">
        <v>325</v>
      </c>
      <c r="G98">
        <v>1</v>
      </c>
      <c r="H98" t="s">
        <v>40</v>
      </c>
      <c r="I98">
        <v>21.27</v>
      </c>
      <c r="J98">
        <v>21.27</v>
      </c>
    </row>
    <row r="99" spans="1:10" x14ac:dyDescent="0.2">
      <c r="A99" t="s">
        <v>128</v>
      </c>
      <c r="B99" t="s">
        <v>123</v>
      </c>
      <c r="C99" t="s">
        <v>82</v>
      </c>
      <c r="D99" t="s">
        <v>84</v>
      </c>
      <c r="E99" t="s">
        <v>235</v>
      </c>
      <c r="F99" t="s">
        <v>236</v>
      </c>
      <c r="G99">
        <v>2</v>
      </c>
      <c r="H99" t="s">
        <v>40</v>
      </c>
      <c r="I99">
        <v>21.27</v>
      </c>
      <c r="J99">
        <v>42.54</v>
      </c>
    </row>
    <row r="100" spans="1:10" x14ac:dyDescent="0.2">
      <c r="A100" t="s">
        <v>128</v>
      </c>
      <c r="B100" t="s">
        <v>123</v>
      </c>
      <c r="C100" t="s">
        <v>82</v>
      </c>
      <c r="D100" t="s">
        <v>84</v>
      </c>
      <c r="E100" t="s">
        <v>326</v>
      </c>
      <c r="F100" t="s">
        <v>327</v>
      </c>
      <c r="G100">
        <v>1</v>
      </c>
      <c r="H100" t="s">
        <v>40</v>
      </c>
      <c r="I100">
        <v>15.33</v>
      </c>
      <c r="J100">
        <v>15.33</v>
      </c>
    </row>
    <row r="101" spans="1:10" x14ac:dyDescent="0.2">
      <c r="A101" t="s">
        <v>130</v>
      </c>
      <c r="B101" t="s">
        <v>123</v>
      </c>
      <c r="C101" t="s">
        <v>82</v>
      </c>
      <c r="D101" t="s">
        <v>84</v>
      </c>
      <c r="E101" t="s">
        <v>288</v>
      </c>
      <c r="F101" t="s">
        <v>289</v>
      </c>
      <c r="G101">
        <v>1</v>
      </c>
      <c r="H101" t="s">
        <v>40</v>
      </c>
      <c r="I101">
        <v>741.15</v>
      </c>
      <c r="J101">
        <v>741.15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BB65-0DBA-4CE4-88A6-0EF6384C6593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6" customWidth="1"/>
    <col min="2" max="2" width="9" style="26"/>
    <col min="3" max="3" width="13.625" style="26" customWidth="1"/>
    <col min="4" max="16384" width="9" style="26"/>
  </cols>
  <sheetData>
    <row r="1" spans="1:17" ht="15" x14ac:dyDescent="0.2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30" t="s">
        <v>38</v>
      </c>
    </row>
    <row r="3" spans="1:17" x14ac:dyDescent="0.2">
      <c r="A3" s="26" t="s">
        <v>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C207-89CD-4224-9A06-217907B5EEC1}">
  <dimension ref="A1:Q3"/>
  <sheetViews>
    <sheetView workbookViewId="0"/>
  </sheetViews>
  <sheetFormatPr defaultRowHeight="14.25" x14ac:dyDescent="0.2"/>
  <sheetData>
    <row r="1" spans="1:17" s="26" customFormat="1" ht="15" x14ac:dyDescent="0.2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30" t="s">
        <v>38</v>
      </c>
    </row>
    <row r="3" spans="1:17" x14ac:dyDescent="0.2">
      <c r="A3" t="s">
        <v>86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0450-D61C-441F-A5B0-4C71E16D38DB}">
  <sheetPr codeName="Sheet7"/>
  <dimension ref="A1:Q3"/>
  <sheetViews>
    <sheetView workbookViewId="0">
      <pane ySplit="1" topLeftCell="A2" activePane="bottomLeft" state="frozen"/>
      <selection pane="bottomLeft" activeCell="C5" sqref="C5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3" width="9.125" style="31" bestFit="1" customWidth="1"/>
    <col min="14" max="14" width="9.5" style="31" bestFit="1" customWidth="1"/>
    <col min="15" max="15" width="9" style="31"/>
    <col min="16" max="16" width="16.625" style="31" customWidth="1"/>
    <col min="17" max="17" width="9.125" style="31" bestFit="1" customWidth="1"/>
    <col min="18" max="16384" width="9" style="31"/>
  </cols>
  <sheetData>
    <row r="1" spans="1:17" x14ac:dyDescent="0.35">
      <c r="A1" s="23" t="s">
        <v>25</v>
      </c>
      <c r="B1" s="23" t="s">
        <v>26</v>
      </c>
      <c r="C1" s="24" t="s">
        <v>1</v>
      </c>
      <c r="D1" s="24" t="s">
        <v>0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10</v>
      </c>
      <c r="Q1" s="30" t="s">
        <v>38</v>
      </c>
    </row>
    <row r="3" spans="1:17" x14ac:dyDescent="0.35">
      <c r="A3" s="31" t="s">
        <v>86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66F8-8E1A-4C6D-B6E9-6A680835ABA7}">
  <sheetPr codeName="Sheet8"/>
  <dimension ref="A1:O2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39" customWidth="1"/>
    <col min="3" max="3" width="9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customWidth="1"/>
    <col min="15" max="15" width="18.125" customWidth="1"/>
  </cols>
  <sheetData>
    <row r="1" spans="1:15" ht="43.5" customHeight="1" x14ac:dyDescent="0.2">
      <c r="A1" s="32" t="s">
        <v>55</v>
      </c>
      <c r="B1" s="33" t="s">
        <v>56</v>
      </c>
      <c r="C1" s="34" t="s">
        <v>57</v>
      </c>
      <c r="D1" s="32" t="s">
        <v>58</v>
      </c>
      <c r="E1" s="35" t="s">
        <v>59</v>
      </c>
      <c r="F1" s="35" t="s">
        <v>60</v>
      </c>
      <c r="G1" s="35" t="s">
        <v>61</v>
      </c>
      <c r="H1" s="36" t="s">
        <v>62</v>
      </c>
      <c r="I1" s="36" t="s">
        <v>63</v>
      </c>
      <c r="J1" s="35" t="s">
        <v>64</v>
      </c>
      <c r="K1" s="37" t="s">
        <v>65</v>
      </c>
      <c r="L1" s="37" t="s">
        <v>66</v>
      </c>
      <c r="M1" s="38" t="s">
        <v>67</v>
      </c>
      <c r="N1" s="37" t="s">
        <v>68</v>
      </c>
      <c r="O1" s="35" t="s">
        <v>69</v>
      </c>
    </row>
    <row r="2" spans="1:15" x14ac:dyDescent="0.2">
      <c r="A2" t="s">
        <v>328</v>
      </c>
      <c r="B2" s="39">
        <v>1125</v>
      </c>
      <c r="C2" t="s">
        <v>40</v>
      </c>
      <c r="E2" t="s">
        <v>329</v>
      </c>
      <c r="F2" t="s">
        <v>330</v>
      </c>
      <c r="G2" t="s">
        <v>123</v>
      </c>
      <c r="H2" t="s">
        <v>82</v>
      </c>
      <c r="I2" t="s">
        <v>84</v>
      </c>
      <c r="J2" t="s">
        <v>331</v>
      </c>
      <c r="K2" t="s">
        <v>332</v>
      </c>
      <c r="L2">
        <v>1</v>
      </c>
      <c r="M2">
        <v>202501</v>
      </c>
      <c r="N2" s="59">
        <v>45661.832106481481</v>
      </c>
      <c r="O2" t="s">
        <v>333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BE14-6CD7-4384-9ECD-E16C06A954C6}">
  <sheetPr codeName="Sheet9"/>
  <dimension ref="A1:L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23.625" bestFit="1" customWidth="1"/>
    <col min="3" max="6" width="18.125" customWidth="1"/>
    <col min="7" max="12" width="11.625" customWidth="1"/>
  </cols>
  <sheetData>
    <row r="1" spans="1:12" ht="63.75" customHeight="1" x14ac:dyDescent="0.2">
      <c r="A1" s="40" t="s">
        <v>70</v>
      </c>
      <c r="B1" s="40" t="s">
        <v>71</v>
      </c>
      <c r="C1" s="36" t="s">
        <v>72</v>
      </c>
      <c r="D1" s="36" t="s">
        <v>73</v>
      </c>
      <c r="E1" s="40" t="s">
        <v>74</v>
      </c>
      <c r="F1" s="40" t="s">
        <v>75</v>
      </c>
      <c r="G1" s="40" t="s">
        <v>76</v>
      </c>
      <c r="H1" s="40" t="s">
        <v>77</v>
      </c>
      <c r="I1" s="40" t="s">
        <v>78</v>
      </c>
      <c r="J1" s="40" t="s">
        <v>79</v>
      </c>
      <c r="K1" s="40" t="s">
        <v>80</v>
      </c>
      <c r="L1" s="40" t="s">
        <v>81</v>
      </c>
    </row>
    <row r="3" spans="1:12" x14ac:dyDescent="0.2">
      <c r="A3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incentive labor fee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2025-02-20T06:28:31Z</dcterms:created>
  <dcterms:modified xsi:type="dcterms:W3CDTF">2025-02-20T06:28:54Z</dcterms:modified>
</cp:coreProperties>
</file>