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农机-售后\月度&amp;年度结算\海外\账单发送--月度\单位月结账单\"/>
    </mc:Choice>
  </mc:AlternateContent>
  <xr:revisionPtr revIDLastSave="0" documentId="8_{FE0B8E5E-5B88-451D-96D8-297862D8B82B}" xr6:coauthVersionLast="36" xr6:coauthVersionMax="36" xr10:uidLastSave="{00000000-0000-0000-0000-000000000000}"/>
  <bookViews>
    <workbookView xWindow="0" yWindow="0" windowWidth="28800" windowHeight="12135" tabRatio="970" xr2:uid="{ECC98C62-5461-4701-AD82-613962C44DA0}"/>
  </bookViews>
  <sheets>
    <sheet name="monthly bill" sheetId="3" r:id="rId1"/>
    <sheet name="Accessories discount" sheetId="4" r:id="rId2"/>
    <sheet name="spare parts fee" sheetId="5" r:id="rId3"/>
    <sheet name="service fee" sheetId="6" r:id="rId4"/>
    <sheet name="tariff compensation" sheetId="7" r:id="rId5"/>
    <sheet name="Maintenance list" sheetId="8" r:id="rId6"/>
    <sheet name="service red-line deduction" sheetId="9" r:id="rId7"/>
    <sheet name="bad parts deduction" sheetId="10" r:id="rId8"/>
    <sheet name="other compensation" sheetId="11" r:id="rId9"/>
    <sheet name="DOA to CM" sheetId="12" r:id="rId10"/>
    <sheet name="pre-payment balance" sheetId="13" r:id="rId11"/>
  </sheets>
  <definedNames>
    <definedName name="_xlnm._FilterDatabase" localSheetId="1" hidden="1">'Accessories discount'!$A$1:$Q$1</definedName>
    <definedName name="_xlnm._FilterDatabase" localSheetId="9" hidden="1">'DOA to CM'!$A$1:$P$1</definedName>
    <definedName name="_xlnm._FilterDatabase" localSheetId="5" hidden="1">'Maintenance list'!$A$1:$J$1</definedName>
    <definedName name="_xlnm._FilterDatabase" localSheetId="10" hidden="1">'pre-payment balance'!$A$1:$L$1</definedName>
    <definedName name="_xlnm._FilterDatabase" localSheetId="3" hidden="1">'service fee'!$A$1:$Q$1</definedName>
    <definedName name="_xlnm._FilterDatabase" localSheetId="2" hidden="1">'spare parts fee'!$A$1:$Q$1</definedName>
    <definedName name="_xlnm._FilterDatabase" localSheetId="4" hidden="1">'tariff compensation'!$A$1:$Q$1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3" l="1"/>
  <c r="E17" i="3" s="1"/>
  <c r="E13" i="3"/>
  <c r="E12" i="3"/>
  <c r="E11" i="3"/>
  <c r="E10" i="3"/>
  <c r="E9" i="3"/>
  <c r="E8" i="3"/>
  <c r="E7" i="3"/>
  <c r="E5" i="3"/>
  <c r="E6" i="3" s="1"/>
  <c r="E14" i="3" l="1"/>
  <c r="E15" i="3" s="1"/>
</calcChain>
</file>

<file path=xl/sharedStrings.xml><?xml version="1.0" encoding="utf-8"?>
<sst xmlns="http://schemas.openxmlformats.org/spreadsheetml/2006/main" count="3554" uniqueCount="453">
  <si>
    <t>Distributor Name</t>
  </si>
  <si>
    <t>Distributor Account</t>
  </si>
  <si>
    <r>
      <t xml:space="preserve">DJI Agriculture After-Sales Monthly Statement For </t>
    </r>
    <r>
      <rPr>
        <b/>
        <sz val="14"/>
        <color rgb="FFFFFF00"/>
        <rFont val="微软雅黑"/>
        <family val="2"/>
        <charset val="134"/>
      </rPr>
      <t>Jan</t>
    </r>
    <phoneticPr fontId="2" type="noConversion"/>
  </si>
  <si>
    <t>Dealer</t>
  </si>
  <si>
    <t>Dealer Account：</t>
  </si>
  <si>
    <t>Credit Trading</t>
  </si>
  <si>
    <t>Amount</t>
  </si>
  <si>
    <t>Remarks</t>
  </si>
  <si>
    <t>Expenditure item</t>
  </si>
  <si>
    <t>spare parts order</t>
  </si>
  <si>
    <t>Total Expenditure</t>
  </si>
  <si>
    <t>Income item</t>
  </si>
  <si>
    <t>spare parts fee of warranty cases</t>
  </si>
  <si>
    <t>service fee of warranty cases</t>
  </si>
  <si>
    <t>tariff compensation</t>
  </si>
  <si>
    <t>service red-line deduction</t>
  </si>
  <si>
    <t>bad parts deduction</t>
  </si>
  <si>
    <t>other compensation</t>
  </si>
  <si>
    <t>battery/DOA cases</t>
  </si>
  <si>
    <t>Total Income</t>
  </si>
  <si>
    <t>Credit Balance</t>
  </si>
  <si>
    <t>For your reference</t>
  </si>
  <si>
    <t>pre-payment</t>
  </si>
  <si>
    <t>pre-payment balance</t>
  </si>
  <si>
    <t>Total pre-payment</t>
  </si>
  <si>
    <t>Please use your balance as soon as possible</t>
  </si>
  <si>
    <t>Serial Number</t>
  </si>
  <si>
    <t>Creation Date</t>
  </si>
  <si>
    <t>Dealer Name</t>
  </si>
  <si>
    <t>Billing Type</t>
  </si>
  <si>
    <t>Bill No.</t>
  </si>
  <si>
    <t>Expense Type</t>
  </si>
  <si>
    <t>Calculation Type</t>
  </si>
  <si>
    <t>Operation Type</t>
  </si>
  <si>
    <t>Currency</t>
  </si>
  <si>
    <t>Trading Amount</t>
  </si>
  <si>
    <t>plus-minus</t>
  </si>
  <si>
    <t>Balance</t>
  </si>
  <si>
    <t>Receiving Status</t>
  </si>
  <si>
    <t>Month</t>
  </si>
  <si>
    <t>Quota adjustment</t>
  </si>
  <si>
    <t>Increase</t>
  </si>
  <si>
    <t>Manual adjustment</t>
  </si>
  <si>
    <t>USD</t>
  </si>
  <si>
    <t>Local repair-in warranty</t>
  </si>
  <si>
    <t>Repair spare parts fee</t>
  </si>
  <si>
    <t>Automatically generate</t>
  </si>
  <si>
    <t>Repair service fee</t>
  </si>
  <si>
    <t>other</t>
  </si>
  <si>
    <r>
      <rPr>
        <b/>
        <sz val="11"/>
        <color theme="0"/>
        <rFont val="微软雅黑"/>
        <family val="2"/>
        <charset val="134"/>
      </rPr>
      <t>案例编号</t>
    </r>
    <r>
      <rPr>
        <b/>
        <sz val="11"/>
        <color theme="0"/>
        <rFont val="Arial"/>
        <family val="2"/>
      </rPr>
      <t>Case Number</t>
    </r>
  </si>
  <si>
    <r>
      <rPr>
        <b/>
        <sz val="11"/>
        <color theme="0"/>
        <rFont val="微软雅黑"/>
        <family val="2"/>
        <charset val="134"/>
      </rPr>
      <t>代理商名称</t>
    </r>
    <r>
      <rPr>
        <b/>
        <sz val="11"/>
        <color theme="0"/>
        <rFont val="Arial"/>
        <family val="2"/>
      </rPr>
      <t>Dealer Name</t>
    </r>
  </si>
  <si>
    <r>
      <rPr>
        <b/>
        <sz val="11"/>
        <color theme="0"/>
        <rFont val="微软雅黑"/>
        <family val="2"/>
        <charset val="134"/>
      </rPr>
      <t>上级代理商名称</t>
    </r>
    <r>
      <rPr>
        <b/>
        <sz val="11"/>
        <color theme="0"/>
        <rFont val="Arial"/>
        <family val="2"/>
      </rPr>
      <t>Distributor Name</t>
    </r>
  </si>
  <si>
    <r>
      <rPr>
        <b/>
        <sz val="11"/>
        <color theme="0"/>
        <rFont val="微软雅黑"/>
        <family val="2"/>
        <charset val="134"/>
      </rPr>
      <t>上级代理商账号</t>
    </r>
    <r>
      <rPr>
        <b/>
        <sz val="11"/>
        <color theme="0"/>
        <rFont val="Arial"/>
        <family val="2"/>
      </rPr>
      <t>Distributor Account</t>
    </r>
  </si>
  <si>
    <r>
      <rPr>
        <b/>
        <sz val="11"/>
        <color theme="0"/>
        <rFont val="微软雅黑"/>
        <family val="2"/>
        <charset val="134"/>
      </rPr>
      <t>物料编码</t>
    </r>
    <r>
      <rPr>
        <b/>
        <sz val="11"/>
        <color theme="0"/>
        <rFont val="Arial"/>
        <family val="2"/>
      </rPr>
      <t>Material code</t>
    </r>
  </si>
  <si>
    <r>
      <rPr>
        <b/>
        <sz val="11"/>
        <color theme="0"/>
        <rFont val="微软雅黑"/>
        <family val="2"/>
        <charset val="134"/>
      </rPr>
      <t>物料名称</t>
    </r>
    <r>
      <rPr>
        <b/>
        <sz val="11"/>
        <color theme="0"/>
        <rFont val="Arial"/>
        <family val="2"/>
      </rPr>
      <t>Material name</t>
    </r>
  </si>
  <si>
    <r>
      <rPr>
        <b/>
        <sz val="11"/>
        <color theme="0"/>
        <rFont val="微软雅黑"/>
        <family val="2"/>
        <charset val="134"/>
      </rPr>
      <t>数量</t>
    </r>
    <r>
      <rPr>
        <b/>
        <sz val="11"/>
        <color theme="0"/>
        <rFont val="Arial"/>
        <family val="2"/>
      </rPr>
      <t>Quantity</t>
    </r>
  </si>
  <si>
    <r>
      <rPr>
        <b/>
        <sz val="11"/>
        <color theme="0"/>
        <rFont val="黑体"/>
        <family val="3"/>
        <charset val="134"/>
      </rPr>
      <t>币种</t>
    </r>
    <r>
      <rPr>
        <b/>
        <sz val="11"/>
        <color theme="0"/>
        <rFont val="Arial"/>
        <family val="2"/>
      </rPr>
      <t>Currency</t>
    </r>
  </si>
  <si>
    <r>
      <rPr>
        <b/>
        <sz val="11"/>
        <color theme="0"/>
        <rFont val="黑体"/>
        <family val="3"/>
        <charset val="134"/>
      </rPr>
      <t>物料单价</t>
    </r>
    <r>
      <rPr>
        <b/>
        <sz val="11"/>
        <color theme="0"/>
        <rFont val="Arial"/>
        <family val="2"/>
      </rPr>
      <t>Material unit price</t>
    </r>
  </si>
  <si>
    <r>
      <rPr>
        <b/>
        <sz val="11"/>
        <color theme="0"/>
        <rFont val="黑体"/>
        <family val="3"/>
        <charset val="134"/>
      </rPr>
      <t>物料总价</t>
    </r>
    <r>
      <rPr>
        <b/>
        <sz val="11"/>
        <color theme="0"/>
        <rFont val="Arial"/>
        <family val="2"/>
      </rPr>
      <t>Total price of materials</t>
    </r>
  </si>
  <si>
    <t>YC.JG.ZS002189.04</t>
  </si>
  <si>
    <t>【T40/T20P】脚架固定件（左后）</t>
  </si>
  <si>
    <r>
      <rPr>
        <b/>
        <sz val="11"/>
        <color rgb="FFFFFFFF"/>
        <rFont val="微软雅黑"/>
        <family val="2"/>
        <charset val="134"/>
      </rPr>
      <t>转售后</t>
    </r>
    <r>
      <rPr>
        <b/>
        <sz val="11"/>
        <color rgb="FFFFFFFF"/>
        <rFont val="Arial"/>
        <family val="2"/>
      </rPr>
      <t>Cedit
After-sale credit</t>
    </r>
  </si>
  <si>
    <r>
      <rPr>
        <b/>
        <sz val="11"/>
        <color rgb="FFFFFFFF"/>
        <rFont val="微软雅黑"/>
        <family val="2"/>
        <charset val="134"/>
      </rPr>
      <t>金额</t>
    </r>
    <r>
      <rPr>
        <b/>
        <sz val="11"/>
        <color rgb="FFFFFFFF"/>
        <rFont val="Arial"/>
        <family val="2"/>
      </rPr>
      <t>/Amount</t>
    </r>
  </si>
  <si>
    <r>
      <rPr>
        <b/>
        <sz val="11"/>
        <color rgb="FFFFFFFF"/>
        <rFont val="微软雅黑"/>
        <family val="2"/>
        <charset val="134"/>
      </rPr>
      <t>币种</t>
    </r>
  </si>
  <si>
    <t>CM单号
Credit number</t>
  </si>
  <si>
    <r>
      <rPr>
        <b/>
        <sz val="11"/>
        <color rgb="FFFFFFFF"/>
        <rFont val="微软雅黑"/>
        <family val="2"/>
        <charset val="134"/>
      </rPr>
      <t xml:space="preserve">其他说明
</t>
    </r>
    <r>
      <rPr>
        <b/>
        <sz val="11"/>
        <color rgb="FFFFFFFF"/>
        <rFont val="Arial"/>
        <family val="2"/>
      </rPr>
      <t>Supplement</t>
    </r>
  </si>
  <si>
    <r>
      <rPr>
        <b/>
        <sz val="11"/>
        <color rgb="FFFFFFFF"/>
        <rFont val="微软雅黑"/>
        <family val="2"/>
        <charset val="134"/>
      </rPr>
      <t xml:space="preserve">原始咨询案例
</t>
    </r>
    <r>
      <rPr>
        <b/>
        <sz val="11"/>
        <color rgb="FFFFFFFF"/>
        <rFont val="Arial"/>
        <family val="2"/>
      </rPr>
      <t>Original Technical Support Case</t>
    </r>
  </si>
  <si>
    <r>
      <rPr>
        <b/>
        <sz val="11"/>
        <color rgb="FFFFFFFF"/>
        <rFont val="Arial"/>
        <family val="2"/>
      </rPr>
      <t>DJI</t>
    </r>
    <r>
      <rPr>
        <b/>
        <sz val="11"/>
        <color rgb="FFFFFFFF"/>
        <rFont val="微软雅黑"/>
        <family val="2"/>
        <charset val="134"/>
      </rPr>
      <t xml:space="preserve">换货案例
</t>
    </r>
    <r>
      <rPr>
        <b/>
        <sz val="11"/>
        <color rgb="FFFFFFFF"/>
        <rFont val="Arial"/>
        <family val="2"/>
      </rPr>
      <t>DJI DOA Case</t>
    </r>
  </si>
  <si>
    <r>
      <rPr>
        <b/>
        <sz val="11"/>
        <color rgb="FFFFFFFF"/>
        <rFont val="微软雅黑"/>
        <family val="2"/>
        <charset val="134"/>
      </rPr>
      <t>客户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微软雅黑"/>
        <family val="2"/>
        <charset val="134"/>
      </rPr>
      <t>案例</t>
    </r>
    <r>
      <rPr>
        <b/>
        <sz val="11"/>
        <color rgb="FFFFFFFF"/>
        <rFont val="Arial"/>
        <family val="2"/>
      </rPr>
      <t>)
Distributor/Dealer Name</t>
    </r>
  </si>
  <si>
    <r>
      <rPr>
        <b/>
        <sz val="11"/>
        <color rgb="FFFF0000"/>
        <rFont val="微软雅黑"/>
        <family val="2"/>
        <charset val="134"/>
      </rPr>
      <t>上级代理商</t>
    </r>
    <r>
      <rPr>
        <b/>
        <sz val="11"/>
        <color rgb="FFFF0000"/>
        <rFont val="Arial"/>
        <family val="2"/>
      </rPr>
      <t>(Distributor Name)</t>
    </r>
  </si>
  <si>
    <r>
      <rPr>
        <b/>
        <sz val="11"/>
        <color rgb="FFFF0000"/>
        <rFont val="微软雅黑"/>
        <family val="2"/>
        <charset val="134"/>
      </rPr>
      <t>上级代理商账号</t>
    </r>
    <r>
      <rPr>
        <b/>
        <sz val="11"/>
        <color rgb="FFFF0000"/>
        <rFont val="Arial"/>
        <family val="2"/>
      </rPr>
      <t>(Distributor Account)</t>
    </r>
  </si>
  <si>
    <r>
      <rPr>
        <b/>
        <sz val="11"/>
        <color rgb="FFFFFFFF"/>
        <rFont val="微软雅黑"/>
        <family val="2"/>
        <charset val="134"/>
      </rPr>
      <t>产品</t>
    </r>
    <r>
      <rPr>
        <b/>
        <sz val="11"/>
        <color rgb="FFFFFFFF"/>
        <rFont val="Arial"/>
        <family val="2"/>
      </rPr>
      <t xml:space="preserve"> ID (</t>
    </r>
    <r>
      <rPr>
        <b/>
        <sz val="11"/>
        <color rgb="FFFFFFFF"/>
        <rFont val="微软雅黑"/>
        <family val="2"/>
        <charset val="134"/>
      </rPr>
      <t>产品</t>
    </r>
    <r>
      <rPr>
        <b/>
        <sz val="11"/>
        <color rgb="FFFFFFFF"/>
        <rFont val="Arial"/>
        <family val="2"/>
      </rPr>
      <t>)
Product ID</t>
    </r>
  </si>
  <si>
    <r>
      <rPr>
        <b/>
        <sz val="11"/>
        <color rgb="FFFFFFFF"/>
        <rFont val="微软雅黑"/>
        <family val="2"/>
        <charset val="134"/>
      </rPr>
      <t xml:space="preserve">产品
</t>
    </r>
    <r>
      <rPr>
        <b/>
        <sz val="11"/>
        <color rgb="FFFFFFFF"/>
        <rFont val="Arial"/>
        <family val="2"/>
      </rPr>
      <t xml:space="preserve">Product </t>
    </r>
  </si>
  <si>
    <r>
      <rPr>
        <b/>
        <sz val="11"/>
        <color rgb="FFFFFFFF"/>
        <rFont val="微软雅黑"/>
        <family val="2"/>
        <charset val="134"/>
      </rPr>
      <t xml:space="preserve">数量
</t>
    </r>
    <r>
      <rPr>
        <b/>
        <sz val="11"/>
        <color rgb="FFFFFFFF"/>
        <rFont val="Arial"/>
        <family val="2"/>
      </rPr>
      <t>Quantity</t>
    </r>
  </si>
  <si>
    <r>
      <rPr>
        <b/>
        <sz val="11"/>
        <color rgb="FFFFFFFF"/>
        <rFont val="微软雅黑"/>
        <family val="2"/>
        <charset val="134"/>
      </rPr>
      <t xml:space="preserve">月份
</t>
    </r>
    <r>
      <rPr>
        <b/>
        <sz val="11"/>
        <color rgb="FFFFFFFF"/>
        <rFont val="Arial"/>
        <family val="2"/>
      </rPr>
      <t>Month</t>
    </r>
  </si>
  <si>
    <r>
      <rPr>
        <b/>
        <sz val="11"/>
        <color rgb="FFFFFFFF"/>
        <rFont val="微软雅黑"/>
        <family val="2"/>
        <charset val="134"/>
      </rPr>
      <t>完成时间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微软雅黑"/>
        <family val="2"/>
        <charset val="134"/>
      </rPr>
      <t>发货单</t>
    </r>
    <r>
      <rPr>
        <b/>
        <sz val="11"/>
        <color rgb="FFFFFFFF"/>
        <rFont val="Arial"/>
        <family val="2"/>
      </rPr>
      <t>)
Date</t>
    </r>
  </si>
  <si>
    <r>
      <rPr>
        <b/>
        <sz val="11"/>
        <color rgb="FFFFFFFF"/>
        <rFont val="微软雅黑"/>
        <family val="2"/>
        <charset val="134"/>
      </rPr>
      <t>产品</t>
    </r>
    <r>
      <rPr>
        <b/>
        <sz val="11"/>
        <color rgb="FFFFFFFF"/>
        <rFont val="Arial"/>
        <family val="2"/>
      </rPr>
      <t>SN</t>
    </r>
    <r>
      <rPr>
        <b/>
        <sz val="11"/>
        <color rgb="FFFFFFFF"/>
        <rFont val="微软雅黑"/>
        <family val="2"/>
        <charset val="134"/>
      </rPr>
      <t>码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微软雅黑"/>
        <family val="2"/>
        <charset val="134"/>
      </rPr>
      <t>案例</t>
    </r>
    <r>
      <rPr>
        <b/>
        <sz val="11"/>
        <color rgb="FFFFFFFF"/>
        <rFont val="Arial"/>
        <family val="2"/>
      </rPr>
      <t>)
Product SN</t>
    </r>
  </si>
  <si>
    <t>售后credit（After-sale credit）</t>
  </si>
  <si>
    <t>CP.AG.00000782.01</t>
  </si>
  <si>
    <t>DB1560 智能飞行电池</t>
  </si>
  <si>
    <r>
      <rPr>
        <b/>
        <sz val="11"/>
        <color theme="0"/>
        <rFont val="宋体"/>
        <family val="3"/>
        <charset val="134"/>
      </rPr>
      <t>订单日期（</t>
    </r>
    <r>
      <rPr>
        <b/>
        <sz val="11"/>
        <color theme="0"/>
        <rFont val="Arial"/>
        <family val="2"/>
      </rPr>
      <t>order date</t>
    </r>
    <r>
      <rPr>
        <b/>
        <sz val="11"/>
        <color theme="0"/>
        <rFont val="宋体"/>
        <family val="3"/>
        <charset val="134"/>
      </rPr>
      <t>）</t>
    </r>
  </si>
  <si>
    <t>案例号（Case Number）</t>
  </si>
  <si>
    <r>
      <rPr>
        <b/>
        <sz val="11"/>
        <color rgb="FFFF0000"/>
        <rFont val="微软雅黑"/>
        <family val="2"/>
        <charset val="134"/>
      </rPr>
      <t>代理商名称</t>
    </r>
    <r>
      <rPr>
        <b/>
        <sz val="11"/>
        <color rgb="FFFF0000"/>
        <rFont val="Arial"/>
        <family val="2"/>
      </rPr>
      <t>Distributor Name</t>
    </r>
  </si>
  <si>
    <r>
      <rPr>
        <b/>
        <sz val="11"/>
        <color rgb="FFFF0000"/>
        <rFont val="微软雅黑"/>
        <family val="2"/>
        <charset val="134"/>
      </rPr>
      <t>代理商账号</t>
    </r>
    <r>
      <rPr>
        <b/>
        <sz val="11"/>
        <color rgb="FFFF0000"/>
        <rFont val="Arial"/>
        <family val="2"/>
      </rPr>
      <t>Distributor Account</t>
    </r>
  </si>
  <si>
    <t>退单物料编码（Chargeback Material code）</t>
  </si>
  <si>
    <t>退单物料名称（Chargeback Material name）</t>
  </si>
  <si>
    <t>退单数量（Chargeback quantity）</t>
  </si>
  <si>
    <t>物料单价（Material unit price）</t>
  </si>
  <si>
    <t>成交单价（Transaction unit price）</t>
  </si>
  <si>
    <t>转预付款金额（Transfer prepayment amount）</t>
  </si>
  <si>
    <t>预付款余额（pre-payment balance）</t>
  </si>
  <si>
    <r>
      <rPr>
        <b/>
        <sz val="11"/>
        <color theme="0"/>
        <rFont val="宋体"/>
        <family val="3"/>
        <charset val="134"/>
      </rPr>
      <t>其他说明</t>
    </r>
    <r>
      <rPr>
        <b/>
        <sz val="11"/>
        <color theme="0"/>
        <rFont val="Arial"/>
        <family val="2"/>
      </rPr>
      <t>Supplement</t>
    </r>
  </si>
  <si>
    <t>DronePro Comercio e Assistencia Tecnica Ltda</t>
  </si>
  <si>
    <t>HUADA-agras</t>
  </si>
  <si>
    <t>HUADA-agras</t>
    <phoneticPr fontId="2" type="noConversion"/>
  </si>
  <si>
    <t>This item is not involved this time</t>
  </si>
  <si>
    <t>AGROGEO COMERCIO E SERVICOS DE ENG E CONSULT FLORESTAL LTDA</t>
  </si>
  <si>
    <t>FWRC260110000211</t>
  </si>
  <si>
    <t>FWRC260120000229</t>
  </si>
  <si>
    <t>Agrominas - Colinas do Tocantins</t>
  </si>
  <si>
    <t>FWRC251229000165</t>
  </si>
  <si>
    <t>AGROVETE-NOVO REPARTIMENTO-PA</t>
  </si>
  <si>
    <t>FWRC260107000200</t>
  </si>
  <si>
    <t>Alto Giro Drones - GUARAÍ</t>
  </si>
  <si>
    <t>FWRC260116000202</t>
  </si>
  <si>
    <t>Alto Giro Drones - Porto Nacional</t>
  </si>
  <si>
    <t>FWRC260109000161</t>
  </si>
  <si>
    <t>DNT - Drone Norte -Uruara</t>
  </si>
  <si>
    <t>FWRC260106000224</t>
  </si>
  <si>
    <t>FWRC260109000114</t>
  </si>
  <si>
    <t>FWRC260119000149</t>
  </si>
  <si>
    <t>FWRC260129000127</t>
  </si>
  <si>
    <t>FWRC260129000263</t>
  </si>
  <si>
    <t>DRONE NORTE</t>
  </si>
  <si>
    <t>FWRC260126000238</t>
  </si>
  <si>
    <t>FWRC251127000264</t>
  </si>
  <si>
    <t>FWRC251213000233</t>
  </si>
  <si>
    <t>FWRC260107000234</t>
  </si>
  <si>
    <t>FWRC260108000273</t>
  </si>
  <si>
    <t>FWRC260108000274</t>
  </si>
  <si>
    <t>FWRC260108000277</t>
  </si>
  <si>
    <t>FWRC260108000281</t>
  </si>
  <si>
    <t>FWRC260109000166</t>
  </si>
  <si>
    <t>FWRC260114000162</t>
  </si>
  <si>
    <t>FWRC260119000132</t>
  </si>
  <si>
    <t>FWRC260120000183</t>
  </si>
  <si>
    <t>FWRC260120000187</t>
  </si>
  <si>
    <t>FWRC260121000254</t>
  </si>
  <si>
    <t>FWRC260121000261</t>
  </si>
  <si>
    <t>FWRC260121000262</t>
  </si>
  <si>
    <t>FWRC260123000185</t>
  </si>
  <si>
    <t>FWRC260123000219</t>
  </si>
  <si>
    <t>FWRC260124000246</t>
  </si>
  <si>
    <t>FWRC260129000155</t>
  </si>
  <si>
    <t>Hidrosul - Conceição do Araguaia</t>
  </si>
  <si>
    <t>FWRC260116000192</t>
  </si>
  <si>
    <t>Horizont Drones</t>
  </si>
  <si>
    <t>FWRC251115000237</t>
  </si>
  <si>
    <t>FWRC251218000214</t>
  </si>
  <si>
    <t>FWRC251231000001</t>
  </si>
  <si>
    <t>FWRC251231000092</t>
  </si>
  <si>
    <t>FWRC260107000233</t>
  </si>
  <si>
    <t>FWRC260107000238</t>
  </si>
  <si>
    <t>FWRC260113000193</t>
  </si>
  <si>
    <t>FWRC260114000160</t>
  </si>
  <si>
    <t>FWRC260116000180</t>
  </si>
  <si>
    <t>FWRC260121000189</t>
  </si>
  <si>
    <t>FWRC260121000257</t>
  </si>
  <si>
    <t>FWRC260124000133</t>
  </si>
  <si>
    <t>FWRC260128000220</t>
  </si>
  <si>
    <t>FWRC260128000230</t>
  </si>
  <si>
    <t>FWRC260130000214</t>
  </si>
  <si>
    <t>Mar Auto Pecas-Castelo dos Sonhos-PA</t>
  </si>
  <si>
    <t>FWRC251212000200</t>
  </si>
  <si>
    <t>Pulveriza Drones Ltda</t>
  </si>
  <si>
    <t>FWRC260107000239</t>
  </si>
  <si>
    <t>FWRC260109000180</t>
  </si>
  <si>
    <t>FWRC260109000182</t>
  </si>
  <si>
    <t>FWRC260109000186</t>
  </si>
  <si>
    <t>FWRC260113000242</t>
  </si>
  <si>
    <t>FWRC260120000168</t>
  </si>
  <si>
    <t>FWRC260122000148</t>
  </si>
  <si>
    <t>FWRC260126000232</t>
  </si>
  <si>
    <t>FWRC260128000232</t>
  </si>
  <si>
    <t>FWRC260129000001</t>
  </si>
  <si>
    <t>RURAL DRONE</t>
  </si>
  <si>
    <t>FWRC251120000188</t>
  </si>
  <si>
    <t>SAD SAGA AGRO DRONES TECNOLOGIA E P. A LIMITADA</t>
  </si>
  <si>
    <t>FWRC251023000227</t>
  </si>
  <si>
    <t>VETTORIZE DRONES</t>
  </si>
  <si>
    <t>FWRC260105000183</t>
  </si>
  <si>
    <t>VRJ COMERCIO DE DRONES</t>
  </si>
  <si>
    <t>FWRC260121000152</t>
  </si>
  <si>
    <t>FWRC260122000234</t>
  </si>
  <si>
    <t>FWRC260127000267</t>
  </si>
  <si>
    <t>BC.AG.SS000838.01</t>
  </si>
  <si>
    <t>【T50/T25】航电模块L</t>
  </si>
  <si>
    <t>YC.JG.ZS002188.04</t>
  </si>
  <si>
    <t>【T40/T20P】脚架固定件（左前）</t>
  </si>
  <si>
    <t>YC.JG.JS000028.02</t>
  </si>
  <si>
    <t>【T40/T20P】喷杆水管</t>
  </si>
  <si>
    <t>YC.JG.ZS002285.03</t>
  </si>
  <si>
    <t>【T40】脚架三通</t>
  </si>
  <si>
    <t>YC.JG.ZS003787.01</t>
  </si>
  <si>
    <t>【T40】下正桨（L-CCW）（黑）</t>
  </si>
  <si>
    <t>YC.JG.ZS002190.04</t>
  </si>
  <si>
    <t>【T40/T20P】脚架固定件（右后）</t>
  </si>
  <si>
    <t>YC.JG.ZS001965.05</t>
  </si>
  <si>
    <t>下正桨（L-CCW）（白）</t>
  </si>
  <si>
    <t>YC.JG.CS000012.06</t>
  </si>
  <si>
    <t>【T40】水箱（40L）</t>
  </si>
  <si>
    <t>YC.JG.ZS003788.01</t>
  </si>
  <si>
    <t>【T40】下反桨（L-CW）（黑）</t>
  </si>
  <si>
    <t>YC.JG.ZS001966.05</t>
  </si>
  <si>
    <t>下反桨（L-CW）（白）</t>
  </si>
  <si>
    <t>BC.AG.SS000565.02</t>
  </si>
  <si>
    <t>【T40/T20P】离心电机</t>
  </si>
  <si>
    <t>BC.AG.SS000569.02</t>
  </si>
  <si>
    <t>M3机臂（左后）（光杆）</t>
  </si>
  <si>
    <t>YC.JG.ZS003388.07</t>
  </si>
  <si>
    <t>【T50/T25】前壳底板</t>
  </si>
  <si>
    <t>YC.XC.DD000577.03</t>
  </si>
  <si>
    <t>【T25】前机臂电调电源转接线</t>
  </si>
  <si>
    <t>YC.JG.ZS002289.05</t>
  </si>
  <si>
    <t>【T50/T25】离心喷头弹簧支架</t>
  </si>
  <si>
    <t>YC.JG.ZS003387.06</t>
  </si>
  <si>
    <t>【T50/T25】前壳主体</t>
  </si>
  <si>
    <t>BC.AG.SS000708.01</t>
  </si>
  <si>
    <t>【T50/T25】离心喷头下盖</t>
  </si>
  <si>
    <t>BC.AG.SS000677.01</t>
  </si>
  <si>
    <t>【T50/T25】补光灯组件</t>
  </si>
  <si>
    <t>BC.AG.SS000706.02</t>
  </si>
  <si>
    <t>【T25】10028动力电机</t>
  </si>
  <si>
    <t>YC.JG.ZS003458.05</t>
  </si>
  <si>
    <t>【T50/T25】离心甩盘下盘</t>
  </si>
  <si>
    <t>YC.JG.BJ001760.06</t>
  </si>
  <si>
    <t>【T25】脚架铝管</t>
  </si>
  <si>
    <t>YC.JG.ZS003465.07</t>
  </si>
  <si>
    <t>【T50/T25】脚架固定件（左前）</t>
  </si>
  <si>
    <t>YC.XC.XX001109.02</t>
  </si>
  <si>
    <t>【T50/T25】离心喷头转接线</t>
  </si>
  <si>
    <t>BC.AG.SS000752.01</t>
  </si>
  <si>
    <t>【T50/T25】喷杆螺母</t>
  </si>
  <si>
    <t>YC.JG.ZS001306.05</t>
  </si>
  <si>
    <t>【T25】在位检测支架</t>
  </si>
  <si>
    <t>BC.AG.SS000704.01</t>
  </si>
  <si>
    <t>【T25】M3机臂（左后）</t>
  </si>
  <si>
    <t>YC.JG.ZS003400.09</t>
  </si>
  <si>
    <t>【T25】喷杆外壳</t>
  </si>
  <si>
    <t>YC.JG.ZS003464.07</t>
  </si>
  <si>
    <t>【T50/T25】脚架固定件（右前）</t>
  </si>
  <si>
    <t>BC.AG.SS000703.01</t>
  </si>
  <si>
    <t>【T25】M2机臂（左前）</t>
  </si>
  <si>
    <t>YC.JG.JS000037.07</t>
  </si>
  <si>
    <t>【T25】喷杆波纹管</t>
  </si>
  <si>
    <t>BC.AG.SS000940.02.F</t>
  </si>
  <si>
    <t>【T50/T25】后雷达模块</t>
  </si>
  <si>
    <t>YC.JG.ZS002229.04</t>
  </si>
  <si>
    <t>【T50/T25】称重模块线夹</t>
  </si>
  <si>
    <t>YC.JG.ZS003467.07</t>
  </si>
  <si>
    <t>【T50/T25】脚架固定件（右后）</t>
  </si>
  <si>
    <t>BC.AG.SS000689.01</t>
  </si>
  <si>
    <t>【T25】机框组件</t>
  </si>
  <si>
    <t>BC.AG.SS000707.01</t>
  </si>
  <si>
    <t>【T50/T25】电磁阀组件</t>
  </si>
  <si>
    <t>BC.AG.SS000690.01</t>
  </si>
  <si>
    <t>【T50/T25】喷洒电源模块</t>
  </si>
  <si>
    <t>YC.JG.ZS002291.11</t>
  </si>
  <si>
    <t>【T25】喷杆固定座</t>
  </si>
  <si>
    <t>YC.JG.ZS003435.02</t>
  </si>
  <si>
    <t>【T50/T25】辅臂</t>
  </si>
  <si>
    <t>YC.JG.QX002996.03</t>
  </si>
  <si>
    <t>【T25】电机座</t>
  </si>
  <si>
    <t>YC.JG.FP000027.03</t>
  </si>
  <si>
    <t>【T25】电机保护罩</t>
  </si>
  <si>
    <t>YC.JG.QX002088.03</t>
  </si>
  <si>
    <t>【T50/T25】锁紧扣连杆</t>
  </si>
  <si>
    <t>YC.JG.YZ000672.04</t>
  </si>
  <si>
    <t>【T50/T25】前雷达底座</t>
  </si>
  <si>
    <t>BC.AG.SS000702.01</t>
  </si>
  <si>
    <t>【T25】M1机臂（右前）</t>
  </si>
  <si>
    <t>YC.JG.ZS003413.04</t>
  </si>
  <si>
    <t>【T25】机臂固定件（右）</t>
  </si>
  <si>
    <t>YC.JG.ZS003386.06</t>
  </si>
  <si>
    <t>【T50/T25】前壳前盖</t>
  </si>
  <si>
    <t>YC.JG.ZS003479.07</t>
  </si>
  <si>
    <t>【T50/T25】水管卡扣</t>
  </si>
  <si>
    <t>YC.JG.JS000043.03</t>
  </si>
  <si>
    <t>【T25】喷杆软管</t>
  </si>
  <si>
    <t>YC.JG.MY001011.05</t>
  </si>
  <si>
    <t>【T50/T25】称重橡胶头</t>
  </si>
  <si>
    <t>YC.JG.MQ001292.02</t>
  </si>
  <si>
    <t>【T25】特氟龙垫片</t>
  </si>
  <si>
    <t>YC.DZ.AA000326.02</t>
  </si>
  <si>
    <t>【T50/T25】SDR天线（前）</t>
  </si>
  <si>
    <t>YC.JG.ZS003392.02</t>
  </si>
  <si>
    <t>【T50/T25】叶轮泵支架</t>
  </si>
  <si>
    <t>YC.BZ.RB000011.03</t>
  </si>
  <si>
    <t>【T50/T25】料箱挂绳</t>
  </si>
  <si>
    <t>YC.JG.MQ001280.03</t>
  </si>
  <si>
    <t>【T25】橡胶垫片</t>
  </si>
  <si>
    <t>YC.XC.XX001001.04</t>
  </si>
  <si>
    <t>【T50/T25】喷洒转接线</t>
  </si>
  <si>
    <t>YC.XC.XX001002.04</t>
  </si>
  <si>
    <t>【T50/T25】喷洒一分四信号线</t>
  </si>
  <si>
    <t>BC.AG.SS000679.01</t>
  </si>
  <si>
    <t>【T25】分线板模块</t>
  </si>
  <si>
    <t>BC.AG.SS000709.01</t>
  </si>
  <si>
    <t>【T50/T25】液位计传感器组件</t>
  </si>
  <si>
    <t>YC.JG.ZS003552.02</t>
  </si>
  <si>
    <t>【T25】正桨（CCW）</t>
  </si>
  <si>
    <t>BC.AG.SS001005.02</t>
  </si>
  <si>
    <t>后雷达模块</t>
  </si>
  <si>
    <t>BC.AG.SS000939.02.F</t>
  </si>
  <si>
    <t>【T50/T25】前雷达模块</t>
  </si>
  <si>
    <t>YC.XC.XX001011.05</t>
  </si>
  <si>
    <t>【T50/T25】前雷达信号线</t>
  </si>
  <si>
    <t>【T50/T25】分线板模块</t>
  </si>
  <si>
    <t>BC.AG.SS000871.02</t>
  </si>
  <si>
    <t>电磁阀组件</t>
  </si>
  <si>
    <t>BC.AG.SS000700.01</t>
  </si>
  <si>
    <t>【T50/T25】电调模块</t>
  </si>
  <si>
    <t>BC.AG.SS000566.01</t>
  </si>
  <si>
    <t>10033动力电机-M4</t>
  </si>
  <si>
    <t>YC.JG.ZS002283.05</t>
  </si>
  <si>
    <t>【T40/T20P】前壳下盖</t>
  </si>
  <si>
    <t>BC.AG.SS000548.01</t>
  </si>
  <si>
    <t>【T40/T20P】补光灯组件（含信号线）</t>
  </si>
  <si>
    <t>YC.JG.ZS003829.01</t>
  </si>
  <si>
    <t>【T40】桨叶垫片</t>
  </si>
  <si>
    <t>YC.JG.ZS002187.04</t>
  </si>
  <si>
    <t>【T40/T20P】脚架固定件（右前）</t>
  </si>
  <si>
    <t>YC.ST.LL000148.01</t>
  </si>
  <si>
    <t>【T40/T20P】M25-HC00780040-040020-5108-N</t>
  </si>
  <si>
    <t>YC.ST.LL000226.01</t>
  </si>
  <si>
    <t>【T40/T20P】M30-HC01450080-100020-5103-Y</t>
  </si>
  <si>
    <t>YC.JG.ZS005016.03</t>
  </si>
  <si>
    <t>【T40/T20P】上正桨（U-CCW）（白）</t>
  </si>
  <si>
    <t>YC.JG.TT000095.03</t>
  </si>
  <si>
    <t>【T40/T20P】锁紧扣弹簧</t>
  </si>
  <si>
    <t>YC.JG.BJ001168.05</t>
  </si>
  <si>
    <t>【T40】脚架铝管</t>
  </si>
  <si>
    <t>YC.JG.ZS002432.02</t>
  </si>
  <si>
    <t>【T40/T20P】前壳下盖2</t>
  </si>
  <si>
    <t>BC.AG.SS000570.02</t>
  </si>
  <si>
    <t>M4机臂（右后）（光杆）</t>
  </si>
  <si>
    <t>YC.WJ.L00877.00</t>
  </si>
  <si>
    <t>【T40】M3防滑螺母</t>
  </si>
  <si>
    <t>YC.JG.ZS005017.04</t>
  </si>
  <si>
    <t>【T40/T20P】上反桨（U-CW）（白）</t>
  </si>
  <si>
    <t>BC.AG.SS000575.01</t>
  </si>
  <si>
    <t>【T40】锁紧扣手柄</t>
  </si>
  <si>
    <t>BC.AG.SS000617.02</t>
  </si>
  <si>
    <t>【T40/T20P】航电模块L</t>
  </si>
  <si>
    <t>YC.ST.LL000013.01</t>
  </si>
  <si>
    <t>【T40/T20P】M40-HC01400140-070039-0003-Y</t>
  </si>
  <si>
    <t>BC.AG.SS001026.01</t>
  </si>
  <si>
    <t>双目鱼眼视觉（含信号线）</t>
  </si>
  <si>
    <t>BC.AG.SS000554.01</t>
  </si>
  <si>
    <t>【T40/T20P】喷洒模块</t>
  </si>
  <si>
    <t>BC.AG.SS001138.01</t>
  </si>
  <si>
    <t>航电模块（海外）</t>
  </si>
  <si>
    <t>YC.JG.ZS003553.02</t>
  </si>
  <si>
    <t>【T25】反桨（CW）</t>
  </si>
  <si>
    <t>YC.JG.CS000017.08</t>
  </si>
  <si>
    <t>【T25】水箱（20L）</t>
  </si>
  <si>
    <t>YC.XC.DD000574.05</t>
  </si>
  <si>
    <t>【T25】M3&amp;M4机臂电调复合线</t>
  </si>
  <si>
    <t>YC.JG.JS000036.06</t>
  </si>
  <si>
    <t>【T25】机臂水管</t>
  </si>
  <si>
    <t>BC.AG.SS000835.01</t>
  </si>
  <si>
    <t>DB1560 智能飞行电池上盖组件</t>
  </si>
  <si>
    <t>BC.AG.SS000728.01</t>
  </si>
  <si>
    <t>DB800 智能飞行电池上盖组件</t>
  </si>
  <si>
    <t>BC.AG.SS000756.01</t>
  </si>
  <si>
    <t>【T40&amp;T20P遥控器】核心板组件</t>
  </si>
  <si>
    <t>BC.AG.SS001004.02</t>
  </si>
  <si>
    <t>前雷达模块</t>
  </si>
  <si>
    <t>BC.AG.SS000668.02</t>
  </si>
  <si>
    <t>【T50】10033动力电机</t>
  </si>
  <si>
    <t>YC.JG.ZS002291.09</t>
  </si>
  <si>
    <t>YC.WJ.L00871.02</t>
  </si>
  <si>
    <t>【T50/T25】螺丝 M30-HC100100-55-85</t>
  </si>
  <si>
    <t>YC.JG.MQ001292.03</t>
  </si>
  <si>
    <t>YC.ST.LL000017.01</t>
  </si>
  <si>
    <t>【T50/T25】螺丝 M30-HC02800070-055030-0003-Y</t>
  </si>
  <si>
    <t>YC.JG.QX002089.01</t>
  </si>
  <si>
    <t>【T50/T25】锁紧扣机臂转轴</t>
  </si>
  <si>
    <t>【T50/T25】M3防滑螺母</t>
  </si>
  <si>
    <t>YC.JG.LD000041.02</t>
  </si>
  <si>
    <t>【T50/T25】锁紧扣固定螺栓</t>
  </si>
  <si>
    <t>YC.JG.ZS003466.07</t>
  </si>
  <si>
    <t>【T50/T25】脚架固定件（左后）</t>
  </si>
  <si>
    <t>YC.JG.ZS003455.02</t>
  </si>
  <si>
    <t>【T50/T25】射频线卡</t>
  </si>
  <si>
    <t>YC.JG.ZS000984.04</t>
  </si>
  <si>
    <t>【T50/T25】流量计支架</t>
  </si>
  <si>
    <t>BC.AG.SS000705.01</t>
  </si>
  <si>
    <t>【T25】M4机臂（右后）</t>
  </si>
  <si>
    <t>YC.JG.ZS004019.02</t>
  </si>
  <si>
    <t>YC.JG.ZS002251.03</t>
  </si>
  <si>
    <t>【T50/T25】水箱盖</t>
  </si>
  <si>
    <t>YC.WJ.LL000213.02</t>
  </si>
  <si>
    <t>【T50/T25】M30-HT01930060-110025-5103-Y</t>
  </si>
  <si>
    <t>YC.JG.ZS003468.06</t>
  </si>
  <si>
    <t>【T50/T25】脚架三通</t>
  </si>
  <si>
    <t>YC.JG.ZS003459.04</t>
  </si>
  <si>
    <t>【T50/T25】离心甩盘上盘</t>
  </si>
  <si>
    <t>YC.JG.FM000092.03</t>
  </si>
  <si>
    <t>【T50/T25】离心喷头手拧螺母</t>
  </si>
  <si>
    <t>YC.WJ.L00870.02</t>
  </si>
  <si>
    <t>【T50/T25】螺丝 M30-HC060060-55-85</t>
  </si>
  <si>
    <t>YC.WJ.L01234.00</t>
  </si>
  <si>
    <t>【T50/T25】螺丝 M40-HC080080-68-85</t>
  </si>
  <si>
    <t>BC.AG.SS000673.01</t>
  </si>
  <si>
    <t>【T50】称重模块</t>
  </si>
  <si>
    <t>BC.AG.SS001021.02</t>
  </si>
  <si>
    <t>FPV模块</t>
  </si>
  <si>
    <t>YC.XC.XX000998.03</t>
  </si>
  <si>
    <t>【T25】互联油门线</t>
  </si>
  <si>
    <t>BC.AG.SS000695.02</t>
  </si>
  <si>
    <t>【T25】分电板模块</t>
  </si>
  <si>
    <t>BC.AG.SS000671.03</t>
  </si>
  <si>
    <t>【T50/T25】前视觉组件</t>
  </si>
  <si>
    <t>YC.DZ.BC000062.01</t>
  </si>
  <si>
    <t>T30/T10充电器电源模块</t>
  </si>
  <si>
    <t>BC.AG.SS000681.02</t>
  </si>
  <si>
    <t>【T50/T25】FPV模块</t>
  </si>
  <si>
    <t>BC.AG.SS000471.01</t>
  </si>
  <si>
    <t>【T50/T25】水箱液位计</t>
  </si>
  <si>
    <t>BC.AG.SS000706.01</t>
  </si>
  <si>
    <t>YC.JG.ZS003466.05</t>
  </si>
  <si>
    <t>YC.JG.ZS003464.04</t>
  </si>
  <si>
    <t>FQAO260303000002</t>
  </si>
  <si>
    <t>CAS-27608421-T2R3T3</t>
  </si>
  <si>
    <t>CAS-29487642-X3W6S3</t>
  </si>
  <si>
    <t>65VPM8PDA56DZE</t>
  </si>
  <si>
    <t>CAS-26484331-H7R9X9</t>
  </si>
  <si>
    <t>CAS-29621806-Y9N6B3</t>
  </si>
  <si>
    <t>65VPM7TDA56BA5</t>
  </si>
  <si>
    <t>CAS-26820396-R3M3Z9</t>
  </si>
  <si>
    <t>CAS-29651780-C1P7H6</t>
  </si>
  <si>
    <t>65VPM8MDA56D7B</t>
  </si>
  <si>
    <t>CAS-27193670-D3P0G7</t>
  </si>
  <si>
    <t>CAS-29708613-Y1W2Y8</t>
  </si>
  <si>
    <t>65VPM5LDA55H8V</t>
  </si>
  <si>
    <t>CAS-27607756-S7K6V3</t>
  </si>
  <si>
    <t>CAS-29825823-X2J4M1</t>
  </si>
  <si>
    <t>65VPM7TDA56BAD</t>
  </si>
  <si>
    <t>CAS-28563397-N4J8Y6</t>
  </si>
  <si>
    <t>CAS-29680405-M4J6V2</t>
  </si>
  <si>
    <t>CP.AG.00000784.02</t>
  </si>
  <si>
    <t>DB800 智能飞行电池</t>
  </si>
  <si>
    <t>65UPM94DA20DF9</t>
  </si>
  <si>
    <t>CAS-27058238-L4S2B0</t>
  </si>
  <si>
    <t>CAS-29681474-S3Q2Z9</t>
  </si>
  <si>
    <t>65UPM95DA20DP3</t>
  </si>
  <si>
    <t>CAS-27057903-C9Q3C5</t>
  </si>
  <si>
    <t>CAS-29682263-K5F3W0</t>
  </si>
  <si>
    <t>65UPM54DA10DJV</t>
  </si>
  <si>
    <t>CAS-26817790-H2C4D5</t>
  </si>
  <si>
    <t>CAS-29708753-H6Y8X4</t>
  </si>
  <si>
    <t>CP.AG.00000571.01</t>
  </si>
  <si>
    <t>T20P智能飞行电池</t>
  </si>
  <si>
    <t>57QPLCLDA100VN</t>
  </si>
  <si>
    <t>CAS-27739476-Q4X7B6</t>
  </si>
  <si>
    <t>CAS-29517569-X8H2R5</t>
  </si>
  <si>
    <t>CP.AG.00000570.01</t>
  </si>
  <si>
    <t>T40智能飞行电池</t>
  </si>
  <si>
    <t>57PPL59DA2002M</t>
  </si>
  <si>
    <t>CAS-27607886-N3W9Y9</t>
  </si>
  <si>
    <t>CAS-29548159-N3J7N3</t>
  </si>
  <si>
    <t>57PPL7QDA300EF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</si>
</sst>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7" formatCode="yyyy\-mm"/>
    <numFmt numFmtId="178" formatCode="0.00_);[Red]\(0.00\)"/>
    <numFmt numFmtId="179" formatCode="0_);\(0\)"/>
  </numFmts>
  <fonts count="27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rgb="FFFFFF00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1"/>
      <color indexed="8"/>
      <name val="等线"/>
      <family val="3"/>
      <charset val="134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0"/>
      <name val="微软雅黑"/>
      <family val="2"/>
      <charset val="134"/>
    </font>
    <font>
      <b/>
      <sz val="11"/>
      <color theme="0"/>
      <name val="黑体"/>
      <family val="3"/>
      <charset val="134"/>
    </font>
    <font>
      <b/>
      <sz val="11"/>
      <color rgb="FFFFFFFF"/>
      <name val="Arial"/>
      <family val="2"/>
    </font>
    <font>
      <b/>
      <sz val="11"/>
      <color rgb="FFFFFFFF"/>
      <name val="微软雅黑"/>
      <family val="2"/>
      <charset val="134"/>
    </font>
    <font>
      <b/>
      <sz val="11"/>
      <color rgb="FFFF0000"/>
      <name val="Arial"/>
      <family val="2"/>
    </font>
    <font>
      <b/>
      <sz val="11"/>
      <color rgb="FFFF0000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b/>
      <sz val="11"/>
      <color theme="0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7F7F7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59">
    <xf numFmtId="0" fontId="0" fillId="0" borderId="0" xfId="0"/>
    <xf numFmtId="0" fontId="6" fillId="0" borderId="1" xfId="0" applyNumberFormat="1" applyFont="1" applyFill="1" applyBorder="1" applyAlignment="1" applyProtection="1">
      <alignment horizontal="center" vertical="center"/>
    </xf>
    <xf numFmtId="0" fontId="1" fillId="0" borderId="0" xfId="1" applyAlignment="1">
      <alignment vertical="center"/>
    </xf>
    <xf numFmtId="0" fontId="5" fillId="5" borderId="1" xfId="1" applyFont="1" applyFill="1" applyBorder="1" applyAlignment="1">
      <alignment horizontal="right" vertical="center"/>
    </xf>
    <xf numFmtId="0" fontId="11" fillId="0" borderId="1" xfId="0" applyNumberFormat="1" applyFont="1" applyBorder="1" applyAlignment="1">
      <alignment vertical="center"/>
    </xf>
    <xf numFmtId="0" fontId="12" fillId="5" borderId="2" xfId="1" applyFont="1" applyFill="1" applyBorder="1" applyAlignment="1">
      <alignment horizontal="center" vertical="center"/>
    </xf>
    <xf numFmtId="0" fontId="11" fillId="5" borderId="2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11" fillId="0" borderId="9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4" fontId="7" fillId="0" borderId="1" xfId="1" applyNumberFormat="1" applyFont="1" applyFill="1" applyBorder="1">
      <alignment vertical="center"/>
    </xf>
    <xf numFmtId="0" fontId="11" fillId="0" borderId="2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4" fontId="4" fillId="0" borderId="1" xfId="1" applyNumberFormat="1" applyFont="1" applyFill="1" applyBorder="1">
      <alignment vertical="center"/>
    </xf>
    <xf numFmtId="4" fontId="5" fillId="0" borderId="7" xfId="1" applyNumberFormat="1" applyFont="1" applyFill="1" applyBorder="1">
      <alignment vertical="center"/>
    </xf>
    <xf numFmtId="0" fontId="13" fillId="6" borderId="1" xfId="0" applyNumberFormat="1" applyFont="1" applyFill="1" applyBorder="1" applyAlignment="1" applyProtection="1">
      <alignment horizontal="center" vertical="center"/>
    </xf>
    <xf numFmtId="0" fontId="13" fillId="0" borderId="1" xfId="0" applyNumberFormat="1" applyFont="1" applyFill="1" applyBorder="1" applyAlignment="1" applyProtection="1">
      <alignment horizontal="center" vertical="center"/>
    </xf>
    <xf numFmtId="0" fontId="14" fillId="7" borderId="1" xfId="0" applyNumberFormat="1" applyFont="1" applyFill="1" applyBorder="1" applyAlignment="1" applyProtection="1">
      <alignment vertical="center"/>
    </xf>
    <xf numFmtId="4" fontId="6" fillId="0" borderId="1" xfId="0" applyNumberFormat="1" applyFont="1" applyFill="1" applyBorder="1" applyAlignment="1" applyProtection="1">
      <alignment vertical="center"/>
    </xf>
    <xf numFmtId="0" fontId="15" fillId="0" borderId="1" xfId="0" applyNumberFormat="1" applyFont="1" applyFill="1" applyBorder="1" applyAlignment="1" applyProtection="1">
      <alignment vertical="center"/>
    </xf>
    <xf numFmtId="0" fontId="15" fillId="0" borderId="0" xfId="0" applyNumberFormat="1" applyFont="1" applyFill="1" applyBorder="1" applyAlignment="1" applyProtection="1">
      <alignment vertical="center"/>
    </xf>
    <xf numFmtId="4" fontId="13" fillId="0" borderId="1" xfId="0" applyNumberFormat="1" applyFont="1" applyFill="1" applyBorder="1" applyAlignment="1" applyProtection="1">
      <alignment vertical="center"/>
    </xf>
    <xf numFmtId="0" fontId="16" fillId="0" borderId="0" xfId="0" applyFont="1"/>
    <xf numFmtId="0" fontId="16" fillId="2" borderId="0" xfId="0" applyFont="1" applyFill="1"/>
    <xf numFmtId="0" fontId="16" fillId="0" borderId="0" xfId="0" applyNumberFormat="1" applyFont="1"/>
    <xf numFmtId="0" fontId="0" fillId="0" borderId="0" xfId="0" applyNumberFormat="1"/>
    <xf numFmtId="0" fontId="17" fillId="0" borderId="0" xfId="0" applyFont="1"/>
    <xf numFmtId="0" fontId="18" fillId="8" borderId="0" xfId="0" applyNumberFormat="1" applyFont="1" applyFill="1" applyBorder="1" applyAlignment="1">
      <alignment horizontal="center" vertical="center" wrapText="1"/>
    </xf>
    <xf numFmtId="0" fontId="18" fillId="2" borderId="0" xfId="0" applyNumberFormat="1" applyFont="1" applyFill="1" applyBorder="1" applyAlignment="1">
      <alignment horizontal="center" vertical="center" wrapText="1"/>
    </xf>
    <xf numFmtId="177" fontId="16" fillId="0" borderId="0" xfId="0" applyNumberFormat="1" applyFont="1"/>
    <xf numFmtId="0" fontId="3" fillId="0" borderId="0" xfId="0" applyFont="1"/>
    <xf numFmtId="0" fontId="21" fillId="9" borderId="0" xfId="0" applyFont="1" applyFill="1" applyBorder="1" applyAlignment="1">
      <alignment horizontal="center" vertical="center" wrapText="1"/>
    </xf>
    <xf numFmtId="178" fontId="21" fillId="9" borderId="0" xfId="0" applyNumberFormat="1" applyFont="1" applyFill="1" applyBorder="1" applyAlignment="1">
      <alignment horizontal="right" vertical="center" wrapText="1"/>
    </xf>
    <xf numFmtId="0" fontId="21" fillId="10" borderId="0" xfId="0" applyFont="1" applyFill="1" applyBorder="1" applyAlignment="1">
      <alignment horizontal="center" vertical="center" wrapText="1"/>
    </xf>
    <xf numFmtId="0" fontId="23" fillId="9" borderId="0" xfId="0" applyFont="1" applyFill="1" applyBorder="1" applyAlignment="1">
      <alignment horizontal="center" vertical="center" wrapText="1"/>
    </xf>
    <xf numFmtId="179" fontId="21" fillId="10" borderId="0" xfId="0" applyNumberFormat="1" applyFont="1" applyFill="1" applyBorder="1" applyAlignment="1">
      <alignment horizontal="center" vertical="center" wrapText="1"/>
    </xf>
    <xf numFmtId="14" fontId="21" fillId="10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78" fontId="25" fillId="0" borderId="0" xfId="0" applyNumberFormat="1" applyFont="1" applyAlignment="1">
      <alignment horizontal="right" vertical="center"/>
    </xf>
    <xf numFmtId="14" fontId="0" fillId="0" borderId="0" xfId="0" applyNumberFormat="1"/>
    <xf numFmtId="0" fontId="5" fillId="5" borderId="6" xfId="1" applyFont="1" applyFill="1" applyBorder="1" applyAlignment="1">
      <alignment horizontal="center" vertical="center"/>
    </xf>
    <xf numFmtId="0" fontId="5" fillId="5" borderId="8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13" fillId="6" borderId="6" xfId="0" applyNumberFormat="1" applyFont="1" applyFill="1" applyBorder="1" applyAlignment="1" applyProtection="1">
      <alignment horizontal="center" vertical="center"/>
    </xf>
    <xf numFmtId="0" fontId="13" fillId="6" borderId="8" xfId="0" applyNumberFormat="1" applyFont="1" applyFill="1" applyBorder="1" applyAlignment="1" applyProtection="1">
      <alignment horizontal="center" vertical="center"/>
    </xf>
    <xf numFmtId="0" fontId="13" fillId="6" borderId="7" xfId="0" applyNumberFormat="1" applyFont="1" applyFill="1" applyBorder="1" applyAlignment="1" applyProtection="1">
      <alignment horizontal="center" vertical="center"/>
    </xf>
    <xf numFmtId="0" fontId="8" fillId="4" borderId="3" xfId="1" applyFont="1" applyFill="1" applyBorder="1" applyAlignment="1">
      <alignment horizontal="center" vertical="center" wrapText="1"/>
    </xf>
    <xf numFmtId="0" fontId="8" fillId="4" borderId="4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10" fillId="0" borderId="6" xfId="1" applyFont="1" applyBorder="1" applyAlignment="1">
      <alignment horizontal="left" vertical="center"/>
    </xf>
    <xf numFmtId="0" fontId="10" fillId="0" borderId="7" xfId="1" applyFont="1" applyBorder="1" applyAlignment="1">
      <alignment horizontal="left" vertical="center"/>
    </xf>
    <xf numFmtId="0" fontId="11" fillId="5" borderId="6" xfId="1" applyFont="1" applyFill="1" applyBorder="1" applyAlignment="1">
      <alignment horizontal="center" vertical="center"/>
    </xf>
    <xf numFmtId="0" fontId="11" fillId="5" borderId="8" xfId="1" applyFont="1" applyFill="1" applyBorder="1" applyAlignment="1">
      <alignment horizontal="center" vertical="center"/>
    </xf>
    <xf numFmtId="0" fontId="11" fillId="5" borderId="7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 wrapText="1"/>
    </xf>
    <xf numFmtId="0" fontId="5" fillId="5" borderId="8" xfId="1" applyFont="1" applyFill="1" applyBorder="1" applyAlignment="1">
      <alignment horizontal="center" vertical="center" wrapText="1"/>
    </xf>
    <xf numFmtId="0" fontId="5" fillId="5" borderId="7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</cellXfs>
  <cellStyles count="3">
    <cellStyle name="常规" xfId="0" builtinId="0"/>
    <cellStyle name="常规 3 2 2 2" xfId="1" xr:uid="{A0166EA1-1F57-4575-9BAC-31EA63EDA5C3}"/>
    <cellStyle name="常规 4 2 2" xfId="2" xr:uid="{F92551F6-2C5D-40CB-B07C-64FAB792B3EC}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7C300-8B88-40AC-B419-BDCFC5BF1C3A}">
  <sheetPr codeName="Sheet4"/>
  <dimension ref="B1:F17"/>
  <sheetViews>
    <sheetView showGridLines="0" tabSelected="1" zoomScale="85" zoomScaleNormal="85" workbookViewId="0"/>
  </sheetViews>
  <sheetFormatPr defaultColWidth="9" defaultRowHeight="14.25" x14ac:dyDescent="0.2"/>
  <cols>
    <col min="1" max="1" width="3.375" style="2" customWidth="1"/>
    <col min="2" max="2" width="20.375" style="2" customWidth="1"/>
    <col min="3" max="3" width="8.875" style="2" customWidth="1"/>
    <col min="4" max="4" width="32.875" style="2" customWidth="1"/>
    <col min="5" max="5" width="16.875" style="2" customWidth="1"/>
    <col min="6" max="6" width="54.375" style="2" customWidth="1"/>
    <col min="7" max="7" width="17.75" style="2" customWidth="1"/>
    <col min="8" max="16384" width="9" style="2"/>
  </cols>
  <sheetData>
    <row r="1" spans="2:6" ht="13.5" customHeight="1" x14ac:dyDescent="0.2"/>
    <row r="2" spans="2:6" ht="46.5" customHeight="1" x14ac:dyDescent="0.2">
      <c r="B2" s="47" t="s">
        <v>2</v>
      </c>
      <c r="C2" s="48"/>
      <c r="D2" s="48"/>
      <c r="E2" s="48"/>
      <c r="F2" s="49"/>
    </row>
    <row r="3" spans="2:6" ht="18.75" customHeight="1" x14ac:dyDescent="0.2">
      <c r="B3" s="3" t="s">
        <v>3</v>
      </c>
      <c r="C3" s="50" t="s">
        <v>92</v>
      </c>
      <c r="D3" s="51"/>
      <c r="E3" s="3" t="s">
        <v>4</v>
      </c>
      <c r="F3" s="4" t="s">
        <v>94</v>
      </c>
    </row>
    <row r="4" spans="2:6" ht="18" x14ac:dyDescent="0.2">
      <c r="B4" s="52" t="s">
        <v>5</v>
      </c>
      <c r="C4" s="53"/>
      <c r="D4" s="54"/>
      <c r="E4" s="5" t="s">
        <v>6</v>
      </c>
      <c r="F4" s="6" t="s">
        <v>7</v>
      </c>
    </row>
    <row r="5" spans="2:6" ht="16.899999999999999" customHeight="1" x14ac:dyDescent="0.2">
      <c r="B5" s="7" t="s">
        <v>8</v>
      </c>
      <c r="C5" s="8">
        <v>1</v>
      </c>
      <c r="D5" s="9" t="s">
        <v>9</v>
      </c>
      <c r="E5" s="10">
        <f>SUMIF('Accessories discount'!C:C,F3,'Accessories discount'!M:M)</f>
        <v>0</v>
      </c>
      <c r="F5" s="11"/>
    </row>
    <row r="6" spans="2:6" ht="16.899999999999999" customHeight="1" x14ac:dyDescent="0.2">
      <c r="B6" s="55" t="s">
        <v>10</v>
      </c>
      <c r="C6" s="56"/>
      <c r="D6" s="57"/>
      <c r="E6" s="10">
        <f>E5</f>
        <v>0</v>
      </c>
      <c r="F6" s="12"/>
    </row>
    <row r="7" spans="2:6" ht="16.899999999999999" customHeight="1" x14ac:dyDescent="0.2">
      <c r="B7" s="58" t="s">
        <v>11</v>
      </c>
      <c r="C7" s="13">
        <v>1</v>
      </c>
      <c r="D7" s="9" t="s">
        <v>12</v>
      </c>
      <c r="E7" s="10">
        <f>SUMIF('spare parts fee'!C:C,'monthly bill'!F3,'spare parts fee'!M:M)</f>
        <v>21761.550000000003</v>
      </c>
      <c r="F7" s="12"/>
    </row>
    <row r="8" spans="2:6" ht="16.899999999999999" customHeight="1" x14ac:dyDescent="0.2">
      <c r="B8" s="58"/>
      <c r="C8" s="13">
        <v>2</v>
      </c>
      <c r="D8" s="9" t="s">
        <v>13</v>
      </c>
      <c r="E8" s="14">
        <f>SUMIF('service fee'!C:C,'monthly bill'!F3,'service fee'!M:M)</f>
        <v>679</v>
      </c>
      <c r="F8" s="12"/>
    </row>
    <row r="9" spans="2:6" ht="16.899999999999999" customHeight="1" x14ac:dyDescent="0.2">
      <c r="B9" s="58"/>
      <c r="C9" s="13">
        <v>3</v>
      </c>
      <c r="D9" s="9" t="s">
        <v>14</v>
      </c>
      <c r="E9" s="14">
        <f>SUMIF('tariff compensation'!C:C,'monthly bill'!F3,'tariff compensation'!M:M)</f>
        <v>10227.960000000001</v>
      </c>
      <c r="F9" s="12"/>
    </row>
    <row r="10" spans="2:6" ht="16.899999999999999" customHeight="1" x14ac:dyDescent="0.2">
      <c r="B10" s="58"/>
      <c r="C10" s="13">
        <v>4</v>
      </c>
      <c r="D10" s="9" t="s">
        <v>15</v>
      </c>
      <c r="E10" s="14">
        <f>SUMIF('service red-line deduction'!C:C,'monthly bill'!F3,'service red-line deduction'!M:M)</f>
        <v>0</v>
      </c>
      <c r="F10" s="12"/>
    </row>
    <row r="11" spans="2:6" ht="16.899999999999999" customHeight="1" x14ac:dyDescent="0.2">
      <c r="B11" s="58"/>
      <c r="C11" s="13">
        <v>5</v>
      </c>
      <c r="D11" s="9" t="s">
        <v>16</v>
      </c>
      <c r="E11" s="14">
        <f>SUMIF('bad parts deduction'!C:C,'monthly bill'!F3,'bad parts deduction'!M:M)</f>
        <v>0</v>
      </c>
      <c r="F11" s="12"/>
    </row>
    <row r="12" spans="2:6" ht="16.899999999999999" customHeight="1" x14ac:dyDescent="0.2">
      <c r="B12" s="58"/>
      <c r="C12" s="13">
        <v>6</v>
      </c>
      <c r="D12" s="9" t="s">
        <v>17</v>
      </c>
      <c r="E12" s="14">
        <f>SUMIF('other compensation'!C:C,'monthly bill'!F3,'other compensation'!M:M)</f>
        <v>0</v>
      </c>
      <c r="F12" s="12"/>
    </row>
    <row r="13" spans="2:6" ht="16.899999999999999" customHeight="1" x14ac:dyDescent="0.2">
      <c r="B13" s="58"/>
      <c r="C13" s="13">
        <v>7</v>
      </c>
      <c r="D13" s="9" t="s">
        <v>18</v>
      </c>
      <c r="E13" s="14">
        <f>SUMIF('DOA to CM'!J:J,'monthly bill'!F3,'DOA to CM'!B:B)</f>
        <v>10231</v>
      </c>
      <c r="F13" s="12"/>
    </row>
    <row r="14" spans="2:6" ht="16.899999999999999" customHeight="1" x14ac:dyDescent="0.2">
      <c r="B14" s="55" t="s">
        <v>19</v>
      </c>
      <c r="C14" s="56"/>
      <c r="D14" s="57"/>
      <c r="E14" s="14">
        <f>E7+E8+E10+E11+E12+E13+E9</f>
        <v>42899.51</v>
      </c>
      <c r="F14" s="12"/>
    </row>
    <row r="15" spans="2:6" ht="16.5" x14ac:dyDescent="0.2">
      <c r="B15" s="41" t="s">
        <v>20</v>
      </c>
      <c r="C15" s="42"/>
      <c r="D15" s="43"/>
      <c r="E15" s="15">
        <f>E14+E6</f>
        <v>42899.51</v>
      </c>
      <c r="F15" s="12" t="s">
        <v>21</v>
      </c>
    </row>
    <row r="16" spans="2:6" s="21" customFormat="1" ht="16.5" x14ac:dyDescent="0.2">
      <c r="B16" s="16" t="s">
        <v>22</v>
      </c>
      <c r="C16" s="17">
        <v>1</v>
      </c>
      <c r="D16" s="18" t="s">
        <v>23</v>
      </c>
      <c r="E16" s="19">
        <f>SUMIF('pre-payment balance'!D:D,F3,'pre-payment balance'!K:K)</f>
        <v>0</v>
      </c>
      <c r="F16" s="20"/>
    </row>
    <row r="17" spans="2:6" s="21" customFormat="1" ht="16.5" x14ac:dyDescent="0.2">
      <c r="B17" s="44" t="s">
        <v>24</v>
      </c>
      <c r="C17" s="45"/>
      <c r="D17" s="46"/>
      <c r="E17" s="22">
        <f>E16</f>
        <v>0</v>
      </c>
      <c r="F17" s="1" t="s">
        <v>25</v>
      </c>
    </row>
  </sheetData>
  <mergeCells count="8">
    <mergeCell ref="B15:D15"/>
    <mergeCell ref="B17:D17"/>
    <mergeCell ref="B2:F2"/>
    <mergeCell ref="C3:D3"/>
    <mergeCell ref="B4:D4"/>
    <mergeCell ref="B6:D6"/>
    <mergeCell ref="B7:B13"/>
    <mergeCell ref="B14:D14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152EB-9334-40B2-9A7E-7D922633B140}">
  <sheetPr codeName="Sheet5"/>
  <dimension ref="A1:Q3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5.5" customWidth="1"/>
    <col min="2" max="2" width="17" customWidth="1"/>
    <col min="3" max="3" width="25" customWidth="1"/>
    <col min="4" max="4" width="22.625" customWidth="1"/>
    <col min="5" max="5" width="14.75" customWidth="1"/>
    <col min="6" max="6" width="12.5" customWidth="1"/>
    <col min="7" max="7" width="16.25" customWidth="1"/>
    <col min="8" max="10" width="12.5" customWidth="1"/>
    <col min="11" max="11" width="8.375" customWidth="1"/>
    <col min="12" max="12" width="13.5" customWidth="1"/>
    <col min="13" max="13" width="10.75" customWidth="1"/>
    <col min="14" max="14" width="10.5" customWidth="1"/>
    <col min="15" max="15" width="12.5" customWidth="1"/>
    <col min="16" max="16" width="25.875" customWidth="1"/>
    <col min="17" max="17" width="9" style="26"/>
  </cols>
  <sheetData>
    <row r="1" spans="1:17" ht="15" x14ac:dyDescent="0.2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36</v>
      </c>
      <c r="N1" s="23" t="s">
        <v>37</v>
      </c>
      <c r="O1" s="23" t="s">
        <v>38</v>
      </c>
      <c r="P1" s="23" t="s">
        <v>7</v>
      </c>
      <c r="Q1" s="25" t="s">
        <v>39</v>
      </c>
    </row>
    <row r="3" spans="1:17" x14ac:dyDescent="0.2">
      <c r="A3" t="s">
        <v>95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728D7-02CE-444E-9035-938E9C8203F0}">
  <sheetPr codeName="Sheet6"/>
  <dimension ref="A1:Q65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7.375" customWidth="1"/>
    <col min="2" max="2" width="17.75" customWidth="1"/>
    <col min="3" max="3" width="15.75" customWidth="1"/>
    <col min="4" max="4" width="17.75" customWidth="1"/>
    <col min="5" max="5" width="17.875" customWidth="1"/>
    <col min="6" max="6" width="16.125" customWidth="1"/>
    <col min="7" max="7" width="20.875" customWidth="1"/>
    <col min="8" max="8" width="21.25" customWidth="1"/>
    <col min="9" max="9" width="15.5" customWidth="1"/>
    <col min="12" max="12" width="16.625" customWidth="1"/>
    <col min="13" max="13" width="15.375" customWidth="1"/>
    <col min="14" max="14" width="9.5" customWidth="1"/>
    <col min="16" max="16" width="9" customWidth="1"/>
    <col min="17" max="17" width="7.875" customWidth="1"/>
  </cols>
  <sheetData>
    <row r="1" spans="1:17" ht="15" x14ac:dyDescent="0.2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36</v>
      </c>
      <c r="N1" s="23" t="s">
        <v>37</v>
      </c>
      <c r="O1" s="23" t="s">
        <v>38</v>
      </c>
      <c r="P1" s="23" t="s">
        <v>7</v>
      </c>
      <c r="Q1" s="25" t="s">
        <v>39</v>
      </c>
    </row>
    <row r="2" spans="1:17" x14ac:dyDescent="0.2">
      <c r="C2" t="s">
        <v>93</v>
      </c>
      <c r="D2" t="s">
        <v>92</v>
      </c>
      <c r="E2" t="s">
        <v>96</v>
      </c>
      <c r="F2" t="s">
        <v>44</v>
      </c>
      <c r="G2" t="s">
        <v>97</v>
      </c>
      <c r="H2" t="s">
        <v>45</v>
      </c>
      <c r="I2" t="s">
        <v>41</v>
      </c>
      <c r="J2" t="s">
        <v>46</v>
      </c>
      <c r="K2" t="s">
        <v>43</v>
      </c>
      <c r="L2">
        <v>104.16</v>
      </c>
      <c r="M2">
        <v>104.16</v>
      </c>
      <c r="Q2">
        <v>202601</v>
      </c>
    </row>
    <row r="3" spans="1:17" x14ac:dyDescent="0.2">
      <c r="C3" t="s">
        <v>93</v>
      </c>
      <c r="D3" t="s">
        <v>92</v>
      </c>
      <c r="E3" t="s">
        <v>96</v>
      </c>
      <c r="F3" t="s">
        <v>44</v>
      </c>
      <c r="G3" t="s">
        <v>98</v>
      </c>
      <c r="H3" t="s">
        <v>45</v>
      </c>
      <c r="I3" t="s">
        <v>41</v>
      </c>
      <c r="J3" t="s">
        <v>46</v>
      </c>
      <c r="K3" t="s">
        <v>43</v>
      </c>
      <c r="L3">
        <v>432</v>
      </c>
      <c r="M3">
        <v>432</v>
      </c>
      <c r="Q3">
        <v>202601</v>
      </c>
    </row>
    <row r="4" spans="1:17" x14ac:dyDescent="0.2">
      <c r="C4" t="s">
        <v>93</v>
      </c>
      <c r="D4" t="s">
        <v>92</v>
      </c>
      <c r="E4" t="s">
        <v>99</v>
      </c>
      <c r="F4" t="s">
        <v>44</v>
      </c>
      <c r="G4" t="s">
        <v>100</v>
      </c>
      <c r="H4" t="s">
        <v>45</v>
      </c>
      <c r="I4" t="s">
        <v>41</v>
      </c>
      <c r="J4" t="s">
        <v>46</v>
      </c>
      <c r="K4" t="s">
        <v>43</v>
      </c>
      <c r="L4">
        <v>501</v>
      </c>
      <c r="M4">
        <v>501</v>
      </c>
      <c r="Q4">
        <v>202601</v>
      </c>
    </row>
    <row r="5" spans="1:17" x14ac:dyDescent="0.2">
      <c r="C5" t="s">
        <v>93</v>
      </c>
      <c r="D5" t="s">
        <v>92</v>
      </c>
      <c r="E5" t="s">
        <v>101</v>
      </c>
      <c r="F5" t="s">
        <v>44</v>
      </c>
      <c r="G5" t="s">
        <v>102</v>
      </c>
      <c r="H5" t="s">
        <v>45</v>
      </c>
      <c r="I5" t="s">
        <v>41</v>
      </c>
      <c r="J5" t="s">
        <v>46</v>
      </c>
      <c r="K5" t="s">
        <v>43</v>
      </c>
      <c r="L5">
        <v>1071</v>
      </c>
      <c r="M5">
        <v>1071</v>
      </c>
      <c r="Q5">
        <v>202601</v>
      </c>
    </row>
    <row r="6" spans="1:17" x14ac:dyDescent="0.2">
      <c r="C6" t="s">
        <v>93</v>
      </c>
      <c r="D6" t="s">
        <v>92</v>
      </c>
      <c r="E6" t="s">
        <v>103</v>
      </c>
      <c r="F6" t="s">
        <v>44</v>
      </c>
      <c r="G6" t="s">
        <v>104</v>
      </c>
      <c r="H6" t="s">
        <v>45</v>
      </c>
      <c r="I6" t="s">
        <v>41</v>
      </c>
      <c r="J6" t="s">
        <v>46</v>
      </c>
      <c r="K6" t="s">
        <v>43</v>
      </c>
      <c r="L6">
        <v>283.12</v>
      </c>
      <c r="M6">
        <v>283.12</v>
      </c>
      <c r="Q6">
        <v>202601</v>
      </c>
    </row>
    <row r="7" spans="1:17" x14ac:dyDescent="0.2">
      <c r="C7" t="s">
        <v>93</v>
      </c>
      <c r="D7" t="s">
        <v>92</v>
      </c>
      <c r="E7" t="s">
        <v>105</v>
      </c>
      <c r="F7" t="s">
        <v>44</v>
      </c>
      <c r="G7" t="s">
        <v>106</v>
      </c>
      <c r="H7" t="s">
        <v>45</v>
      </c>
      <c r="I7" t="s">
        <v>41</v>
      </c>
      <c r="J7" t="s">
        <v>46</v>
      </c>
      <c r="K7" t="s">
        <v>43</v>
      </c>
      <c r="L7">
        <v>432</v>
      </c>
      <c r="M7">
        <v>432</v>
      </c>
      <c r="Q7">
        <v>202601</v>
      </c>
    </row>
    <row r="8" spans="1:17" x14ac:dyDescent="0.2">
      <c r="C8" t="s">
        <v>93</v>
      </c>
      <c r="D8" t="s">
        <v>92</v>
      </c>
      <c r="E8" t="s">
        <v>107</v>
      </c>
      <c r="F8" t="s">
        <v>44</v>
      </c>
      <c r="G8" t="s">
        <v>108</v>
      </c>
      <c r="H8" t="s">
        <v>45</v>
      </c>
      <c r="I8" t="s">
        <v>41</v>
      </c>
      <c r="J8" t="s">
        <v>46</v>
      </c>
      <c r="K8" t="s">
        <v>43</v>
      </c>
      <c r="L8">
        <v>714</v>
      </c>
      <c r="M8">
        <v>714</v>
      </c>
      <c r="Q8">
        <v>202601</v>
      </c>
    </row>
    <row r="9" spans="1:17" x14ac:dyDescent="0.2">
      <c r="C9" t="s">
        <v>93</v>
      </c>
      <c r="D9" t="s">
        <v>92</v>
      </c>
      <c r="E9" t="s">
        <v>107</v>
      </c>
      <c r="F9" t="s">
        <v>44</v>
      </c>
      <c r="G9" t="s">
        <v>109</v>
      </c>
      <c r="H9" t="s">
        <v>45</v>
      </c>
      <c r="I9" t="s">
        <v>41</v>
      </c>
      <c r="J9" t="s">
        <v>46</v>
      </c>
      <c r="K9" t="s">
        <v>43</v>
      </c>
      <c r="L9">
        <v>195</v>
      </c>
      <c r="M9">
        <v>195</v>
      </c>
      <c r="Q9">
        <v>202601</v>
      </c>
    </row>
    <row r="10" spans="1:17" x14ac:dyDescent="0.2">
      <c r="C10" t="s">
        <v>93</v>
      </c>
      <c r="D10" t="s">
        <v>92</v>
      </c>
      <c r="E10" t="s">
        <v>107</v>
      </c>
      <c r="F10" t="s">
        <v>44</v>
      </c>
      <c r="G10" t="s">
        <v>110</v>
      </c>
      <c r="H10" t="s">
        <v>45</v>
      </c>
      <c r="I10" t="s">
        <v>41</v>
      </c>
      <c r="J10" t="s">
        <v>46</v>
      </c>
      <c r="K10" t="s">
        <v>43</v>
      </c>
      <c r="L10">
        <v>570</v>
      </c>
      <c r="M10">
        <v>570</v>
      </c>
      <c r="Q10">
        <v>202601</v>
      </c>
    </row>
    <row r="11" spans="1:17" x14ac:dyDescent="0.2">
      <c r="C11" t="s">
        <v>93</v>
      </c>
      <c r="D11" t="s">
        <v>92</v>
      </c>
      <c r="E11" t="s">
        <v>107</v>
      </c>
      <c r="F11" t="s">
        <v>44</v>
      </c>
      <c r="G11" t="s">
        <v>111</v>
      </c>
      <c r="H11" t="s">
        <v>45</v>
      </c>
      <c r="I11" t="s">
        <v>41</v>
      </c>
      <c r="J11" t="s">
        <v>46</v>
      </c>
      <c r="K11" t="s">
        <v>43</v>
      </c>
      <c r="L11">
        <v>501</v>
      </c>
      <c r="M11">
        <v>501</v>
      </c>
      <c r="Q11">
        <v>202601</v>
      </c>
    </row>
    <row r="12" spans="1:17" x14ac:dyDescent="0.2">
      <c r="C12" t="s">
        <v>93</v>
      </c>
      <c r="D12" t="s">
        <v>92</v>
      </c>
      <c r="E12" t="s">
        <v>107</v>
      </c>
      <c r="F12" t="s">
        <v>44</v>
      </c>
      <c r="G12" t="s">
        <v>112</v>
      </c>
      <c r="H12" t="s">
        <v>45</v>
      </c>
      <c r="I12" t="s">
        <v>41</v>
      </c>
      <c r="J12" t="s">
        <v>46</v>
      </c>
      <c r="K12" t="s">
        <v>43</v>
      </c>
      <c r="L12">
        <v>579</v>
      </c>
      <c r="M12">
        <v>579</v>
      </c>
      <c r="Q12">
        <v>202601</v>
      </c>
    </row>
    <row r="13" spans="1:17" x14ac:dyDescent="0.2">
      <c r="C13" t="s">
        <v>93</v>
      </c>
      <c r="D13" t="s">
        <v>92</v>
      </c>
      <c r="E13" t="s">
        <v>113</v>
      </c>
      <c r="F13" t="s">
        <v>44</v>
      </c>
      <c r="G13" t="s">
        <v>114</v>
      </c>
      <c r="H13" t="s">
        <v>45</v>
      </c>
      <c r="I13" t="s">
        <v>41</v>
      </c>
      <c r="J13" t="s">
        <v>46</v>
      </c>
      <c r="K13" t="s">
        <v>43</v>
      </c>
      <c r="L13">
        <v>85.59</v>
      </c>
      <c r="M13">
        <v>85.59</v>
      </c>
      <c r="Q13">
        <v>202601</v>
      </c>
    </row>
    <row r="14" spans="1:17" x14ac:dyDescent="0.2">
      <c r="C14" t="s">
        <v>93</v>
      </c>
      <c r="D14" t="s">
        <v>92</v>
      </c>
      <c r="E14" t="s">
        <v>92</v>
      </c>
      <c r="F14" t="s">
        <v>44</v>
      </c>
      <c r="G14" t="s">
        <v>115</v>
      </c>
      <c r="H14" t="s">
        <v>45</v>
      </c>
      <c r="I14" t="s">
        <v>41</v>
      </c>
      <c r="J14" t="s">
        <v>46</v>
      </c>
      <c r="K14" t="s">
        <v>43</v>
      </c>
      <c r="L14">
        <v>1242.23</v>
      </c>
      <c r="M14">
        <v>1242.23</v>
      </c>
      <c r="Q14">
        <v>202601</v>
      </c>
    </row>
    <row r="15" spans="1:17" x14ac:dyDescent="0.2">
      <c r="C15" t="s">
        <v>93</v>
      </c>
      <c r="D15" t="s">
        <v>92</v>
      </c>
      <c r="E15" t="s">
        <v>92</v>
      </c>
      <c r="F15" t="s">
        <v>44</v>
      </c>
      <c r="G15" t="s">
        <v>116</v>
      </c>
      <c r="H15" t="s">
        <v>45</v>
      </c>
      <c r="I15" t="s">
        <v>41</v>
      </c>
      <c r="J15" t="s">
        <v>46</v>
      </c>
      <c r="K15" t="s">
        <v>43</v>
      </c>
      <c r="L15">
        <v>432</v>
      </c>
      <c r="M15">
        <v>432</v>
      </c>
      <c r="Q15">
        <v>202601</v>
      </c>
    </row>
    <row r="16" spans="1:17" x14ac:dyDescent="0.2">
      <c r="C16" t="s">
        <v>93</v>
      </c>
      <c r="D16" t="s">
        <v>92</v>
      </c>
      <c r="E16" t="s">
        <v>92</v>
      </c>
      <c r="F16" t="s">
        <v>44</v>
      </c>
      <c r="G16" t="s">
        <v>117</v>
      </c>
      <c r="H16" t="s">
        <v>45</v>
      </c>
      <c r="I16" t="s">
        <v>41</v>
      </c>
      <c r="J16" t="s">
        <v>46</v>
      </c>
      <c r="K16" t="s">
        <v>43</v>
      </c>
      <c r="L16">
        <v>224</v>
      </c>
      <c r="M16">
        <v>224</v>
      </c>
      <c r="Q16">
        <v>202601</v>
      </c>
    </row>
    <row r="17" spans="3:17" x14ac:dyDescent="0.2">
      <c r="C17" t="s">
        <v>93</v>
      </c>
      <c r="D17" t="s">
        <v>92</v>
      </c>
      <c r="E17" t="s">
        <v>92</v>
      </c>
      <c r="F17" t="s">
        <v>44</v>
      </c>
      <c r="G17" t="s">
        <v>118</v>
      </c>
      <c r="H17" t="s">
        <v>45</v>
      </c>
      <c r="I17" t="s">
        <v>41</v>
      </c>
      <c r="J17" t="s">
        <v>46</v>
      </c>
      <c r="K17" t="s">
        <v>43</v>
      </c>
      <c r="L17">
        <v>224</v>
      </c>
      <c r="M17">
        <v>224</v>
      </c>
      <c r="Q17">
        <v>202601</v>
      </c>
    </row>
    <row r="18" spans="3:17" x14ac:dyDescent="0.2">
      <c r="C18" t="s">
        <v>93</v>
      </c>
      <c r="D18" t="s">
        <v>92</v>
      </c>
      <c r="E18" t="s">
        <v>92</v>
      </c>
      <c r="F18" t="s">
        <v>44</v>
      </c>
      <c r="G18" t="s">
        <v>119</v>
      </c>
      <c r="H18" t="s">
        <v>45</v>
      </c>
      <c r="I18" t="s">
        <v>41</v>
      </c>
      <c r="J18" t="s">
        <v>46</v>
      </c>
      <c r="K18" t="s">
        <v>43</v>
      </c>
      <c r="L18">
        <v>224</v>
      </c>
      <c r="M18">
        <v>224</v>
      </c>
      <c r="Q18">
        <v>202601</v>
      </c>
    </row>
    <row r="19" spans="3:17" x14ac:dyDescent="0.2">
      <c r="C19" t="s">
        <v>93</v>
      </c>
      <c r="D19" t="s">
        <v>92</v>
      </c>
      <c r="E19" t="s">
        <v>92</v>
      </c>
      <c r="F19" t="s">
        <v>44</v>
      </c>
      <c r="G19" t="s">
        <v>120</v>
      </c>
      <c r="H19" t="s">
        <v>45</v>
      </c>
      <c r="I19" t="s">
        <v>41</v>
      </c>
      <c r="J19" t="s">
        <v>46</v>
      </c>
      <c r="K19" t="s">
        <v>43</v>
      </c>
      <c r="L19">
        <v>224</v>
      </c>
      <c r="M19">
        <v>224</v>
      </c>
      <c r="Q19">
        <v>202601</v>
      </c>
    </row>
    <row r="20" spans="3:17" x14ac:dyDescent="0.2">
      <c r="C20" t="s">
        <v>93</v>
      </c>
      <c r="D20" t="s">
        <v>92</v>
      </c>
      <c r="E20" t="s">
        <v>92</v>
      </c>
      <c r="F20" t="s">
        <v>44</v>
      </c>
      <c r="G20" t="s">
        <v>121</v>
      </c>
      <c r="H20" t="s">
        <v>45</v>
      </c>
      <c r="I20" t="s">
        <v>41</v>
      </c>
      <c r="J20" t="s">
        <v>46</v>
      </c>
      <c r="K20" t="s">
        <v>43</v>
      </c>
      <c r="L20">
        <v>438.95</v>
      </c>
      <c r="M20">
        <v>438.95</v>
      </c>
      <c r="Q20">
        <v>202601</v>
      </c>
    </row>
    <row r="21" spans="3:17" x14ac:dyDescent="0.2">
      <c r="C21" t="s">
        <v>93</v>
      </c>
      <c r="D21" t="s">
        <v>92</v>
      </c>
      <c r="E21" t="s">
        <v>92</v>
      </c>
      <c r="F21" t="s">
        <v>44</v>
      </c>
      <c r="G21" t="s">
        <v>122</v>
      </c>
      <c r="H21" t="s">
        <v>45</v>
      </c>
      <c r="I21" t="s">
        <v>41</v>
      </c>
      <c r="J21" t="s">
        <v>46</v>
      </c>
      <c r="K21" t="s">
        <v>43</v>
      </c>
      <c r="L21">
        <v>261.25</v>
      </c>
      <c r="M21">
        <v>261.25</v>
      </c>
      <c r="Q21">
        <v>202601</v>
      </c>
    </row>
    <row r="22" spans="3:17" x14ac:dyDescent="0.2">
      <c r="C22" t="s">
        <v>93</v>
      </c>
      <c r="D22" t="s">
        <v>92</v>
      </c>
      <c r="E22" t="s">
        <v>92</v>
      </c>
      <c r="F22" t="s">
        <v>44</v>
      </c>
      <c r="G22" t="s">
        <v>123</v>
      </c>
      <c r="H22" t="s">
        <v>45</v>
      </c>
      <c r="I22" t="s">
        <v>41</v>
      </c>
      <c r="J22" t="s">
        <v>46</v>
      </c>
      <c r="K22" t="s">
        <v>43</v>
      </c>
      <c r="L22">
        <v>224</v>
      </c>
      <c r="M22">
        <v>224</v>
      </c>
      <c r="Q22">
        <v>202601</v>
      </c>
    </row>
    <row r="23" spans="3:17" x14ac:dyDescent="0.2">
      <c r="C23" t="s">
        <v>93</v>
      </c>
      <c r="D23" t="s">
        <v>92</v>
      </c>
      <c r="E23" t="s">
        <v>92</v>
      </c>
      <c r="F23" t="s">
        <v>44</v>
      </c>
      <c r="G23" t="s">
        <v>124</v>
      </c>
      <c r="H23" t="s">
        <v>45</v>
      </c>
      <c r="I23" t="s">
        <v>41</v>
      </c>
      <c r="J23" t="s">
        <v>46</v>
      </c>
      <c r="K23" t="s">
        <v>43</v>
      </c>
      <c r="L23">
        <v>313.60000000000002</v>
      </c>
      <c r="M23">
        <v>313.60000000000002</v>
      </c>
      <c r="Q23">
        <v>202601</v>
      </c>
    </row>
    <row r="24" spans="3:17" x14ac:dyDescent="0.2">
      <c r="C24" t="s">
        <v>93</v>
      </c>
      <c r="D24" t="s">
        <v>92</v>
      </c>
      <c r="E24" t="s">
        <v>92</v>
      </c>
      <c r="F24" t="s">
        <v>44</v>
      </c>
      <c r="G24" t="s">
        <v>125</v>
      </c>
      <c r="H24" t="s">
        <v>45</v>
      </c>
      <c r="I24" t="s">
        <v>41</v>
      </c>
      <c r="J24" t="s">
        <v>46</v>
      </c>
      <c r="K24" t="s">
        <v>43</v>
      </c>
      <c r="L24">
        <v>224</v>
      </c>
      <c r="M24">
        <v>224</v>
      </c>
      <c r="Q24">
        <v>202601</v>
      </c>
    </row>
    <row r="25" spans="3:17" x14ac:dyDescent="0.2">
      <c r="C25" t="s">
        <v>93</v>
      </c>
      <c r="D25" t="s">
        <v>92</v>
      </c>
      <c r="E25" t="s">
        <v>92</v>
      </c>
      <c r="F25" t="s">
        <v>44</v>
      </c>
      <c r="G25" t="s">
        <v>126</v>
      </c>
      <c r="H25" t="s">
        <v>45</v>
      </c>
      <c r="I25" t="s">
        <v>41</v>
      </c>
      <c r="J25" t="s">
        <v>46</v>
      </c>
      <c r="K25" t="s">
        <v>43</v>
      </c>
      <c r="L25">
        <v>458.19</v>
      </c>
      <c r="M25">
        <v>458.19</v>
      </c>
      <c r="Q25">
        <v>202601</v>
      </c>
    </row>
    <row r="26" spans="3:17" x14ac:dyDescent="0.2">
      <c r="C26" t="s">
        <v>93</v>
      </c>
      <c r="D26" t="s">
        <v>92</v>
      </c>
      <c r="E26" t="s">
        <v>92</v>
      </c>
      <c r="F26" t="s">
        <v>44</v>
      </c>
      <c r="G26" t="s">
        <v>127</v>
      </c>
      <c r="H26" t="s">
        <v>45</v>
      </c>
      <c r="I26" t="s">
        <v>41</v>
      </c>
      <c r="J26" t="s">
        <v>46</v>
      </c>
      <c r="K26" t="s">
        <v>43</v>
      </c>
      <c r="L26">
        <v>224</v>
      </c>
      <c r="M26">
        <v>224</v>
      </c>
      <c r="Q26">
        <v>202601</v>
      </c>
    </row>
    <row r="27" spans="3:17" x14ac:dyDescent="0.2">
      <c r="C27" t="s">
        <v>93</v>
      </c>
      <c r="D27" t="s">
        <v>92</v>
      </c>
      <c r="E27" t="s">
        <v>92</v>
      </c>
      <c r="F27" t="s">
        <v>44</v>
      </c>
      <c r="G27" t="s">
        <v>128</v>
      </c>
      <c r="H27" t="s">
        <v>45</v>
      </c>
      <c r="I27" t="s">
        <v>41</v>
      </c>
      <c r="J27" t="s">
        <v>46</v>
      </c>
      <c r="K27" t="s">
        <v>43</v>
      </c>
      <c r="L27">
        <v>358</v>
      </c>
      <c r="M27">
        <v>358</v>
      </c>
      <c r="Q27">
        <v>202601</v>
      </c>
    </row>
    <row r="28" spans="3:17" x14ac:dyDescent="0.2">
      <c r="C28" t="s">
        <v>93</v>
      </c>
      <c r="D28" t="s">
        <v>92</v>
      </c>
      <c r="E28" t="s">
        <v>92</v>
      </c>
      <c r="F28" t="s">
        <v>44</v>
      </c>
      <c r="G28" t="s">
        <v>129</v>
      </c>
      <c r="H28" t="s">
        <v>45</v>
      </c>
      <c r="I28" t="s">
        <v>41</v>
      </c>
      <c r="J28" t="s">
        <v>46</v>
      </c>
      <c r="K28" t="s">
        <v>43</v>
      </c>
      <c r="L28">
        <v>358</v>
      </c>
      <c r="M28">
        <v>358</v>
      </c>
      <c r="Q28">
        <v>202601</v>
      </c>
    </row>
    <row r="29" spans="3:17" x14ac:dyDescent="0.2">
      <c r="C29" t="s">
        <v>93</v>
      </c>
      <c r="D29" t="s">
        <v>92</v>
      </c>
      <c r="E29" t="s">
        <v>92</v>
      </c>
      <c r="F29" t="s">
        <v>44</v>
      </c>
      <c r="G29" t="s">
        <v>130</v>
      </c>
      <c r="H29" t="s">
        <v>45</v>
      </c>
      <c r="I29" t="s">
        <v>41</v>
      </c>
      <c r="J29" t="s">
        <v>46</v>
      </c>
      <c r="K29" t="s">
        <v>43</v>
      </c>
      <c r="L29">
        <v>384</v>
      </c>
      <c r="M29">
        <v>384</v>
      </c>
      <c r="Q29">
        <v>202601</v>
      </c>
    </row>
    <row r="30" spans="3:17" x14ac:dyDescent="0.2">
      <c r="C30" t="s">
        <v>93</v>
      </c>
      <c r="D30" t="s">
        <v>92</v>
      </c>
      <c r="E30" t="s">
        <v>92</v>
      </c>
      <c r="F30" t="s">
        <v>44</v>
      </c>
      <c r="G30" t="s">
        <v>131</v>
      </c>
      <c r="H30" t="s">
        <v>45</v>
      </c>
      <c r="I30" t="s">
        <v>41</v>
      </c>
      <c r="J30" t="s">
        <v>46</v>
      </c>
      <c r="K30" t="s">
        <v>43</v>
      </c>
      <c r="L30">
        <v>72.8</v>
      </c>
      <c r="M30">
        <v>72.8</v>
      </c>
      <c r="Q30">
        <v>202601</v>
      </c>
    </row>
    <row r="31" spans="3:17" x14ac:dyDescent="0.2">
      <c r="C31" t="s">
        <v>93</v>
      </c>
      <c r="D31" t="s">
        <v>92</v>
      </c>
      <c r="E31" t="s">
        <v>92</v>
      </c>
      <c r="F31" t="s">
        <v>44</v>
      </c>
      <c r="G31" t="s">
        <v>132</v>
      </c>
      <c r="H31" t="s">
        <v>45</v>
      </c>
      <c r="I31" t="s">
        <v>41</v>
      </c>
      <c r="J31" t="s">
        <v>46</v>
      </c>
      <c r="K31" t="s">
        <v>43</v>
      </c>
      <c r="L31">
        <v>432</v>
      </c>
      <c r="M31">
        <v>432</v>
      </c>
      <c r="Q31">
        <v>202601</v>
      </c>
    </row>
    <row r="32" spans="3:17" x14ac:dyDescent="0.2">
      <c r="C32" t="s">
        <v>93</v>
      </c>
      <c r="D32" t="s">
        <v>92</v>
      </c>
      <c r="E32" t="s">
        <v>92</v>
      </c>
      <c r="F32" t="s">
        <v>44</v>
      </c>
      <c r="G32" t="s">
        <v>133</v>
      </c>
      <c r="H32" t="s">
        <v>45</v>
      </c>
      <c r="I32" t="s">
        <v>41</v>
      </c>
      <c r="J32" t="s">
        <v>46</v>
      </c>
      <c r="K32" t="s">
        <v>43</v>
      </c>
      <c r="L32">
        <v>570</v>
      </c>
      <c r="M32">
        <v>570</v>
      </c>
      <c r="Q32">
        <v>202601</v>
      </c>
    </row>
    <row r="33" spans="3:17" x14ac:dyDescent="0.2">
      <c r="C33" t="s">
        <v>93</v>
      </c>
      <c r="D33" t="s">
        <v>92</v>
      </c>
      <c r="E33" t="s">
        <v>134</v>
      </c>
      <c r="F33" t="s">
        <v>44</v>
      </c>
      <c r="G33" t="s">
        <v>135</v>
      </c>
      <c r="H33" t="s">
        <v>45</v>
      </c>
      <c r="I33" t="s">
        <v>41</v>
      </c>
      <c r="J33" t="s">
        <v>46</v>
      </c>
      <c r="K33" t="s">
        <v>43</v>
      </c>
      <c r="L33">
        <v>501</v>
      </c>
      <c r="M33">
        <v>501</v>
      </c>
      <c r="Q33">
        <v>202601</v>
      </c>
    </row>
    <row r="34" spans="3:17" x14ac:dyDescent="0.2">
      <c r="C34" t="s">
        <v>93</v>
      </c>
      <c r="D34" t="s">
        <v>92</v>
      </c>
      <c r="E34" t="s">
        <v>136</v>
      </c>
      <c r="F34" t="s">
        <v>44</v>
      </c>
      <c r="G34" t="s">
        <v>137</v>
      </c>
      <c r="H34" t="s">
        <v>45</v>
      </c>
      <c r="I34" t="s">
        <v>41</v>
      </c>
      <c r="J34" t="s">
        <v>46</v>
      </c>
      <c r="K34" t="s">
        <v>43</v>
      </c>
      <c r="L34">
        <v>281.12</v>
      </c>
      <c r="M34">
        <v>281.12</v>
      </c>
      <c r="Q34">
        <v>202601</v>
      </c>
    </row>
    <row r="35" spans="3:17" x14ac:dyDescent="0.2">
      <c r="C35" t="s">
        <v>93</v>
      </c>
      <c r="D35" t="s">
        <v>92</v>
      </c>
      <c r="E35" t="s">
        <v>136</v>
      </c>
      <c r="F35" t="s">
        <v>44</v>
      </c>
      <c r="G35" t="s">
        <v>138</v>
      </c>
      <c r="H35" t="s">
        <v>45</v>
      </c>
      <c r="I35" t="s">
        <v>41</v>
      </c>
      <c r="J35" t="s">
        <v>46</v>
      </c>
      <c r="K35" t="s">
        <v>43</v>
      </c>
      <c r="L35">
        <v>72.8</v>
      </c>
      <c r="M35">
        <v>72.8</v>
      </c>
      <c r="Q35">
        <v>202601</v>
      </c>
    </row>
    <row r="36" spans="3:17" x14ac:dyDescent="0.2">
      <c r="C36" t="s">
        <v>93</v>
      </c>
      <c r="D36" t="s">
        <v>92</v>
      </c>
      <c r="E36" t="s">
        <v>136</v>
      </c>
      <c r="F36" t="s">
        <v>44</v>
      </c>
      <c r="G36" t="s">
        <v>139</v>
      </c>
      <c r="H36" t="s">
        <v>45</v>
      </c>
      <c r="I36" t="s">
        <v>41</v>
      </c>
      <c r="J36" t="s">
        <v>46</v>
      </c>
      <c r="K36" t="s">
        <v>43</v>
      </c>
      <c r="L36">
        <v>72.8</v>
      </c>
      <c r="M36">
        <v>72.8</v>
      </c>
      <c r="Q36">
        <v>202601</v>
      </c>
    </row>
    <row r="37" spans="3:17" x14ac:dyDescent="0.2">
      <c r="C37" t="s">
        <v>93</v>
      </c>
      <c r="D37" t="s">
        <v>92</v>
      </c>
      <c r="E37" t="s">
        <v>136</v>
      </c>
      <c r="F37" t="s">
        <v>44</v>
      </c>
      <c r="G37" t="s">
        <v>140</v>
      </c>
      <c r="H37" t="s">
        <v>45</v>
      </c>
      <c r="I37" t="s">
        <v>41</v>
      </c>
      <c r="J37" t="s">
        <v>46</v>
      </c>
      <c r="K37" t="s">
        <v>43</v>
      </c>
      <c r="L37">
        <v>149</v>
      </c>
      <c r="M37">
        <v>149</v>
      </c>
      <c r="Q37">
        <v>202601</v>
      </c>
    </row>
    <row r="38" spans="3:17" x14ac:dyDescent="0.2">
      <c r="C38" t="s">
        <v>93</v>
      </c>
      <c r="D38" t="s">
        <v>92</v>
      </c>
      <c r="E38" t="s">
        <v>136</v>
      </c>
      <c r="F38" t="s">
        <v>44</v>
      </c>
      <c r="G38" t="s">
        <v>141</v>
      </c>
      <c r="H38" t="s">
        <v>45</v>
      </c>
      <c r="I38" t="s">
        <v>41</v>
      </c>
      <c r="J38" t="s">
        <v>46</v>
      </c>
      <c r="K38" t="s">
        <v>43</v>
      </c>
      <c r="L38">
        <v>149</v>
      </c>
      <c r="M38">
        <v>149</v>
      </c>
      <c r="Q38">
        <v>202601</v>
      </c>
    </row>
    <row r="39" spans="3:17" x14ac:dyDescent="0.2">
      <c r="C39" t="s">
        <v>93</v>
      </c>
      <c r="D39" t="s">
        <v>92</v>
      </c>
      <c r="E39" t="s">
        <v>136</v>
      </c>
      <c r="F39" t="s">
        <v>44</v>
      </c>
      <c r="G39" t="s">
        <v>142</v>
      </c>
      <c r="H39" t="s">
        <v>45</v>
      </c>
      <c r="I39" t="s">
        <v>41</v>
      </c>
      <c r="J39" t="s">
        <v>46</v>
      </c>
      <c r="K39" t="s">
        <v>43</v>
      </c>
      <c r="L39">
        <v>114</v>
      </c>
      <c r="M39">
        <v>114</v>
      </c>
      <c r="Q39">
        <v>202601</v>
      </c>
    </row>
    <row r="40" spans="3:17" x14ac:dyDescent="0.2">
      <c r="C40" t="s">
        <v>93</v>
      </c>
      <c r="D40" t="s">
        <v>92</v>
      </c>
      <c r="E40" t="s">
        <v>136</v>
      </c>
      <c r="F40" t="s">
        <v>44</v>
      </c>
      <c r="G40" t="s">
        <v>143</v>
      </c>
      <c r="H40" t="s">
        <v>45</v>
      </c>
      <c r="I40" t="s">
        <v>41</v>
      </c>
      <c r="J40" t="s">
        <v>46</v>
      </c>
      <c r="K40" t="s">
        <v>43</v>
      </c>
      <c r="L40">
        <v>80</v>
      </c>
      <c r="M40">
        <v>80</v>
      </c>
      <c r="Q40">
        <v>202601</v>
      </c>
    </row>
    <row r="41" spans="3:17" x14ac:dyDescent="0.2">
      <c r="C41" t="s">
        <v>93</v>
      </c>
      <c r="D41" t="s">
        <v>92</v>
      </c>
      <c r="E41" t="s">
        <v>136</v>
      </c>
      <c r="F41" t="s">
        <v>44</v>
      </c>
      <c r="G41" t="s">
        <v>144</v>
      </c>
      <c r="H41" t="s">
        <v>45</v>
      </c>
      <c r="I41" t="s">
        <v>41</v>
      </c>
      <c r="J41" t="s">
        <v>46</v>
      </c>
      <c r="K41" t="s">
        <v>43</v>
      </c>
      <c r="L41">
        <v>74</v>
      </c>
      <c r="M41">
        <v>74</v>
      </c>
      <c r="Q41">
        <v>202601</v>
      </c>
    </row>
    <row r="42" spans="3:17" x14ac:dyDescent="0.2">
      <c r="C42" t="s">
        <v>93</v>
      </c>
      <c r="D42" t="s">
        <v>92</v>
      </c>
      <c r="E42" t="s">
        <v>136</v>
      </c>
      <c r="F42" t="s">
        <v>44</v>
      </c>
      <c r="G42" t="s">
        <v>145</v>
      </c>
      <c r="H42" t="s">
        <v>45</v>
      </c>
      <c r="I42" t="s">
        <v>41</v>
      </c>
      <c r="J42" t="s">
        <v>46</v>
      </c>
      <c r="K42" t="s">
        <v>43</v>
      </c>
      <c r="L42">
        <v>648.14</v>
      </c>
      <c r="M42">
        <v>648.14</v>
      </c>
      <c r="Q42">
        <v>202601</v>
      </c>
    </row>
    <row r="43" spans="3:17" x14ac:dyDescent="0.2">
      <c r="C43" t="s">
        <v>93</v>
      </c>
      <c r="D43" t="s">
        <v>92</v>
      </c>
      <c r="E43" t="s">
        <v>136</v>
      </c>
      <c r="F43" t="s">
        <v>44</v>
      </c>
      <c r="G43" t="s">
        <v>146</v>
      </c>
      <c r="H43" t="s">
        <v>45</v>
      </c>
      <c r="I43" t="s">
        <v>41</v>
      </c>
      <c r="J43" t="s">
        <v>46</v>
      </c>
      <c r="K43" t="s">
        <v>43</v>
      </c>
      <c r="L43">
        <v>570</v>
      </c>
      <c r="M43">
        <v>570</v>
      </c>
      <c r="Q43">
        <v>202601</v>
      </c>
    </row>
    <row r="44" spans="3:17" x14ac:dyDescent="0.2">
      <c r="C44" t="s">
        <v>93</v>
      </c>
      <c r="D44" t="s">
        <v>92</v>
      </c>
      <c r="E44" t="s">
        <v>136</v>
      </c>
      <c r="F44" t="s">
        <v>44</v>
      </c>
      <c r="G44" t="s">
        <v>147</v>
      </c>
      <c r="H44" t="s">
        <v>45</v>
      </c>
      <c r="I44" t="s">
        <v>41</v>
      </c>
      <c r="J44" t="s">
        <v>46</v>
      </c>
      <c r="K44" t="s">
        <v>43</v>
      </c>
      <c r="L44">
        <v>570</v>
      </c>
      <c r="M44">
        <v>570</v>
      </c>
      <c r="Q44">
        <v>202601</v>
      </c>
    </row>
    <row r="45" spans="3:17" x14ac:dyDescent="0.2">
      <c r="C45" t="s">
        <v>93</v>
      </c>
      <c r="D45" t="s">
        <v>92</v>
      </c>
      <c r="E45" t="s">
        <v>136</v>
      </c>
      <c r="F45" t="s">
        <v>44</v>
      </c>
      <c r="G45" t="s">
        <v>148</v>
      </c>
      <c r="H45" t="s">
        <v>45</v>
      </c>
      <c r="I45" t="s">
        <v>41</v>
      </c>
      <c r="J45" t="s">
        <v>46</v>
      </c>
      <c r="K45" t="s">
        <v>43</v>
      </c>
      <c r="L45">
        <v>501</v>
      </c>
      <c r="M45">
        <v>501</v>
      </c>
      <c r="Q45">
        <v>202601</v>
      </c>
    </row>
    <row r="46" spans="3:17" x14ac:dyDescent="0.2">
      <c r="C46" t="s">
        <v>93</v>
      </c>
      <c r="D46" t="s">
        <v>92</v>
      </c>
      <c r="E46" t="s">
        <v>136</v>
      </c>
      <c r="F46" t="s">
        <v>44</v>
      </c>
      <c r="G46" t="s">
        <v>149</v>
      </c>
      <c r="H46" t="s">
        <v>45</v>
      </c>
      <c r="I46" t="s">
        <v>41</v>
      </c>
      <c r="J46" t="s">
        <v>46</v>
      </c>
      <c r="K46" t="s">
        <v>43</v>
      </c>
      <c r="L46">
        <v>870.77</v>
      </c>
      <c r="M46">
        <v>870.77</v>
      </c>
      <c r="Q46">
        <v>202601</v>
      </c>
    </row>
    <row r="47" spans="3:17" x14ac:dyDescent="0.2">
      <c r="C47" t="s">
        <v>93</v>
      </c>
      <c r="D47" t="s">
        <v>92</v>
      </c>
      <c r="E47" t="s">
        <v>136</v>
      </c>
      <c r="F47" t="s">
        <v>44</v>
      </c>
      <c r="G47" t="s">
        <v>150</v>
      </c>
      <c r="H47" t="s">
        <v>45</v>
      </c>
      <c r="I47" t="s">
        <v>41</v>
      </c>
      <c r="J47" t="s">
        <v>46</v>
      </c>
      <c r="K47" t="s">
        <v>43</v>
      </c>
      <c r="L47">
        <v>566.24</v>
      </c>
      <c r="M47">
        <v>566.24</v>
      </c>
      <c r="Q47">
        <v>202601</v>
      </c>
    </row>
    <row r="48" spans="3:17" x14ac:dyDescent="0.2">
      <c r="C48" t="s">
        <v>93</v>
      </c>
      <c r="D48" t="s">
        <v>92</v>
      </c>
      <c r="E48" t="s">
        <v>136</v>
      </c>
      <c r="F48" t="s">
        <v>44</v>
      </c>
      <c r="G48" t="s">
        <v>151</v>
      </c>
      <c r="H48" t="s">
        <v>45</v>
      </c>
      <c r="I48" t="s">
        <v>41</v>
      </c>
      <c r="J48" t="s">
        <v>46</v>
      </c>
      <c r="K48" t="s">
        <v>43</v>
      </c>
      <c r="L48">
        <v>11.2</v>
      </c>
      <c r="M48">
        <v>11.2</v>
      </c>
      <c r="Q48">
        <v>202601</v>
      </c>
    </row>
    <row r="49" spans="3:17" x14ac:dyDescent="0.2">
      <c r="C49" t="s">
        <v>93</v>
      </c>
      <c r="D49" t="s">
        <v>92</v>
      </c>
      <c r="E49" t="s">
        <v>152</v>
      </c>
      <c r="F49" t="s">
        <v>44</v>
      </c>
      <c r="G49" t="s">
        <v>153</v>
      </c>
      <c r="H49" t="s">
        <v>45</v>
      </c>
      <c r="I49" t="s">
        <v>41</v>
      </c>
      <c r="J49" t="s">
        <v>46</v>
      </c>
      <c r="K49" t="s">
        <v>43</v>
      </c>
      <c r="L49">
        <v>366.13</v>
      </c>
      <c r="M49">
        <v>366.13</v>
      </c>
      <c r="Q49">
        <v>202601</v>
      </c>
    </row>
    <row r="50" spans="3:17" x14ac:dyDescent="0.2">
      <c r="C50" t="s">
        <v>93</v>
      </c>
      <c r="D50" t="s">
        <v>92</v>
      </c>
      <c r="E50" t="s">
        <v>154</v>
      </c>
      <c r="F50" t="s">
        <v>44</v>
      </c>
      <c r="G50" t="s">
        <v>155</v>
      </c>
      <c r="H50" t="s">
        <v>45</v>
      </c>
      <c r="I50" t="s">
        <v>41</v>
      </c>
      <c r="J50" t="s">
        <v>46</v>
      </c>
      <c r="K50" t="s">
        <v>43</v>
      </c>
      <c r="L50">
        <v>570</v>
      </c>
      <c r="M50">
        <v>570</v>
      </c>
      <c r="Q50">
        <v>202601</v>
      </c>
    </row>
    <row r="51" spans="3:17" x14ac:dyDescent="0.2">
      <c r="C51" t="s">
        <v>93</v>
      </c>
      <c r="D51" t="s">
        <v>92</v>
      </c>
      <c r="E51" t="s">
        <v>154</v>
      </c>
      <c r="F51" t="s">
        <v>44</v>
      </c>
      <c r="G51" t="s">
        <v>156</v>
      </c>
      <c r="H51" t="s">
        <v>45</v>
      </c>
      <c r="I51" t="s">
        <v>41</v>
      </c>
      <c r="J51" t="s">
        <v>46</v>
      </c>
      <c r="K51" t="s">
        <v>43</v>
      </c>
      <c r="L51">
        <v>65</v>
      </c>
      <c r="M51">
        <v>65</v>
      </c>
      <c r="Q51">
        <v>202601</v>
      </c>
    </row>
    <row r="52" spans="3:17" x14ac:dyDescent="0.2">
      <c r="C52" t="s">
        <v>93</v>
      </c>
      <c r="D52" t="s">
        <v>92</v>
      </c>
      <c r="E52" t="s">
        <v>154</v>
      </c>
      <c r="F52" t="s">
        <v>44</v>
      </c>
      <c r="G52" t="s">
        <v>157</v>
      </c>
      <c r="H52" t="s">
        <v>45</v>
      </c>
      <c r="I52" t="s">
        <v>41</v>
      </c>
      <c r="J52" t="s">
        <v>46</v>
      </c>
      <c r="K52" t="s">
        <v>43</v>
      </c>
      <c r="L52">
        <v>90</v>
      </c>
      <c r="M52">
        <v>90</v>
      </c>
      <c r="Q52">
        <v>202601</v>
      </c>
    </row>
    <row r="53" spans="3:17" x14ac:dyDescent="0.2">
      <c r="C53" t="s">
        <v>93</v>
      </c>
      <c r="D53" t="s">
        <v>92</v>
      </c>
      <c r="E53" t="s">
        <v>154</v>
      </c>
      <c r="F53" t="s">
        <v>44</v>
      </c>
      <c r="G53" t="s">
        <v>158</v>
      </c>
      <c r="H53" t="s">
        <v>45</v>
      </c>
      <c r="I53" t="s">
        <v>41</v>
      </c>
      <c r="J53" t="s">
        <v>46</v>
      </c>
      <c r="K53" t="s">
        <v>43</v>
      </c>
      <c r="L53">
        <v>10</v>
      </c>
      <c r="M53">
        <v>10</v>
      </c>
      <c r="Q53">
        <v>202601</v>
      </c>
    </row>
    <row r="54" spans="3:17" x14ac:dyDescent="0.2">
      <c r="C54" t="s">
        <v>93</v>
      </c>
      <c r="D54" t="s">
        <v>92</v>
      </c>
      <c r="E54" t="s">
        <v>154</v>
      </c>
      <c r="F54" t="s">
        <v>44</v>
      </c>
      <c r="G54" t="s">
        <v>159</v>
      </c>
      <c r="H54" t="s">
        <v>45</v>
      </c>
      <c r="I54" t="s">
        <v>41</v>
      </c>
      <c r="J54" t="s">
        <v>46</v>
      </c>
      <c r="K54" t="s">
        <v>43</v>
      </c>
      <c r="L54">
        <v>27</v>
      </c>
      <c r="M54">
        <v>27</v>
      </c>
      <c r="Q54">
        <v>202601</v>
      </c>
    </row>
    <row r="55" spans="3:17" x14ac:dyDescent="0.2">
      <c r="C55" t="s">
        <v>93</v>
      </c>
      <c r="D55" t="s">
        <v>92</v>
      </c>
      <c r="E55" t="s">
        <v>154</v>
      </c>
      <c r="F55" t="s">
        <v>44</v>
      </c>
      <c r="G55" t="s">
        <v>160</v>
      </c>
      <c r="H55" t="s">
        <v>45</v>
      </c>
      <c r="I55" t="s">
        <v>41</v>
      </c>
      <c r="J55" t="s">
        <v>46</v>
      </c>
      <c r="K55" t="s">
        <v>43</v>
      </c>
      <c r="L55">
        <v>501</v>
      </c>
      <c r="M55">
        <v>501</v>
      </c>
      <c r="Q55">
        <v>202601</v>
      </c>
    </row>
    <row r="56" spans="3:17" x14ac:dyDescent="0.2">
      <c r="C56" t="s">
        <v>93</v>
      </c>
      <c r="D56" t="s">
        <v>92</v>
      </c>
      <c r="E56" t="s">
        <v>154</v>
      </c>
      <c r="F56" t="s">
        <v>44</v>
      </c>
      <c r="G56" t="s">
        <v>161</v>
      </c>
      <c r="H56" t="s">
        <v>45</v>
      </c>
      <c r="I56" t="s">
        <v>41</v>
      </c>
      <c r="J56" t="s">
        <v>46</v>
      </c>
      <c r="K56" t="s">
        <v>43</v>
      </c>
      <c r="L56">
        <v>72.8</v>
      </c>
      <c r="M56">
        <v>72.8</v>
      </c>
      <c r="Q56">
        <v>202601</v>
      </c>
    </row>
    <row r="57" spans="3:17" x14ac:dyDescent="0.2">
      <c r="C57" t="s">
        <v>93</v>
      </c>
      <c r="D57" t="s">
        <v>92</v>
      </c>
      <c r="E57" t="s">
        <v>154</v>
      </c>
      <c r="F57" t="s">
        <v>44</v>
      </c>
      <c r="G57" t="s">
        <v>162</v>
      </c>
      <c r="H57" t="s">
        <v>45</v>
      </c>
      <c r="I57" t="s">
        <v>41</v>
      </c>
      <c r="J57" t="s">
        <v>46</v>
      </c>
      <c r="K57" t="s">
        <v>43</v>
      </c>
      <c r="L57">
        <v>422.24</v>
      </c>
      <c r="M57">
        <v>422.24</v>
      </c>
      <c r="Q57">
        <v>202601</v>
      </c>
    </row>
    <row r="58" spans="3:17" x14ac:dyDescent="0.2">
      <c r="C58" t="s">
        <v>93</v>
      </c>
      <c r="D58" t="s">
        <v>92</v>
      </c>
      <c r="E58" t="s">
        <v>154</v>
      </c>
      <c r="F58" t="s">
        <v>44</v>
      </c>
      <c r="G58" t="s">
        <v>163</v>
      </c>
      <c r="H58" t="s">
        <v>45</v>
      </c>
      <c r="I58" t="s">
        <v>41</v>
      </c>
      <c r="J58" t="s">
        <v>46</v>
      </c>
      <c r="K58" t="s">
        <v>43</v>
      </c>
      <c r="L58">
        <v>27</v>
      </c>
      <c r="M58">
        <v>27</v>
      </c>
      <c r="Q58">
        <v>202601</v>
      </c>
    </row>
    <row r="59" spans="3:17" x14ac:dyDescent="0.2">
      <c r="C59" t="s">
        <v>93</v>
      </c>
      <c r="D59" t="s">
        <v>92</v>
      </c>
      <c r="E59" t="s">
        <v>154</v>
      </c>
      <c r="F59" t="s">
        <v>44</v>
      </c>
      <c r="G59" t="s">
        <v>164</v>
      </c>
      <c r="H59" t="s">
        <v>45</v>
      </c>
      <c r="I59" t="s">
        <v>41</v>
      </c>
      <c r="J59" t="s">
        <v>46</v>
      </c>
      <c r="K59" t="s">
        <v>43</v>
      </c>
      <c r="L59">
        <v>432</v>
      </c>
      <c r="M59">
        <v>432</v>
      </c>
      <c r="Q59">
        <v>202601</v>
      </c>
    </row>
    <row r="60" spans="3:17" x14ac:dyDescent="0.2">
      <c r="C60" t="s">
        <v>93</v>
      </c>
      <c r="D60" t="s">
        <v>92</v>
      </c>
      <c r="E60" t="s">
        <v>165</v>
      </c>
      <c r="F60" t="s">
        <v>44</v>
      </c>
      <c r="G60" t="s">
        <v>166</v>
      </c>
      <c r="H60" t="s">
        <v>45</v>
      </c>
      <c r="I60" t="s">
        <v>41</v>
      </c>
      <c r="J60" t="s">
        <v>46</v>
      </c>
      <c r="K60" t="s">
        <v>43</v>
      </c>
      <c r="L60">
        <v>624.26</v>
      </c>
      <c r="M60">
        <v>624.26</v>
      </c>
      <c r="Q60">
        <v>202601</v>
      </c>
    </row>
    <row r="61" spans="3:17" x14ac:dyDescent="0.2">
      <c r="C61" t="s">
        <v>93</v>
      </c>
      <c r="D61" t="s">
        <v>92</v>
      </c>
      <c r="E61" t="s">
        <v>167</v>
      </c>
      <c r="F61" t="s">
        <v>44</v>
      </c>
      <c r="G61" t="s">
        <v>168</v>
      </c>
      <c r="H61" t="s">
        <v>45</v>
      </c>
      <c r="I61" t="s">
        <v>41</v>
      </c>
      <c r="J61" t="s">
        <v>46</v>
      </c>
      <c r="K61" t="s">
        <v>43</v>
      </c>
      <c r="L61">
        <v>635</v>
      </c>
      <c r="M61">
        <v>635</v>
      </c>
      <c r="Q61">
        <v>202601</v>
      </c>
    </row>
    <row r="62" spans="3:17" x14ac:dyDescent="0.2">
      <c r="C62" t="s">
        <v>93</v>
      </c>
      <c r="D62" t="s">
        <v>92</v>
      </c>
      <c r="E62" t="s">
        <v>169</v>
      </c>
      <c r="F62" t="s">
        <v>44</v>
      </c>
      <c r="G62" t="s">
        <v>170</v>
      </c>
      <c r="H62" t="s">
        <v>45</v>
      </c>
      <c r="I62" t="s">
        <v>41</v>
      </c>
      <c r="J62" t="s">
        <v>46</v>
      </c>
      <c r="K62" t="s">
        <v>43</v>
      </c>
      <c r="L62">
        <v>141.56</v>
      </c>
      <c r="M62">
        <v>141.56</v>
      </c>
      <c r="Q62">
        <v>202601</v>
      </c>
    </row>
    <row r="63" spans="3:17" x14ac:dyDescent="0.2">
      <c r="C63" t="s">
        <v>93</v>
      </c>
      <c r="D63" t="s">
        <v>92</v>
      </c>
      <c r="E63" t="s">
        <v>171</v>
      </c>
      <c r="F63" t="s">
        <v>44</v>
      </c>
      <c r="G63" t="s">
        <v>172</v>
      </c>
      <c r="H63" t="s">
        <v>45</v>
      </c>
      <c r="I63" t="s">
        <v>41</v>
      </c>
      <c r="J63" t="s">
        <v>46</v>
      </c>
      <c r="K63" t="s">
        <v>43</v>
      </c>
      <c r="L63">
        <v>72.8</v>
      </c>
      <c r="M63">
        <v>72.8</v>
      </c>
      <c r="Q63">
        <v>202601</v>
      </c>
    </row>
    <row r="64" spans="3:17" x14ac:dyDescent="0.2">
      <c r="C64" t="s">
        <v>93</v>
      </c>
      <c r="D64" t="s">
        <v>92</v>
      </c>
      <c r="E64" t="s">
        <v>171</v>
      </c>
      <c r="F64" t="s">
        <v>44</v>
      </c>
      <c r="G64" t="s">
        <v>173</v>
      </c>
      <c r="H64" t="s">
        <v>45</v>
      </c>
      <c r="I64" t="s">
        <v>41</v>
      </c>
      <c r="J64" t="s">
        <v>46</v>
      </c>
      <c r="K64" t="s">
        <v>43</v>
      </c>
      <c r="L64">
        <v>44</v>
      </c>
      <c r="M64">
        <v>44</v>
      </c>
      <c r="Q64">
        <v>202601</v>
      </c>
    </row>
    <row r="65" spans="3:17" x14ac:dyDescent="0.2">
      <c r="C65" t="s">
        <v>93</v>
      </c>
      <c r="D65" t="s">
        <v>92</v>
      </c>
      <c r="E65" t="s">
        <v>171</v>
      </c>
      <c r="F65" t="s">
        <v>44</v>
      </c>
      <c r="G65" t="s">
        <v>174</v>
      </c>
      <c r="H65" t="s">
        <v>45</v>
      </c>
      <c r="I65" t="s">
        <v>41</v>
      </c>
      <c r="J65" t="s">
        <v>46</v>
      </c>
      <c r="K65" t="s">
        <v>43</v>
      </c>
      <c r="L65">
        <v>72.8</v>
      </c>
      <c r="M65">
        <v>72.8</v>
      </c>
      <c r="Q65">
        <v>202601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1C221-B2EE-4F1F-AF05-FB72E36B7E2A}">
  <sheetPr codeName="Sheet10"/>
  <dimension ref="A1:Q64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8.25" customWidth="1"/>
    <col min="2" max="2" width="14.5" customWidth="1"/>
    <col min="3" max="3" width="22.5" customWidth="1"/>
    <col min="4" max="4" width="26" customWidth="1"/>
    <col min="5" max="5" width="14.5" customWidth="1"/>
    <col min="6" max="6" width="13.5" customWidth="1"/>
    <col min="7" max="7" width="16" customWidth="1"/>
    <col min="12" max="12" width="9.375" customWidth="1"/>
    <col min="13" max="13" width="10.5" customWidth="1"/>
    <col min="14" max="14" width="10.625" customWidth="1"/>
    <col min="17" max="17" width="9.375" customWidth="1"/>
  </cols>
  <sheetData>
    <row r="1" spans="1:17" ht="15" x14ac:dyDescent="0.2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36</v>
      </c>
      <c r="N1" s="23" t="s">
        <v>37</v>
      </c>
      <c r="O1" s="23" t="s">
        <v>38</v>
      </c>
      <c r="P1" s="23" t="s">
        <v>7</v>
      </c>
      <c r="Q1" s="25" t="s">
        <v>39</v>
      </c>
    </row>
    <row r="2" spans="1:17" x14ac:dyDescent="0.2">
      <c r="C2" t="s">
        <v>93</v>
      </c>
      <c r="D2" t="s">
        <v>92</v>
      </c>
      <c r="E2" t="s">
        <v>96</v>
      </c>
      <c r="F2" t="s">
        <v>44</v>
      </c>
      <c r="G2" t="s">
        <v>97</v>
      </c>
      <c r="H2" t="s">
        <v>47</v>
      </c>
      <c r="I2" t="s">
        <v>41</v>
      </c>
      <c r="J2" t="s">
        <v>46</v>
      </c>
      <c r="K2" t="s">
        <v>43</v>
      </c>
      <c r="L2">
        <v>7</v>
      </c>
      <c r="M2">
        <v>7</v>
      </c>
      <c r="Q2">
        <v>202601</v>
      </c>
    </row>
    <row r="3" spans="1:17" x14ac:dyDescent="0.2">
      <c r="C3" t="s">
        <v>93</v>
      </c>
      <c r="D3" t="s">
        <v>92</v>
      </c>
      <c r="E3" t="s">
        <v>96</v>
      </c>
      <c r="F3" t="s">
        <v>44</v>
      </c>
      <c r="G3" t="s">
        <v>98</v>
      </c>
      <c r="H3" t="s">
        <v>47</v>
      </c>
      <c r="I3" t="s">
        <v>41</v>
      </c>
      <c r="J3" t="s">
        <v>46</v>
      </c>
      <c r="K3" t="s">
        <v>43</v>
      </c>
      <c r="L3">
        <v>27</v>
      </c>
      <c r="M3">
        <v>27</v>
      </c>
      <c r="Q3">
        <v>202601</v>
      </c>
    </row>
    <row r="4" spans="1:17" x14ac:dyDescent="0.2">
      <c r="C4" t="s">
        <v>93</v>
      </c>
      <c r="D4" t="s">
        <v>92</v>
      </c>
      <c r="E4" t="s">
        <v>99</v>
      </c>
      <c r="F4" t="s">
        <v>44</v>
      </c>
      <c r="G4" t="s">
        <v>100</v>
      </c>
      <c r="H4" t="s">
        <v>47</v>
      </c>
      <c r="I4" t="s">
        <v>41</v>
      </c>
      <c r="J4" t="s">
        <v>46</v>
      </c>
      <c r="K4" t="s">
        <v>43</v>
      </c>
      <c r="L4">
        <v>7</v>
      </c>
      <c r="M4">
        <v>7</v>
      </c>
      <c r="Q4">
        <v>202601</v>
      </c>
    </row>
    <row r="5" spans="1:17" x14ac:dyDescent="0.2">
      <c r="C5" t="s">
        <v>93</v>
      </c>
      <c r="D5" t="s">
        <v>92</v>
      </c>
      <c r="E5" t="s">
        <v>101</v>
      </c>
      <c r="F5" t="s">
        <v>44</v>
      </c>
      <c r="G5" t="s">
        <v>102</v>
      </c>
      <c r="H5" t="s">
        <v>47</v>
      </c>
      <c r="I5" t="s">
        <v>41</v>
      </c>
      <c r="J5" t="s">
        <v>46</v>
      </c>
      <c r="K5" t="s">
        <v>43</v>
      </c>
      <c r="L5">
        <v>7</v>
      </c>
      <c r="M5">
        <v>7</v>
      </c>
      <c r="Q5">
        <v>202601</v>
      </c>
    </row>
    <row r="6" spans="1:17" x14ac:dyDescent="0.2">
      <c r="C6" t="s">
        <v>93</v>
      </c>
      <c r="D6" t="s">
        <v>92</v>
      </c>
      <c r="E6" t="s">
        <v>103</v>
      </c>
      <c r="F6" t="s">
        <v>44</v>
      </c>
      <c r="G6" t="s">
        <v>104</v>
      </c>
      <c r="H6" t="s">
        <v>47</v>
      </c>
      <c r="I6" t="s">
        <v>41</v>
      </c>
      <c r="J6" t="s">
        <v>46</v>
      </c>
      <c r="K6" t="s">
        <v>43</v>
      </c>
      <c r="L6">
        <v>7</v>
      </c>
      <c r="M6">
        <v>7</v>
      </c>
      <c r="Q6">
        <v>202601</v>
      </c>
    </row>
    <row r="7" spans="1:17" x14ac:dyDescent="0.2">
      <c r="C7" t="s">
        <v>93</v>
      </c>
      <c r="D7" t="s">
        <v>92</v>
      </c>
      <c r="E7" t="s">
        <v>105</v>
      </c>
      <c r="F7" t="s">
        <v>44</v>
      </c>
      <c r="G7" t="s">
        <v>106</v>
      </c>
      <c r="H7" t="s">
        <v>47</v>
      </c>
      <c r="I7" t="s">
        <v>41</v>
      </c>
      <c r="J7" t="s">
        <v>46</v>
      </c>
      <c r="K7" t="s">
        <v>43</v>
      </c>
      <c r="L7">
        <v>27</v>
      </c>
      <c r="M7">
        <v>27</v>
      </c>
      <c r="Q7">
        <v>202601</v>
      </c>
    </row>
    <row r="8" spans="1:17" x14ac:dyDescent="0.2">
      <c r="C8" t="s">
        <v>93</v>
      </c>
      <c r="D8" t="s">
        <v>92</v>
      </c>
      <c r="E8" t="s">
        <v>107</v>
      </c>
      <c r="F8" t="s">
        <v>44</v>
      </c>
      <c r="G8" t="s">
        <v>108</v>
      </c>
      <c r="H8" t="s">
        <v>47</v>
      </c>
      <c r="I8" t="s">
        <v>41</v>
      </c>
      <c r="J8" t="s">
        <v>46</v>
      </c>
      <c r="K8" t="s">
        <v>43</v>
      </c>
      <c r="L8">
        <v>7</v>
      </c>
      <c r="M8">
        <v>7</v>
      </c>
      <c r="Q8">
        <v>202601</v>
      </c>
    </row>
    <row r="9" spans="1:17" x14ac:dyDescent="0.2">
      <c r="C9" t="s">
        <v>93</v>
      </c>
      <c r="D9" t="s">
        <v>92</v>
      </c>
      <c r="E9" t="s">
        <v>107</v>
      </c>
      <c r="F9" t="s">
        <v>44</v>
      </c>
      <c r="G9" t="s">
        <v>109</v>
      </c>
      <c r="H9" t="s">
        <v>47</v>
      </c>
      <c r="I9" t="s">
        <v>41</v>
      </c>
      <c r="J9" t="s">
        <v>46</v>
      </c>
      <c r="K9" t="s">
        <v>43</v>
      </c>
      <c r="L9">
        <v>7</v>
      </c>
      <c r="M9">
        <v>7</v>
      </c>
      <c r="Q9">
        <v>202601</v>
      </c>
    </row>
    <row r="10" spans="1:17" x14ac:dyDescent="0.2">
      <c r="C10" t="s">
        <v>93</v>
      </c>
      <c r="D10" t="s">
        <v>92</v>
      </c>
      <c r="E10" t="s">
        <v>107</v>
      </c>
      <c r="F10" t="s">
        <v>44</v>
      </c>
      <c r="G10" t="s">
        <v>110</v>
      </c>
      <c r="H10" t="s">
        <v>47</v>
      </c>
      <c r="I10" t="s">
        <v>41</v>
      </c>
      <c r="J10" t="s">
        <v>46</v>
      </c>
      <c r="K10" t="s">
        <v>43</v>
      </c>
      <c r="L10">
        <v>7</v>
      </c>
      <c r="M10">
        <v>7</v>
      </c>
      <c r="Q10">
        <v>202601</v>
      </c>
    </row>
    <row r="11" spans="1:17" x14ac:dyDescent="0.2">
      <c r="C11" t="s">
        <v>93</v>
      </c>
      <c r="D11" t="s">
        <v>92</v>
      </c>
      <c r="E11" t="s">
        <v>107</v>
      </c>
      <c r="F11" t="s">
        <v>44</v>
      </c>
      <c r="G11" t="s">
        <v>111</v>
      </c>
      <c r="H11" t="s">
        <v>47</v>
      </c>
      <c r="I11" t="s">
        <v>41</v>
      </c>
      <c r="J11" t="s">
        <v>46</v>
      </c>
      <c r="K11" t="s">
        <v>43</v>
      </c>
      <c r="L11">
        <v>7</v>
      </c>
      <c r="M11">
        <v>7</v>
      </c>
      <c r="Q11">
        <v>202601</v>
      </c>
    </row>
    <row r="12" spans="1:17" x14ac:dyDescent="0.2">
      <c r="C12" t="s">
        <v>93</v>
      </c>
      <c r="D12" t="s">
        <v>92</v>
      </c>
      <c r="E12" t="s">
        <v>107</v>
      </c>
      <c r="F12" t="s">
        <v>44</v>
      </c>
      <c r="G12" t="s">
        <v>112</v>
      </c>
      <c r="H12" t="s">
        <v>47</v>
      </c>
      <c r="I12" t="s">
        <v>41</v>
      </c>
      <c r="J12" t="s">
        <v>46</v>
      </c>
      <c r="K12" t="s">
        <v>43</v>
      </c>
      <c r="L12">
        <v>27</v>
      </c>
      <c r="M12">
        <v>27</v>
      </c>
      <c r="Q12">
        <v>202601</v>
      </c>
    </row>
    <row r="13" spans="1:17" x14ac:dyDescent="0.2">
      <c r="C13" t="s">
        <v>93</v>
      </c>
      <c r="D13" t="s">
        <v>92</v>
      </c>
      <c r="E13" t="s">
        <v>113</v>
      </c>
      <c r="F13" t="s">
        <v>44</v>
      </c>
      <c r="G13" t="s">
        <v>114</v>
      </c>
      <c r="H13" t="s">
        <v>47</v>
      </c>
      <c r="I13" t="s">
        <v>41</v>
      </c>
      <c r="J13" t="s">
        <v>46</v>
      </c>
      <c r="K13" t="s">
        <v>43</v>
      </c>
      <c r="L13">
        <v>7</v>
      </c>
      <c r="M13">
        <v>7</v>
      </c>
      <c r="Q13">
        <v>202601</v>
      </c>
    </row>
    <row r="14" spans="1:17" x14ac:dyDescent="0.2">
      <c r="C14" t="s">
        <v>93</v>
      </c>
      <c r="D14" t="s">
        <v>92</v>
      </c>
      <c r="E14" t="s">
        <v>92</v>
      </c>
      <c r="F14" t="s">
        <v>44</v>
      </c>
      <c r="G14" t="s">
        <v>115</v>
      </c>
      <c r="H14" t="s">
        <v>47</v>
      </c>
      <c r="I14" t="s">
        <v>41</v>
      </c>
      <c r="J14" t="s">
        <v>46</v>
      </c>
      <c r="K14" t="s">
        <v>43</v>
      </c>
      <c r="L14">
        <v>27</v>
      </c>
      <c r="M14">
        <v>27</v>
      </c>
      <c r="Q14">
        <v>202601</v>
      </c>
    </row>
    <row r="15" spans="1:17" x14ac:dyDescent="0.2">
      <c r="C15" t="s">
        <v>93</v>
      </c>
      <c r="D15" t="s">
        <v>92</v>
      </c>
      <c r="E15" t="s">
        <v>92</v>
      </c>
      <c r="F15" t="s">
        <v>44</v>
      </c>
      <c r="G15" t="s">
        <v>116</v>
      </c>
      <c r="H15" t="s">
        <v>47</v>
      </c>
      <c r="I15" t="s">
        <v>41</v>
      </c>
      <c r="J15" t="s">
        <v>46</v>
      </c>
      <c r="K15" t="s">
        <v>43</v>
      </c>
      <c r="L15">
        <v>27</v>
      </c>
      <c r="M15">
        <v>27</v>
      </c>
      <c r="Q15">
        <v>202601</v>
      </c>
    </row>
    <row r="16" spans="1:17" x14ac:dyDescent="0.2">
      <c r="C16" t="s">
        <v>93</v>
      </c>
      <c r="D16" t="s">
        <v>92</v>
      </c>
      <c r="E16" t="s">
        <v>92</v>
      </c>
      <c r="F16" t="s">
        <v>44</v>
      </c>
      <c r="G16" t="s">
        <v>117</v>
      </c>
      <c r="H16" t="s">
        <v>47</v>
      </c>
      <c r="I16" t="s">
        <v>41</v>
      </c>
      <c r="J16" t="s">
        <v>46</v>
      </c>
      <c r="K16" t="s">
        <v>43</v>
      </c>
      <c r="L16">
        <v>7</v>
      </c>
      <c r="M16">
        <v>7</v>
      </c>
      <c r="Q16">
        <v>202601</v>
      </c>
    </row>
    <row r="17" spans="3:17" x14ac:dyDescent="0.2">
      <c r="C17" t="s">
        <v>93</v>
      </c>
      <c r="D17" t="s">
        <v>92</v>
      </c>
      <c r="E17" t="s">
        <v>92</v>
      </c>
      <c r="F17" t="s">
        <v>44</v>
      </c>
      <c r="G17" t="s">
        <v>118</v>
      </c>
      <c r="H17" t="s">
        <v>47</v>
      </c>
      <c r="I17" t="s">
        <v>41</v>
      </c>
      <c r="J17" t="s">
        <v>46</v>
      </c>
      <c r="K17" t="s">
        <v>43</v>
      </c>
      <c r="L17">
        <v>7</v>
      </c>
      <c r="M17">
        <v>7</v>
      </c>
      <c r="Q17">
        <v>202601</v>
      </c>
    </row>
    <row r="18" spans="3:17" x14ac:dyDescent="0.2">
      <c r="C18" t="s">
        <v>93</v>
      </c>
      <c r="D18" t="s">
        <v>92</v>
      </c>
      <c r="E18" t="s">
        <v>92</v>
      </c>
      <c r="F18" t="s">
        <v>44</v>
      </c>
      <c r="G18" t="s">
        <v>119</v>
      </c>
      <c r="H18" t="s">
        <v>47</v>
      </c>
      <c r="I18" t="s">
        <v>41</v>
      </c>
      <c r="J18" t="s">
        <v>46</v>
      </c>
      <c r="K18" t="s">
        <v>43</v>
      </c>
      <c r="L18">
        <v>7</v>
      </c>
      <c r="M18">
        <v>7</v>
      </c>
      <c r="Q18">
        <v>202601</v>
      </c>
    </row>
    <row r="19" spans="3:17" x14ac:dyDescent="0.2">
      <c r="C19" t="s">
        <v>93</v>
      </c>
      <c r="D19" t="s">
        <v>92</v>
      </c>
      <c r="E19" t="s">
        <v>92</v>
      </c>
      <c r="F19" t="s">
        <v>44</v>
      </c>
      <c r="G19" t="s">
        <v>120</v>
      </c>
      <c r="H19" t="s">
        <v>47</v>
      </c>
      <c r="I19" t="s">
        <v>41</v>
      </c>
      <c r="J19" t="s">
        <v>46</v>
      </c>
      <c r="K19" t="s">
        <v>43</v>
      </c>
      <c r="L19">
        <v>7</v>
      </c>
      <c r="M19">
        <v>7</v>
      </c>
      <c r="Q19">
        <v>202601</v>
      </c>
    </row>
    <row r="20" spans="3:17" x14ac:dyDescent="0.2">
      <c r="C20" t="s">
        <v>93</v>
      </c>
      <c r="D20" t="s">
        <v>92</v>
      </c>
      <c r="E20" t="s">
        <v>92</v>
      </c>
      <c r="F20" t="s">
        <v>44</v>
      </c>
      <c r="G20" t="s">
        <v>121</v>
      </c>
      <c r="H20" t="s">
        <v>47</v>
      </c>
      <c r="I20" t="s">
        <v>41</v>
      </c>
      <c r="J20" t="s">
        <v>46</v>
      </c>
      <c r="K20" t="s">
        <v>43</v>
      </c>
      <c r="L20">
        <v>7</v>
      </c>
      <c r="M20">
        <v>7</v>
      </c>
      <c r="Q20">
        <v>202601</v>
      </c>
    </row>
    <row r="21" spans="3:17" x14ac:dyDescent="0.2">
      <c r="C21" t="s">
        <v>93</v>
      </c>
      <c r="D21" t="s">
        <v>92</v>
      </c>
      <c r="E21" t="s">
        <v>92</v>
      </c>
      <c r="F21" t="s">
        <v>44</v>
      </c>
      <c r="G21" t="s">
        <v>122</v>
      </c>
      <c r="H21" t="s">
        <v>47</v>
      </c>
      <c r="I21" t="s">
        <v>41</v>
      </c>
      <c r="J21" t="s">
        <v>46</v>
      </c>
      <c r="K21" t="s">
        <v>43</v>
      </c>
      <c r="L21">
        <v>7</v>
      </c>
      <c r="M21">
        <v>7</v>
      </c>
      <c r="Q21">
        <v>202601</v>
      </c>
    </row>
    <row r="22" spans="3:17" x14ac:dyDescent="0.2">
      <c r="C22" t="s">
        <v>93</v>
      </c>
      <c r="D22" t="s">
        <v>92</v>
      </c>
      <c r="E22" t="s">
        <v>92</v>
      </c>
      <c r="F22" t="s">
        <v>44</v>
      </c>
      <c r="G22" t="s">
        <v>123</v>
      </c>
      <c r="H22" t="s">
        <v>47</v>
      </c>
      <c r="I22" t="s">
        <v>41</v>
      </c>
      <c r="J22" t="s">
        <v>46</v>
      </c>
      <c r="K22" t="s">
        <v>43</v>
      </c>
      <c r="L22">
        <v>7</v>
      </c>
      <c r="M22">
        <v>7</v>
      </c>
      <c r="Q22">
        <v>202601</v>
      </c>
    </row>
    <row r="23" spans="3:17" x14ac:dyDescent="0.2">
      <c r="C23" t="s">
        <v>93</v>
      </c>
      <c r="D23" t="s">
        <v>92</v>
      </c>
      <c r="E23" t="s">
        <v>92</v>
      </c>
      <c r="F23" t="s">
        <v>44</v>
      </c>
      <c r="G23" t="s">
        <v>124</v>
      </c>
      <c r="H23" t="s">
        <v>47</v>
      </c>
      <c r="I23" t="s">
        <v>41</v>
      </c>
      <c r="J23" t="s">
        <v>46</v>
      </c>
      <c r="K23" t="s">
        <v>43</v>
      </c>
      <c r="L23">
        <v>7</v>
      </c>
      <c r="M23">
        <v>7</v>
      </c>
      <c r="Q23">
        <v>202601</v>
      </c>
    </row>
    <row r="24" spans="3:17" x14ac:dyDescent="0.2">
      <c r="C24" t="s">
        <v>93</v>
      </c>
      <c r="D24" t="s">
        <v>92</v>
      </c>
      <c r="E24" t="s">
        <v>92</v>
      </c>
      <c r="F24" t="s">
        <v>44</v>
      </c>
      <c r="G24" t="s">
        <v>125</v>
      </c>
      <c r="H24" t="s">
        <v>47</v>
      </c>
      <c r="I24" t="s">
        <v>41</v>
      </c>
      <c r="J24" t="s">
        <v>46</v>
      </c>
      <c r="K24" t="s">
        <v>43</v>
      </c>
      <c r="L24">
        <v>7</v>
      </c>
      <c r="M24">
        <v>7</v>
      </c>
      <c r="Q24">
        <v>202601</v>
      </c>
    </row>
    <row r="25" spans="3:17" x14ac:dyDescent="0.2">
      <c r="C25" t="s">
        <v>93</v>
      </c>
      <c r="D25" t="s">
        <v>92</v>
      </c>
      <c r="E25" t="s">
        <v>92</v>
      </c>
      <c r="F25" t="s">
        <v>44</v>
      </c>
      <c r="G25" t="s">
        <v>126</v>
      </c>
      <c r="H25" t="s">
        <v>47</v>
      </c>
      <c r="I25" t="s">
        <v>41</v>
      </c>
      <c r="J25" t="s">
        <v>46</v>
      </c>
      <c r="K25" t="s">
        <v>43</v>
      </c>
      <c r="L25">
        <v>27</v>
      </c>
      <c r="M25">
        <v>27</v>
      </c>
      <c r="Q25">
        <v>202601</v>
      </c>
    </row>
    <row r="26" spans="3:17" x14ac:dyDescent="0.2">
      <c r="C26" t="s">
        <v>93</v>
      </c>
      <c r="D26" t="s">
        <v>92</v>
      </c>
      <c r="E26" t="s">
        <v>92</v>
      </c>
      <c r="F26" t="s">
        <v>44</v>
      </c>
      <c r="G26" t="s">
        <v>127</v>
      </c>
      <c r="H26" t="s">
        <v>47</v>
      </c>
      <c r="I26" t="s">
        <v>41</v>
      </c>
      <c r="J26" t="s">
        <v>46</v>
      </c>
      <c r="K26" t="s">
        <v>43</v>
      </c>
      <c r="L26">
        <v>7</v>
      </c>
      <c r="M26">
        <v>7</v>
      </c>
      <c r="Q26">
        <v>202601</v>
      </c>
    </row>
    <row r="27" spans="3:17" x14ac:dyDescent="0.2">
      <c r="C27" t="s">
        <v>93</v>
      </c>
      <c r="D27" t="s">
        <v>92</v>
      </c>
      <c r="E27" t="s">
        <v>92</v>
      </c>
      <c r="F27" t="s">
        <v>44</v>
      </c>
      <c r="G27" t="s">
        <v>128</v>
      </c>
      <c r="H27" t="s">
        <v>47</v>
      </c>
      <c r="I27" t="s">
        <v>41</v>
      </c>
      <c r="J27" t="s">
        <v>46</v>
      </c>
      <c r="K27" t="s">
        <v>43</v>
      </c>
      <c r="L27">
        <v>7</v>
      </c>
      <c r="M27">
        <v>7</v>
      </c>
      <c r="Q27">
        <v>202601</v>
      </c>
    </row>
    <row r="28" spans="3:17" x14ac:dyDescent="0.2">
      <c r="C28" t="s">
        <v>93</v>
      </c>
      <c r="D28" t="s">
        <v>92</v>
      </c>
      <c r="E28" t="s">
        <v>92</v>
      </c>
      <c r="F28" t="s">
        <v>44</v>
      </c>
      <c r="G28" t="s">
        <v>129</v>
      </c>
      <c r="H28" t="s">
        <v>47</v>
      </c>
      <c r="I28" t="s">
        <v>41</v>
      </c>
      <c r="J28" t="s">
        <v>46</v>
      </c>
      <c r="K28" t="s">
        <v>43</v>
      </c>
      <c r="L28">
        <v>7</v>
      </c>
      <c r="M28">
        <v>7</v>
      </c>
      <c r="Q28">
        <v>202601</v>
      </c>
    </row>
    <row r="29" spans="3:17" x14ac:dyDescent="0.2">
      <c r="C29" t="s">
        <v>93</v>
      </c>
      <c r="D29" t="s">
        <v>92</v>
      </c>
      <c r="E29" t="s">
        <v>92</v>
      </c>
      <c r="F29" t="s">
        <v>44</v>
      </c>
      <c r="G29" t="s">
        <v>130</v>
      </c>
      <c r="H29" t="s">
        <v>47</v>
      </c>
      <c r="I29" t="s">
        <v>41</v>
      </c>
      <c r="J29" t="s">
        <v>46</v>
      </c>
      <c r="K29" t="s">
        <v>43</v>
      </c>
      <c r="L29">
        <v>7</v>
      </c>
      <c r="M29">
        <v>7</v>
      </c>
      <c r="Q29">
        <v>202601</v>
      </c>
    </row>
    <row r="30" spans="3:17" x14ac:dyDescent="0.2">
      <c r="C30" t="s">
        <v>93</v>
      </c>
      <c r="D30" t="s">
        <v>92</v>
      </c>
      <c r="E30" t="s">
        <v>92</v>
      </c>
      <c r="F30" t="s">
        <v>44</v>
      </c>
      <c r="G30" t="s">
        <v>131</v>
      </c>
      <c r="H30" t="s">
        <v>47</v>
      </c>
      <c r="I30" t="s">
        <v>41</v>
      </c>
      <c r="J30" t="s">
        <v>46</v>
      </c>
      <c r="K30" t="s">
        <v>43</v>
      </c>
      <c r="L30">
        <v>7</v>
      </c>
      <c r="M30">
        <v>7</v>
      </c>
      <c r="Q30">
        <v>202601</v>
      </c>
    </row>
    <row r="31" spans="3:17" x14ac:dyDescent="0.2">
      <c r="C31" t="s">
        <v>93</v>
      </c>
      <c r="D31" t="s">
        <v>92</v>
      </c>
      <c r="E31" t="s">
        <v>92</v>
      </c>
      <c r="F31" t="s">
        <v>44</v>
      </c>
      <c r="G31" t="s">
        <v>132</v>
      </c>
      <c r="H31" t="s">
        <v>47</v>
      </c>
      <c r="I31" t="s">
        <v>41</v>
      </c>
      <c r="J31" t="s">
        <v>46</v>
      </c>
      <c r="K31" t="s">
        <v>43</v>
      </c>
      <c r="L31">
        <v>27</v>
      </c>
      <c r="M31">
        <v>27</v>
      </c>
      <c r="Q31">
        <v>202601</v>
      </c>
    </row>
    <row r="32" spans="3:17" x14ac:dyDescent="0.2">
      <c r="C32" t="s">
        <v>93</v>
      </c>
      <c r="D32" t="s">
        <v>92</v>
      </c>
      <c r="E32" t="s">
        <v>92</v>
      </c>
      <c r="F32" t="s">
        <v>44</v>
      </c>
      <c r="G32" t="s">
        <v>133</v>
      </c>
      <c r="H32" t="s">
        <v>47</v>
      </c>
      <c r="I32" t="s">
        <v>41</v>
      </c>
      <c r="J32" t="s">
        <v>46</v>
      </c>
      <c r="K32" t="s">
        <v>43</v>
      </c>
      <c r="L32">
        <v>7</v>
      </c>
      <c r="M32">
        <v>7</v>
      </c>
      <c r="Q32">
        <v>202601</v>
      </c>
    </row>
    <row r="33" spans="3:17" x14ac:dyDescent="0.2">
      <c r="C33" t="s">
        <v>93</v>
      </c>
      <c r="D33" t="s">
        <v>92</v>
      </c>
      <c r="E33" t="s">
        <v>134</v>
      </c>
      <c r="F33" t="s">
        <v>44</v>
      </c>
      <c r="G33" t="s">
        <v>135</v>
      </c>
      <c r="H33" t="s">
        <v>47</v>
      </c>
      <c r="I33" t="s">
        <v>41</v>
      </c>
      <c r="J33" t="s">
        <v>46</v>
      </c>
      <c r="K33" t="s">
        <v>43</v>
      </c>
      <c r="L33">
        <v>7</v>
      </c>
      <c r="M33">
        <v>7</v>
      </c>
      <c r="Q33">
        <v>202601</v>
      </c>
    </row>
    <row r="34" spans="3:17" x14ac:dyDescent="0.2">
      <c r="C34" t="s">
        <v>93</v>
      </c>
      <c r="D34" t="s">
        <v>92</v>
      </c>
      <c r="E34" t="s">
        <v>136</v>
      </c>
      <c r="F34" t="s">
        <v>44</v>
      </c>
      <c r="G34" t="s">
        <v>137</v>
      </c>
      <c r="H34" t="s">
        <v>47</v>
      </c>
      <c r="I34" t="s">
        <v>41</v>
      </c>
      <c r="J34" t="s">
        <v>46</v>
      </c>
      <c r="K34" t="s">
        <v>43</v>
      </c>
      <c r="L34">
        <v>7</v>
      </c>
      <c r="M34">
        <v>7</v>
      </c>
      <c r="Q34">
        <v>202601</v>
      </c>
    </row>
    <row r="35" spans="3:17" x14ac:dyDescent="0.2">
      <c r="C35" t="s">
        <v>93</v>
      </c>
      <c r="D35" t="s">
        <v>92</v>
      </c>
      <c r="E35" t="s">
        <v>136</v>
      </c>
      <c r="F35" t="s">
        <v>44</v>
      </c>
      <c r="G35" t="s">
        <v>138</v>
      </c>
      <c r="H35" t="s">
        <v>47</v>
      </c>
      <c r="I35" t="s">
        <v>41</v>
      </c>
      <c r="J35" t="s">
        <v>46</v>
      </c>
      <c r="K35" t="s">
        <v>43</v>
      </c>
      <c r="L35">
        <v>7</v>
      </c>
      <c r="M35">
        <v>7</v>
      </c>
      <c r="Q35">
        <v>202601</v>
      </c>
    </row>
    <row r="36" spans="3:17" x14ac:dyDescent="0.2">
      <c r="C36" t="s">
        <v>93</v>
      </c>
      <c r="D36" t="s">
        <v>92</v>
      </c>
      <c r="E36" t="s">
        <v>136</v>
      </c>
      <c r="F36" t="s">
        <v>44</v>
      </c>
      <c r="G36" t="s">
        <v>139</v>
      </c>
      <c r="H36" t="s">
        <v>47</v>
      </c>
      <c r="I36" t="s">
        <v>41</v>
      </c>
      <c r="J36" t="s">
        <v>46</v>
      </c>
      <c r="K36" t="s">
        <v>43</v>
      </c>
      <c r="L36">
        <v>7</v>
      </c>
      <c r="M36">
        <v>7</v>
      </c>
      <c r="Q36">
        <v>202601</v>
      </c>
    </row>
    <row r="37" spans="3:17" x14ac:dyDescent="0.2">
      <c r="C37" t="s">
        <v>93</v>
      </c>
      <c r="D37" t="s">
        <v>92</v>
      </c>
      <c r="E37" t="s">
        <v>136</v>
      </c>
      <c r="F37" t="s">
        <v>44</v>
      </c>
      <c r="G37" t="s">
        <v>140</v>
      </c>
      <c r="H37" t="s">
        <v>47</v>
      </c>
      <c r="I37" t="s">
        <v>41</v>
      </c>
      <c r="J37" t="s">
        <v>46</v>
      </c>
      <c r="K37" t="s">
        <v>43</v>
      </c>
      <c r="L37">
        <v>7</v>
      </c>
      <c r="M37">
        <v>7</v>
      </c>
      <c r="Q37">
        <v>202601</v>
      </c>
    </row>
    <row r="38" spans="3:17" x14ac:dyDescent="0.2">
      <c r="C38" t="s">
        <v>93</v>
      </c>
      <c r="D38" t="s">
        <v>92</v>
      </c>
      <c r="E38" t="s">
        <v>136</v>
      </c>
      <c r="F38" t="s">
        <v>44</v>
      </c>
      <c r="G38" t="s">
        <v>141</v>
      </c>
      <c r="H38" t="s">
        <v>47</v>
      </c>
      <c r="I38" t="s">
        <v>41</v>
      </c>
      <c r="J38" t="s">
        <v>46</v>
      </c>
      <c r="K38" t="s">
        <v>43</v>
      </c>
      <c r="L38">
        <v>7</v>
      </c>
      <c r="M38">
        <v>7</v>
      </c>
      <c r="Q38">
        <v>202601</v>
      </c>
    </row>
    <row r="39" spans="3:17" x14ac:dyDescent="0.2">
      <c r="C39" t="s">
        <v>93</v>
      </c>
      <c r="D39" t="s">
        <v>92</v>
      </c>
      <c r="E39" t="s">
        <v>136</v>
      </c>
      <c r="F39" t="s">
        <v>44</v>
      </c>
      <c r="G39" t="s">
        <v>142</v>
      </c>
      <c r="H39" t="s">
        <v>47</v>
      </c>
      <c r="I39" t="s">
        <v>41</v>
      </c>
      <c r="J39" t="s">
        <v>46</v>
      </c>
      <c r="K39" t="s">
        <v>43</v>
      </c>
      <c r="L39">
        <v>7</v>
      </c>
      <c r="M39">
        <v>7</v>
      </c>
      <c r="Q39">
        <v>202601</v>
      </c>
    </row>
    <row r="40" spans="3:17" x14ac:dyDescent="0.2">
      <c r="C40" t="s">
        <v>93</v>
      </c>
      <c r="D40" t="s">
        <v>92</v>
      </c>
      <c r="E40" t="s">
        <v>136</v>
      </c>
      <c r="F40" t="s">
        <v>44</v>
      </c>
      <c r="G40" t="s">
        <v>143</v>
      </c>
      <c r="H40" t="s">
        <v>47</v>
      </c>
      <c r="I40" t="s">
        <v>41</v>
      </c>
      <c r="J40" t="s">
        <v>46</v>
      </c>
      <c r="K40" t="s">
        <v>43</v>
      </c>
      <c r="L40">
        <v>7</v>
      </c>
      <c r="M40">
        <v>7</v>
      </c>
      <c r="Q40">
        <v>202601</v>
      </c>
    </row>
    <row r="41" spans="3:17" x14ac:dyDescent="0.2">
      <c r="C41" t="s">
        <v>93</v>
      </c>
      <c r="D41" t="s">
        <v>92</v>
      </c>
      <c r="E41" t="s">
        <v>136</v>
      </c>
      <c r="F41" t="s">
        <v>44</v>
      </c>
      <c r="G41" t="s">
        <v>144</v>
      </c>
      <c r="H41" t="s">
        <v>47</v>
      </c>
      <c r="I41" t="s">
        <v>41</v>
      </c>
      <c r="J41" t="s">
        <v>46</v>
      </c>
      <c r="K41" t="s">
        <v>43</v>
      </c>
      <c r="L41">
        <v>7</v>
      </c>
      <c r="M41">
        <v>7</v>
      </c>
      <c r="Q41">
        <v>202601</v>
      </c>
    </row>
    <row r="42" spans="3:17" x14ac:dyDescent="0.2">
      <c r="C42" t="s">
        <v>93</v>
      </c>
      <c r="D42" t="s">
        <v>92</v>
      </c>
      <c r="E42" t="s">
        <v>136</v>
      </c>
      <c r="F42" t="s">
        <v>44</v>
      </c>
      <c r="G42" t="s">
        <v>145</v>
      </c>
      <c r="H42" t="s">
        <v>47</v>
      </c>
      <c r="I42" t="s">
        <v>41</v>
      </c>
      <c r="J42" t="s">
        <v>46</v>
      </c>
      <c r="K42" t="s">
        <v>43</v>
      </c>
      <c r="L42">
        <v>16</v>
      </c>
      <c r="M42">
        <v>16</v>
      </c>
      <c r="Q42">
        <v>202601</v>
      </c>
    </row>
    <row r="43" spans="3:17" x14ac:dyDescent="0.2">
      <c r="C43" t="s">
        <v>93</v>
      </c>
      <c r="D43" t="s">
        <v>92</v>
      </c>
      <c r="E43" t="s">
        <v>136</v>
      </c>
      <c r="F43" t="s">
        <v>44</v>
      </c>
      <c r="G43" t="s">
        <v>146</v>
      </c>
      <c r="H43" t="s">
        <v>47</v>
      </c>
      <c r="I43" t="s">
        <v>41</v>
      </c>
      <c r="J43" t="s">
        <v>46</v>
      </c>
      <c r="K43" t="s">
        <v>43</v>
      </c>
      <c r="L43">
        <v>7</v>
      </c>
      <c r="M43">
        <v>7</v>
      </c>
      <c r="Q43">
        <v>202601</v>
      </c>
    </row>
    <row r="44" spans="3:17" x14ac:dyDescent="0.2">
      <c r="C44" t="s">
        <v>93</v>
      </c>
      <c r="D44" t="s">
        <v>92</v>
      </c>
      <c r="E44" t="s">
        <v>136</v>
      </c>
      <c r="F44" t="s">
        <v>44</v>
      </c>
      <c r="G44" t="s">
        <v>147</v>
      </c>
      <c r="H44" t="s">
        <v>47</v>
      </c>
      <c r="I44" t="s">
        <v>41</v>
      </c>
      <c r="J44" t="s">
        <v>46</v>
      </c>
      <c r="K44" t="s">
        <v>43</v>
      </c>
      <c r="L44">
        <v>7</v>
      </c>
      <c r="M44">
        <v>7</v>
      </c>
      <c r="Q44">
        <v>202601</v>
      </c>
    </row>
    <row r="45" spans="3:17" x14ac:dyDescent="0.2">
      <c r="C45" t="s">
        <v>93</v>
      </c>
      <c r="D45" t="s">
        <v>92</v>
      </c>
      <c r="E45" t="s">
        <v>136</v>
      </c>
      <c r="F45" t="s">
        <v>44</v>
      </c>
      <c r="G45" t="s">
        <v>148</v>
      </c>
      <c r="H45" t="s">
        <v>47</v>
      </c>
      <c r="I45" t="s">
        <v>41</v>
      </c>
      <c r="J45" t="s">
        <v>46</v>
      </c>
      <c r="K45" t="s">
        <v>43</v>
      </c>
      <c r="L45">
        <v>7</v>
      </c>
      <c r="M45">
        <v>7</v>
      </c>
      <c r="Q45">
        <v>202601</v>
      </c>
    </row>
    <row r="46" spans="3:17" x14ac:dyDescent="0.2">
      <c r="C46" t="s">
        <v>93</v>
      </c>
      <c r="D46" t="s">
        <v>92</v>
      </c>
      <c r="E46" t="s">
        <v>136</v>
      </c>
      <c r="F46" t="s">
        <v>44</v>
      </c>
      <c r="G46" t="s">
        <v>149</v>
      </c>
      <c r="H46" t="s">
        <v>47</v>
      </c>
      <c r="I46" t="s">
        <v>41</v>
      </c>
      <c r="J46" t="s">
        <v>46</v>
      </c>
      <c r="K46" t="s">
        <v>43</v>
      </c>
      <c r="L46">
        <v>27</v>
      </c>
      <c r="M46">
        <v>27</v>
      </c>
      <c r="Q46">
        <v>202601</v>
      </c>
    </row>
    <row r="47" spans="3:17" x14ac:dyDescent="0.2">
      <c r="C47" t="s">
        <v>93</v>
      </c>
      <c r="D47" t="s">
        <v>92</v>
      </c>
      <c r="E47" t="s">
        <v>136</v>
      </c>
      <c r="F47" t="s">
        <v>44</v>
      </c>
      <c r="G47" t="s">
        <v>150</v>
      </c>
      <c r="H47" t="s">
        <v>47</v>
      </c>
      <c r="I47" t="s">
        <v>41</v>
      </c>
      <c r="J47" t="s">
        <v>46</v>
      </c>
      <c r="K47" t="s">
        <v>43</v>
      </c>
      <c r="L47">
        <v>7</v>
      </c>
      <c r="M47">
        <v>7</v>
      </c>
      <c r="Q47">
        <v>202601</v>
      </c>
    </row>
    <row r="48" spans="3:17" x14ac:dyDescent="0.2">
      <c r="C48" t="s">
        <v>93</v>
      </c>
      <c r="D48" t="s">
        <v>92</v>
      </c>
      <c r="E48" t="s">
        <v>136</v>
      </c>
      <c r="F48" t="s">
        <v>44</v>
      </c>
      <c r="G48" t="s">
        <v>151</v>
      </c>
      <c r="H48" t="s">
        <v>47</v>
      </c>
      <c r="I48" t="s">
        <v>41</v>
      </c>
      <c r="J48" t="s">
        <v>46</v>
      </c>
      <c r="K48" t="s">
        <v>43</v>
      </c>
      <c r="L48">
        <v>7</v>
      </c>
      <c r="M48">
        <v>7</v>
      </c>
      <c r="Q48">
        <v>202601</v>
      </c>
    </row>
    <row r="49" spans="3:17" x14ac:dyDescent="0.2">
      <c r="C49" t="s">
        <v>93</v>
      </c>
      <c r="D49" t="s">
        <v>92</v>
      </c>
      <c r="E49" t="s">
        <v>152</v>
      </c>
      <c r="F49" t="s">
        <v>44</v>
      </c>
      <c r="G49" t="s">
        <v>153</v>
      </c>
      <c r="H49" t="s">
        <v>47</v>
      </c>
      <c r="I49" t="s">
        <v>41</v>
      </c>
      <c r="J49" t="s">
        <v>46</v>
      </c>
      <c r="K49" t="s">
        <v>43</v>
      </c>
      <c r="L49">
        <v>16</v>
      </c>
      <c r="M49">
        <v>16</v>
      </c>
      <c r="Q49">
        <v>202601</v>
      </c>
    </row>
    <row r="50" spans="3:17" x14ac:dyDescent="0.2">
      <c r="C50" t="s">
        <v>93</v>
      </c>
      <c r="D50" t="s">
        <v>92</v>
      </c>
      <c r="E50" t="s">
        <v>154</v>
      </c>
      <c r="F50" t="s">
        <v>44</v>
      </c>
      <c r="G50" t="s">
        <v>155</v>
      </c>
      <c r="H50" t="s">
        <v>47</v>
      </c>
      <c r="I50" t="s">
        <v>41</v>
      </c>
      <c r="J50" t="s">
        <v>46</v>
      </c>
      <c r="K50" t="s">
        <v>43</v>
      </c>
      <c r="L50">
        <v>7</v>
      </c>
      <c r="M50">
        <v>7</v>
      </c>
      <c r="Q50">
        <v>202601</v>
      </c>
    </row>
    <row r="51" spans="3:17" x14ac:dyDescent="0.2">
      <c r="C51" t="s">
        <v>93</v>
      </c>
      <c r="D51" t="s">
        <v>92</v>
      </c>
      <c r="E51" t="s">
        <v>154</v>
      </c>
      <c r="F51" t="s">
        <v>44</v>
      </c>
      <c r="G51" t="s">
        <v>156</v>
      </c>
      <c r="H51" t="s">
        <v>47</v>
      </c>
      <c r="I51" t="s">
        <v>41</v>
      </c>
      <c r="J51" t="s">
        <v>46</v>
      </c>
      <c r="K51" t="s">
        <v>43</v>
      </c>
      <c r="L51">
        <v>7</v>
      </c>
      <c r="M51">
        <v>7</v>
      </c>
      <c r="Q51">
        <v>202601</v>
      </c>
    </row>
    <row r="52" spans="3:17" x14ac:dyDescent="0.2">
      <c r="C52" t="s">
        <v>93</v>
      </c>
      <c r="D52" t="s">
        <v>92</v>
      </c>
      <c r="E52" t="s">
        <v>154</v>
      </c>
      <c r="F52" t="s">
        <v>44</v>
      </c>
      <c r="G52" t="s">
        <v>157</v>
      </c>
      <c r="H52" t="s">
        <v>47</v>
      </c>
      <c r="I52" t="s">
        <v>41</v>
      </c>
      <c r="J52" t="s">
        <v>46</v>
      </c>
      <c r="K52" t="s">
        <v>43</v>
      </c>
      <c r="L52">
        <v>7</v>
      </c>
      <c r="M52">
        <v>7</v>
      </c>
      <c r="Q52">
        <v>202601</v>
      </c>
    </row>
    <row r="53" spans="3:17" x14ac:dyDescent="0.2">
      <c r="C53" t="s">
        <v>93</v>
      </c>
      <c r="D53" t="s">
        <v>92</v>
      </c>
      <c r="E53" t="s">
        <v>154</v>
      </c>
      <c r="F53" t="s">
        <v>44</v>
      </c>
      <c r="G53" t="s">
        <v>158</v>
      </c>
      <c r="H53" t="s">
        <v>47</v>
      </c>
      <c r="I53" t="s">
        <v>41</v>
      </c>
      <c r="J53" t="s">
        <v>46</v>
      </c>
      <c r="K53" t="s">
        <v>43</v>
      </c>
      <c r="L53">
        <v>7</v>
      </c>
      <c r="M53">
        <v>7</v>
      </c>
      <c r="Q53">
        <v>202601</v>
      </c>
    </row>
    <row r="54" spans="3:17" x14ac:dyDescent="0.2">
      <c r="C54" t="s">
        <v>93</v>
      </c>
      <c r="D54" t="s">
        <v>92</v>
      </c>
      <c r="E54" t="s">
        <v>154</v>
      </c>
      <c r="F54" t="s">
        <v>44</v>
      </c>
      <c r="G54" t="s">
        <v>159</v>
      </c>
      <c r="H54" t="s">
        <v>47</v>
      </c>
      <c r="I54" t="s">
        <v>41</v>
      </c>
      <c r="J54" t="s">
        <v>46</v>
      </c>
      <c r="K54" t="s">
        <v>43</v>
      </c>
      <c r="L54">
        <v>7</v>
      </c>
      <c r="M54">
        <v>7</v>
      </c>
      <c r="Q54">
        <v>202601</v>
      </c>
    </row>
    <row r="55" spans="3:17" x14ac:dyDescent="0.2">
      <c r="C55" t="s">
        <v>93</v>
      </c>
      <c r="D55" t="s">
        <v>92</v>
      </c>
      <c r="E55" t="s">
        <v>154</v>
      </c>
      <c r="F55" t="s">
        <v>44</v>
      </c>
      <c r="G55" t="s">
        <v>160</v>
      </c>
      <c r="H55" t="s">
        <v>47</v>
      </c>
      <c r="I55" t="s">
        <v>41</v>
      </c>
      <c r="J55" t="s">
        <v>46</v>
      </c>
      <c r="K55" t="s">
        <v>43</v>
      </c>
      <c r="L55">
        <v>7</v>
      </c>
      <c r="M55">
        <v>7</v>
      </c>
      <c r="Q55">
        <v>202601</v>
      </c>
    </row>
    <row r="56" spans="3:17" x14ac:dyDescent="0.2">
      <c r="C56" t="s">
        <v>93</v>
      </c>
      <c r="D56" t="s">
        <v>92</v>
      </c>
      <c r="E56" t="s">
        <v>154</v>
      </c>
      <c r="F56" t="s">
        <v>44</v>
      </c>
      <c r="G56" t="s">
        <v>161</v>
      </c>
      <c r="H56" t="s">
        <v>47</v>
      </c>
      <c r="I56" t="s">
        <v>41</v>
      </c>
      <c r="J56" t="s">
        <v>46</v>
      </c>
      <c r="K56" t="s">
        <v>43</v>
      </c>
      <c r="L56">
        <v>7</v>
      </c>
      <c r="M56">
        <v>7</v>
      </c>
      <c r="Q56">
        <v>202601</v>
      </c>
    </row>
    <row r="57" spans="3:17" x14ac:dyDescent="0.2">
      <c r="C57" t="s">
        <v>93</v>
      </c>
      <c r="D57" t="s">
        <v>92</v>
      </c>
      <c r="E57" t="s">
        <v>154</v>
      </c>
      <c r="F57" t="s">
        <v>44</v>
      </c>
      <c r="G57" t="s">
        <v>162</v>
      </c>
      <c r="H57" t="s">
        <v>47</v>
      </c>
      <c r="I57" t="s">
        <v>41</v>
      </c>
      <c r="J57" t="s">
        <v>46</v>
      </c>
      <c r="K57" t="s">
        <v>43</v>
      </c>
      <c r="L57">
        <v>27</v>
      </c>
      <c r="M57">
        <v>27</v>
      </c>
      <c r="Q57">
        <v>202601</v>
      </c>
    </row>
    <row r="58" spans="3:17" x14ac:dyDescent="0.2">
      <c r="C58" t="s">
        <v>93</v>
      </c>
      <c r="D58" t="s">
        <v>92</v>
      </c>
      <c r="E58" t="s">
        <v>154</v>
      </c>
      <c r="F58" t="s">
        <v>44</v>
      </c>
      <c r="G58" t="s">
        <v>163</v>
      </c>
      <c r="H58" t="s">
        <v>47</v>
      </c>
      <c r="I58" t="s">
        <v>41</v>
      </c>
      <c r="J58" t="s">
        <v>46</v>
      </c>
      <c r="K58" t="s">
        <v>43</v>
      </c>
      <c r="L58">
        <v>7</v>
      </c>
      <c r="M58">
        <v>7</v>
      </c>
      <c r="Q58">
        <v>202601</v>
      </c>
    </row>
    <row r="59" spans="3:17" x14ac:dyDescent="0.2">
      <c r="C59" t="s">
        <v>93</v>
      </c>
      <c r="D59" t="s">
        <v>92</v>
      </c>
      <c r="E59" t="s">
        <v>154</v>
      </c>
      <c r="F59" t="s">
        <v>44</v>
      </c>
      <c r="G59" t="s">
        <v>164</v>
      </c>
      <c r="H59" t="s">
        <v>47</v>
      </c>
      <c r="I59" t="s">
        <v>41</v>
      </c>
      <c r="J59" t="s">
        <v>46</v>
      </c>
      <c r="K59" t="s">
        <v>43</v>
      </c>
      <c r="L59">
        <v>27</v>
      </c>
      <c r="M59">
        <v>27</v>
      </c>
      <c r="Q59">
        <v>202601</v>
      </c>
    </row>
    <row r="60" spans="3:17" x14ac:dyDescent="0.2">
      <c r="C60" t="s">
        <v>93</v>
      </c>
      <c r="D60" t="s">
        <v>92</v>
      </c>
      <c r="E60" t="s">
        <v>165</v>
      </c>
      <c r="F60" t="s">
        <v>44</v>
      </c>
      <c r="G60" t="s">
        <v>166</v>
      </c>
      <c r="H60" t="s">
        <v>47</v>
      </c>
      <c r="I60" t="s">
        <v>41</v>
      </c>
      <c r="J60" t="s">
        <v>46</v>
      </c>
      <c r="K60" t="s">
        <v>43</v>
      </c>
      <c r="L60">
        <v>27</v>
      </c>
      <c r="M60">
        <v>27</v>
      </c>
      <c r="Q60">
        <v>202601</v>
      </c>
    </row>
    <row r="61" spans="3:17" x14ac:dyDescent="0.2">
      <c r="C61" t="s">
        <v>93</v>
      </c>
      <c r="D61" t="s">
        <v>92</v>
      </c>
      <c r="E61" t="s">
        <v>167</v>
      </c>
      <c r="F61" t="s">
        <v>44</v>
      </c>
      <c r="G61" t="s">
        <v>168</v>
      </c>
      <c r="H61" t="s">
        <v>47</v>
      </c>
      <c r="I61" t="s">
        <v>41</v>
      </c>
      <c r="J61" t="s">
        <v>46</v>
      </c>
      <c r="K61" t="s">
        <v>43</v>
      </c>
      <c r="L61">
        <v>7</v>
      </c>
      <c r="M61">
        <v>7</v>
      </c>
      <c r="Q61">
        <v>202601</v>
      </c>
    </row>
    <row r="62" spans="3:17" x14ac:dyDescent="0.2">
      <c r="C62" t="s">
        <v>93</v>
      </c>
      <c r="D62" t="s">
        <v>92</v>
      </c>
      <c r="E62" t="s">
        <v>169</v>
      </c>
      <c r="F62" t="s">
        <v>44</v>
      </c>
      <c r="G62" t="s">
        <v>170</v>
      </c>
      <c r="H62" t="s">
        <v>47</v>
      </c>
      <c r="I62" t="s">
        <v>41</v>
      </c>
      <c r="J62" t="s">
        <v>46</v>
      </c>
      <c r="K62" t="s">
        <v>43</v>
      </c>
      <c r="L62">
        <v>7</v>
      </c>
      <c r="M62">
        <v>7</v>
      </c>
      <c r="Q62">
        <v>202601</v>
      </c>
    </row>
    <row r="63" spans="3:17" x14ac:dyDescent="0.2">
      <c r="C63" t="s">
        <v>93</v>
      </c>
      <c r="D63" t="s">
        <v>92</v>
      </c>
      <c r="E63" t="s">
        <v>171</v>
      </c>
      <c r="F63" t="s">
        <v>44</v>
      </c>
      <c r="G63" t="s">
        <v>172</v>
      </c>
      <c r="H63" t="s">
        <v>47</v>
      </c>
      <c r="I63" t="s">
        <v>41</v>
      </c>
      <c r="J63" t="s">
        <v>46</v>
      </c>
      <c r="K63" t="s">
        <v>43</v>
      </c>
      <c r="L63">
        <v>7</v>
      </c>
      <c r="M63">
        <v>7</v>
      </c>
      <c r="Q63">
        <v>202601</v>
      </c>
    </row>
    <row r="64" spans="3:17" x14ac:dyDescent="0.2">
      <c r="C64" t="s">
        <v>93</v>
      </c>
      <c r="D64" t="s">
        <v>92</v>
      </c>
      <c r="E64" t="s">
        <v>171</v>
      </c>
      <c r="F64" t="s">
        <v>44</v>
      </c>
      <c r="G64" t="s">
        <v>174</v>
      </c>
      <c r="H64" t="s">
        <v>47</v>
      </c>
      <c r="I64" t="s">
        <v>41</v>
      </c>
      <c r="J64" t="s">
        <v>46</v>
      </c>
      <c r="K64" t="s">
        <v>43</v>
      </c>
      <c r="L64">
        <v>7</v>
      </c>
      <c r="M64">
        <v>7</v>
      </c>
      <c r="Q64">
        <v>202601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2CDC2-6DD1-4AFB-9C04-B9C17DCBB524}">
  <sheetPr codeName="Sheet13"/>
  <dimension ref="A1:Q65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3.25" customWidth="1"/>
    <col min="2" max="2" width="15.125" customWidth="1"/>
    <col min="3" max="3" width="15.75" customWidth="1"/>
    <col min="4" max="4" width="17.125" customWidth="1"/>
    <col min="5" max="5" width="14.375" customWidth="1"/>
    <col min="6" max="6" width="16.5" customWidth="1"/>
    <col min="7" max="7" width="15.75" customWidth="1"/>
    <col min="8" max="8" width="8.625" customWidth="1"/>
    <col min="9" max="9" width="9.5" customWidth="1"/>
    <col min="10" max="10" width="17.5" customWidth="1"/>
    <col min="11" max="11" width="9.125" customWidth="1"/>
    <col min="12" max="12" width="13.375" customWidth="1"/>
    <col min="13" max="15" width="11.25" customWidth="1"/>
    <col min="16" max="16" width="9.25" customWidth="1"/>
    <col min="17" max="17" width="7.5" customWidth="1"/>
  </cols>
  <sheetData>
    <row r="1" spans="1:17" ht="15" x14ac:dyDescent="0.2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36</v>
      </c>
      <c r="N1" s="23" t="s">
        <v>37</v>
      </c>
      <c r="O1" s="23" t="s">
        <v>38</v>
      </c>
      <c r="P1" s="23" t="s">
        <v>7</v>
      </c>
      <c r="Q1" s="25" t="s">
        <v>39</v>
      </c>
    </row>
    <row r="2" spans="1:17" x14ac:dyDescent="0.2">
      <c r="C2" t="s">
        <v>93</v>
      </c>
      <c r="D2" t="s">
        <v>92</v>
      </c>
      <c r="E2" t="s">
        <v>96</v>
      </c>
      <c r="F2" t="s">
        <v>40</v>
      </c>
      <c r="G2" t="s">
        <v>97</v>
      </c>
      <c r="H2" t="s">
        <v>48</v>
      </c>
      <c r="I2" t="s">
        <v>41</v>
      </c>
      <c r="J2" t="s">
        <v>42</v>
      </c>
      <c r="K2" t="s">
        <v>43</v>
      </c>
      <c r="L2">
        <v>48.96</v>
      </c>
      <c r="M2">
        <v>48.96</v>
      </c>
      <c r="Q2">
        <v>202601</v>
      </c>
    </row>
    <row r="3" spans="1:17" x14ac:dyDescent="0.2">
      <c r="C3" t="s">
        <v>93</v>
      </c>
      <c r="D3" t="s">
        <v>92</v>
      </c>
      <c r="E3" t="s">
        <v>96</v>
      </c>
      <c r="F3" t="s">
        <v>40</v>
      </c>
      <c r="G3" t="s">
        <v>98</v>
      </c>
      <c r="H3" t="s">
        <v>48</v>
      </c>
      <c r="I3" t="s">
        <v>41</v>
      </c>
      <c r="J3" t="s">
        <v>42</v>
      </c>
      <c r="K3" t="s">
        <v>43</v>
      </c>
      <c r="L3">
        <v>203.04</v>
      </c>
      <c r="M3">
        <v>203.04</v>
      </c>
      <c r="Q3">
        <v>202601</v>
      </c>
    </row>
    <row r="4" spans="1:17" x14ac:dyDescent="0.2">
      <c r="C4" t="s">
        <v>93</v>
      </c>
      <c r="D4" t="s">
        <v>92</v>
      </c>
      <c r="E4" t="s">
        <v>99</v>
      </c>
      <c r="F4" t="s">
        <v>40</v>
      </c>
      <c r="G4" t="s">
        <v>100</v>
      </c>
      <c r="H4" t="s">
        <v>48</v>
      </c>
      <c r="I4" t="s">
        <v>41</v>
      </c>
      <c r="J4" t="s">
        <v>42</v>
      </c>
      <c r="K4" t="s">
        <v>43</v>
      </c>
      <c r="L4">
        <v>235.47</v>
      </c>
      <c r="M4">
        <v>235.47</v>
      </c>
      <c r="Q4">
        <v>202601</v>
      </c>
    </row>
    <row r="5" spans="1:17" x14ac:dyDescent="0.2">
      <c r="C5" t="s">
        <v>93</v>
      </c>
      <c r="D5" t="s">
        <v>92</v>
      </c>
      <c r="E5" t="s">
        <v>101</v>
      </c>
      <c r="F5" t="s">
        <v>40</v>
      </c>
      <c r="G5" t="s">
        <v>102</v>
      </c>
      <c r="H5" t="s">
        <v>48</v>
      </c>
      <c r="I5" t="s">
        <v>41</v>
      </c>
      <c r="J5" t="s">
        <v>42</v>
      </c>
      <c r="K5" t="s">
        <v>43</v>
      </c>
      <c r="L5">
        <v>503.37</v>
      </c>
      <c r="M5">
        <v>503.37</v>
      </c>
      <c r="Q5">
        <v>202601</v>
      </c>
    </row>
    <row r="6" spans="1:17" x14ac:dyDescent="0.2">
      <c r="C6" t="s">
        <v>93</v>
      </c>
      <c r="D6" t="s">
        <v>92</v>
      </c>
      <c r="E6" t="s">
        <v>103</v>
      </c>
      <c r="F6" t="s">
        <v>40</v>
      </c>
      <c r="G6" t="s">
        <v>104</v>
      </c>
      <c r="H6" t="s">
        <v>48</v>
      </c>
      <c r="I6" t="s">
        <v>41</v>
      </c>
      <c r="J6" t="s">
        <v>42</v>
      </c>
      <c r="K6" t="s">
        <v>43</v>
      </c>
      <c r="L6">
        <v>133.07</v>
      </c>
      <c r="M6">
        <v>133.07</v>
      </c>
      <c r="Q6">
        <v>202601</v>
      </c>
    </row>
    <row r="7" spans="1:17" x14ac:dyDescent="0.2">
      <c r="C7" t="s">
        <v>93</v>
      </c>
      <c r="D7" t="s">
        <v>92</v>
      </c>
      <c r="E7" t="s">
        <v>105</v>
      </c>
      <c r="F7" t="s">
        <v>40</v>
      </c>
      <c r="G7" t="s">
        <v>106</v>
      </c>
      <c r="H7" t="s">
        <v>48</v>
      </c>
      <c r="I7" t="s">
        <v>41</v>
      </c>
      <c r="J7" t="s">
        <v>42</v>
      </c>
      <c r="K7" t="s">
        <v>43</v>
      </c>
      <c r="L7">
        <v>203.04</v>
      </c>
      <c r="M7">
        <v>203.04</v>
      </c>
      <c r="Q7">
        <v>202601</v>
      </c>
    </row>
    <row r="8" spans="1:17" x14ac:dyDescent="0.2">
      <c r="C8" t="s">
        <v>93</v>
      </c>
      <c r="D8" t="s">
        <v>92</v>
      </c>
      <c r="E8" t="s">
        <v>107</v>
      </c>
      <c r="F8" t="s">
        <v>40</v>
      </c>
      <c r="G8" t="s">
        <v>108</v>
      </c>
      <c r="H8" t="s">
        <v>48</v>
      </c>
      <c r="I8" t="s">
        <v>41</v>
      </c>
      <c r="J8" t="s">
        <v>42</v>
      </c>
      <c r="K8" t="s">
        <v>43</v>
      </c>
      <c r="L8">
        <v>335.58</v>
      </c>
      <c r="M8">
        <v>335.58</v>
      </c>
      <c r="Q8">
        <v>202601</v>
      </c>
    </row>
    <row r="9" spans="1:17" x14ac:dyDescent="0.2">
      <c r="C9" t="s">
        <v>93</v>
      </c>
      <c r="D9" t="s">
        <v>92</v>
      </c>
      <c r="E9" t="s">
        <v>107</v>
      </c>
      <c r="F9" t="s">
        <v>40</v>
      </c>
      <c r="G9" t="s">
        <v>109</v>
      </c>
      <c r="H9" t="s">
        <v>48</v>
      </c>
      <c r="I9" t="s">
        <v>41</v>
      </c>
      <c r="J9" t="s">
        <v>42</v>
      </c>
      <c r="K9" t="s">
        <v>43</v>
      </c>
      <c r="L9">
        <v>91.65</v>
      </c>
      <c r="M9">
        <v>91.65</v>
      </c>
      <c r="Q9">
        <v>202601</v>
      </c>
    </row>
    <row r="10" spans="1:17" x14ac:dyDescent="0.2">
      <c r="C10" t="s">
        <v>93</v>
      </c>
      <c r="D10" t="s">
        <v>92</v>
      </c>
      <c r="E10" t="s">
        <v>107</v>
      </c>
      <c r="F10" t="s">
        <v>40</v>
      </c>
      <c r="G10" t="s">
        <v>110</v>
      </c>
      <c r="H10" t="s">
        <v>48</v>
      </c>
      <c r="I10" t="s">
        <v>41</v>
      </c>
      <c r="J10" t="s">
        <v>42</v>
      </c>
      <c r="K10" t="s">
        <v>43</v>
      </c>
      <c r="L10">
        <v>267.89999999999998</v>
      </c>
      <c r="M10">
        <v>267.89999999999998</v>
      </c>
      <c r="Q10">
        <v>202601</v>
      </c>
    </row>
    <row r="11" spans="1:17" x14ac:dyDescent="0.2">
      <c r="C11" t="s">
        <v>93</v>
      </c>
      <c r="D11" t="s">
        <v>92</v>
      </c>
      <c r="E11" t="s">
        <v>107</v>
      </c>
      <c r="F11" t="s">
        <v>40</v>
      </c>
      <c r="G11" t="s">
        <v>111</v>
      </c>
      <c r="H11" t="s">
        <v>48</v>
      </c>
      <c r="I11" t="s">
        <v>41</v>
      </c>
      <c r="J11" t="s">
        <v>42</v>
      </c>
      <c r="K11" t="s">
        <v>43</v>
      </c>
      <c r="L11">
        <v>235.47</v>
      </c>
      <c r="M11">
        <v>235.47</v>
      </c>
      <c r="Q11">
        <v>202601</v>
      </c>
    </row>
    <row r="12" spans="1:17" x14ac:dyDescent="0.2">
      <c r="C12" t="s">
        <v>93</v>
      </c>
      <c r="D12" t="s">
        <v>92</v>
      </c>
      <c r="E12" t="s">
        <v>107</v>
      </c>
      <c r="F12" t="s">
        <v>40</v>
      </c>
      <c r="G12" t="s">
        <v>112</v>
      </c>
      <c r="H12" t="s">
        <v>48</v>
      </c>
      <c r="I12" t="s">
        <v>41</v>
      </c>
      <c r="J12" t="s">
        <v>42</v>
      </c>
      <c r="K12" t="s">
        <v>43</v>
      </c>
      <c r="L12">
        <v>272.13</v>
      </c>
      <c r="M12">
        <v>272.13</v>
      </c>
      <c r="Q12">
        <v>202601</v>
      </c>
    </row>
    <row r="13" spans="1:17" x14ac:dyDescent="0.2">
      <c r="C13" t="s">
        <v>93</v>
      </c>
      <c r="D13" t="s">
        <v>92</v>
      </c>
      <c r="E13" t="s">
        <v>113</v>
      </c>
      <c r="F13" t="s">
        <v>40</v>
      </c>
      <c r="G13" t="s">
        <v>114</v>
      </c>
      <c r="H13" t="s">
        <v>48</v>
      </c>
      <c r="I13" t="s">
        <v>41</v>
      </c>
      <c r="J13" t="s">
        <v>42</v>
      </c>
      <c r="K13" t="s">
        <v>43</v>
      </c>
      <c r="L13">
        <v>40.229999999999997</v>
      </c>
      <c r="M13">
        <v>40.229999999999997</v>
      </c>
      <c r="Q13">
        <v>202601</v>
      </c>
    </row>
    <row r="14" spans="1:17" x14ac:dyDescent="0.2">
      <c r="C14" t="s">
        <v>93</v>
      </c>
      <c r="D14" t="s">
        <v>92</v>
      </c>
      <c r="E14" t="s">
        <v>92</v>
      </c>
      <c r="F14" t="s">
        <v>40</v>
      </c>
      <c r="G14" t="s">
        <v>115</v>
      </c>
      <c r="H14" t="s">
        <v>48</v>
      </c>
      <c r="I14" t="s">
        <v>41</v>
      </c>
      <c r="J14" t="s">
        <v>42</v>
      </c>
      <c r="K14" t="s">
        <v>43</v>
      </c>
      <c r="L14">
        <v>583.85</v>
      </c>
      <c r="M14">
        <v>583.85</v>
      </c>
      <c r="Q14">
        <v>202601</v>
      </c>
    </row>
    <row r="15" spans="1:17" x14ac:dyDescent="0.2">
      <c r="C15" t="s">
        <v>93</v>
      </c>
      <c r="D15" t="s">
        <v>92</v>
      </c>
      <c r="E15" t="s">
        <v>92</v>
      </c>
      <c r="F15" t="s">
        <v>40</v>
      </c>
      <c r="G15" t="s">
        <v>116</v>
      </c>
      <c r="H15" t="s">
        <v>48</v>
      </c>
      <c r="I15" t="s">
        <v>41</v>
      </c>
      <c r="J15" t="s">
        <v>42</v>
      </c>
      <c r="K15" t="s">
        <v>43</v>
      </c>
      <c r="L15">
        <v>203.04</v>
      </c>
      <c r="M15">
        <v>203.04</v>
      </c>
      <c r="Q15">
        <v>202601</v>
      </c>
    </row>
    <row r="16" spans="1:17" x14ac:dyDescent="0.2">
      <c r="C16" t="s">
        <v>93</v>
      </c>
      <c r="D16" t="s">
        <v>92</v>
      </c>
      <c r="E16" t="s">
        <v>92</v>
      </c>
      <c r="F16" t="s">
        <v>40</v>
      </c>
      <c r="G16" t="s">
        <v>117</v>
      </c>
      <c r="H16" t="s">
        <v>48</v>
      </c>
      <c r="I16" t="s">
        <v>41</v>
      </c>
      <c r="J16" t="s">
        <v>42</v>
      </c>
      <c r="K16" t="s">
        <v>43</v>
      </c>
      <c r="L16">
        <v>105.28</v>
      </c>
      <c r="M16">
        <v>105.28</v>
      </c>
      <c r="Q16">
        <v>202601</v>
      </c>
    </row>
    <row r="17" spans="3:17" x14ac:dyDescent="0.2">
      <c r="C17" t="s">
        <v>93</v>
      </c>
      <c r="D17" t="s">
        <v>92</v>
      </c>
      <c r="E17" t="s">
        <v>92</v>
      </c>
      <c r="F17" t="s">
        <v>40</v>
      </c>
      <c r="G17" t="s">
        <v>118</v>
      </c>
      <c r="H17" t="s">
        <v>48</v>
      </c>
      <c r="I17" t="s">
        <v>41</v>
      </c>
      <c r="J17" t="s">
        <v>42</v>
      </c>
      <c r="K17" t="s">
        <v>43</v>
      </c>
      <c r="L17">
        <v>105.28</v>
      </c>
      <c r="M17">
        <v>105.28</v>
      </c>
      <c r="Q17">
        <v>202601</v>
      </c>
    </row>
    <row r="18" spans="3:17" x14ac:dyDescent="0.2">
      <c r="C18" t="s">
        <v>93</v>
      </c>
      <c r="D18" t="s">
        <v>92</v>
      </c>
      <c r="E18" t="s">
        <v>92</v>
      </c>
      <c r="F18" t="s">
        <v>40</v>
      </c>
      <c r="G18" t="s">
        <v>119</v>
      </c>
      <c r="H18" t="s">
        <v>48</v>
      </c>
      <c r="I18" t="s">
        <v>41</v>
      </c>
      <c r="J18" t="s">
        <v>42</v>
      </c>
      <c r="K18" t="s">
        <v>43</v>
      </c>
      <c r="L18">
        <v>105.28</v>
      </c>
      <c r="M18">
        <v>105.28</v>
      </c>
      <c r="Q18">
        <v>202601</v>
      </c>
    </row>
    <row r="19" spans="3:17" x14ac:dyDescent="0.2">
      <c r="C19" t="s">
        <v>93</v>
      </c>
      <c r="D19" t="s">
        <v>92</v>
      </c>
      <c r="E19" t="s">
        <v>92</v>
      </c>
      <c r="F19" t="s">
        <v>40</v>
      </c>
      <c r="G19" t="s">
        <v>120</v>
      </c>
      <c r="H19" t="s">
        <v>48</v>
      </c>
      <c r="I19" t="s">
        <v>41</v>
      </c>
      <c r="J19" t="s">
        <v>42</v>
      </c>
      <c r="K19" t="s">
        <v>43</v>
      </c>
      <c r="L19">
        <v>105.28</v>
      </c>
      <c r="M19">
        <v>105.28</v>
      </c>
      <c r="Q19">
        <v>202601</v>
      </c>
    </row>
    <row r="20" spans="3:17" x14ac:dyDescent="0.2">
      <c r="C20" t="s">
        <v>93</v>
      </c>
      <c r="D20" t="s">
        <v>92</v>
      </c>
      <c r="E20" t="s">
        <v>92</v>
      </c>
      <c r="F20" t="s">
        <v>40</v>
      </c>
      <c r="G20" t="s">
        <v>121</v>
      </c>
      <c r="H20" t="s">
        <v>48</v>
      </c>
      <c r="I20" t="s">
        <v>41</v>
      </c>
      <c r="J20" t="s">
        <v>42</v>
      </c>
      <c r="K20" t="s">
        <v>43</v>
      </c>
      <c r="L20">
        <v>206.31</v>
      </c>
      <c r="M20">
        <v>206.31</v>
      </c>
      <c r="Q20">
        <v>202601</v>
      </c>
    </row>
    <row r="21" spans="3:17" x14ac:dyDescent="0.2">
      <c r="C21" t="s">
        <v>93</v>
      </c>
      <c r="D21" t="s">
        <v>92</v>
      </c>
      <c r="E21" t="s">
        <v>92</v>
      </c>
      <c r="F21" t="s">
        <v>40</v>
      </c>
      <c r="G21" t="s">
        <v>122</v>
      </c>
      <c r="H21" t="s">
        <v>48</v>
      </c>
      <c r="I21" t="s">
        <v>41</v>
      </c>
      <c r="J21" t="s">
        <v>42</v>
      </c>
      <c r="K21" t="s">
        <v>43</v>
      </c>
      <c r="L21">
        <v>122.79</v>
      </c>
      <c r="M21">
        <v>122.79</v>
      </c>
      <c r="Q21">
        <v>202601</v>
      </c>
    </row>
    <row r="22" spans="3:17" x14ac:dyDescent="0.2">
      <c r="C22" t="s">
        <v>93</v>
      </c>
      <c r="D22" t="s">
        <v>92</v>
      </c>
      <c r="E22" t="s">
        <v>92</v>
      </c>
      <c r="F22" t="s">
        <v>40</v>
      </c>
      <c r="G22" t="s">
        <v>123</v>
      </c>
      <c r="H22" t="s">
        <v>48</v>
      </c>
      <c r="I22" t="s">
        <v>41</v>
      </c>
      <c r="J22" t="s">
        <v>42</v>
      </c>
      <c r="K22" t="s">
        <v>43</v>
      </c>
      <c r="L22">
        <v>105.28</v>
      </c>
      <c r="M22">
        <v>105.28</v>
      </c>
      <c r="Q22">
        <v>202601</v>
      </c>
    </row>
    <row r="23" spans="3:17" x14ac:dyDescent="0.2">
      <c r="C23" t="s">
        <v>93</v>
      </c>
      <c r="D23" t="s">
        <v>92</v>
      </c>
      <c r="E23" t="s">
        <v>92</v>
      </c>
      <c r="F23" t="s">
        <v>40</v>
      </c>
      <c r="G23" t="s">
        <v>124</v>
      </c>
      <c r="H23" t="s">
        <v>48</v>
      </c>
      <c r="I23" t="s">
        <v>41</v>
      </c>
      <c r="J23" t="s">
        <v>42</v>
      </c>
      <c r="K23" t="s">
        <v>43</v>
      </c>
      <c r="L23">
        <v>147.38999999999999</v>
      </c>
      <c r="M23">
        <v>147.38999999999999</v>
      </c>
      <c r="Q23">
        <v>202601</v>
      </c>
    </row>
    <row r="24" spans="3:17" x14ac:dyDescent="0.2">
      <c r="C24" t="s">
        <v>93</v>
      </c>
      <c r="D24" t="s">
        <v>92</v>
      </c>
      <c r="E24" t="s">
        <v>92</v>
      </c>
      <c r="F24" t="s">
        <v>40</v>
      </c>
      <c r="G24" t="s">
        <v>125</v>
      </c>
      <c r="H24" t="s">
        <v>48</v>
      </c>
      <c r="I24" t="s">
        <v>41</v>
      </c>
      <c r="J24" t="s">
        <v>42</v>
      </c>
      <c r="K24" t="s">
        <v>43</v>
      </c>
      <c r="L24">
        <v>105.28</v>
      </c>
      <c r="M24">
        <v>105.28</v>
      </c>
      <c r="Q24">
        <v>202601</v>
      </c>
    </row>
    <row r="25" spans="3:17" x14ac:dyDescent="0.2">
      <c r="C25" t="s">
        <v>93</v>
      </c>
      <c r="D25" t="s">
        <v>92</v>
      </c>
      <c r="E25" t="s">
        <v>92</v>
      </c>
      <c r="F25" t="s">
        <v>40</v>
      </c>
      <c r="G25" t="s">
        <v>126</v>
      </c>
      <c r="H25" t="s">
        <v>48</v>
      </c>
      <c r="I25" t="s">
        <v>41</v>
      </c>
      <c r="J25" t="s">
        <v>42</v>
      </c>
      <c r="K25" t="s">
        <v>43</v>
      </c>
      <c r="L25">
        <v>215.35</v>
      </c>
      <c r="M25">
        <v>215.35</v>
      </c>
      <c r="Q25">
        <v>202601</v>
      </c>
    </row>
    <row r="26" spans="3:17" x14ac:dyDescent="0.2">
      <c r="C26" t="s">
        <v>93</v>
      </c>
      <c r="D26" t="s">
        <v>92</v>
      </c>
      <c r="E26" t="s">
        <v>92</v>
      </c>
      <c r="F26" t="s">
        <v>40</v>
      </c>
      <c r="G26" t="s">
        <v>127</v>
      </c>
      <c r="H26" t="s">
        <v>48</v>
      </c>
      <c r="I26" t="s">
        <v>41</v>
      </c>
      <c r="J26" t="s">
        <v>42</v>
      </c>
      <c r="K26" t="s">
        <v>43</v>
      </c>
      <c r="L26">
        <v>105.28</v>
      </c>
      <c r="M26">
        <v>105.28</v>
      </c>
      <c r="Q26">
        <v>202601</v>
      </c>
    </row>
    <row r="27" spans="3:17" x14ac:dyDescent="0.2">
      <c r="C27" t="s">
        <v>93</v>
      </c>
      <c r="D27" t="s">
        <v>92</v>
      </c>
      <c r="E27" t="s">
        <v>92</v>
      </c>
      <c r="F27" t="s">
        <v>40</v>
      </c>
      <c r="G27" t="s">
        <v>128</v>
      </c>
      <c r="H27" t="s">
        <v>48</v>
      </c>
      <c r="I27" t="s">
        <v>41</v>
      </c>
      <c r="J27" t="s">
        <v>42</v>
      </c>
      <c r="K27" t="s">
        <v>43</v>
      </c>
      <c r="L27">
        <v>168.26</v>
      </c>
      <c r="M27">
        <v>168.26</v>
      </c>
      <c r="Q27">
        <v>202601</v>
      </c>
    </row>
    <row r="28" spans="3:17" x14ac:dyDescent="0.2">
      <c r="C28" t="s">
        <v>93</v>
      </c>
      <c r="D28" t="s">
        <v>92</v>
      </c>
      <c r="E28" t="s">
        <v>92</v>
      </c>
      <c r="F28" t="s">
        <v>40</v>
      </c>
      <c r="G28" t="s">
        <v>129</v>
      </c>
      <c r="H28" t="s">
        <v>48</v>
      </c>
      <c r="I28" t="s">
        <v>41</v>
      </c>
      <c r="J28" t="s">
        <v>42</v>
      </c>
      <c r="K28" t="s">
        <v>43</v>
      </c>
      <c r="L28">
        <v>168.26</v>
      </c>
      <c r="M28">
        <v>168.26</v>
      </c>
      <c r="Q28">
        <v>202601</v>
      </c>
    </row>
    <row r="29" spans="3:17" x14ac:dyDescent="0.2">
      <c r="C29" t="s">
        <v>93</v>
      </c>
      <c r="D29" t="s">
        <v>92</v>
      </c>
      <c r="E29" t="s">
        <v>92</v>
      </c>
      <c r="F29" t="s">
        <v>40</v>
      </c>
      <c r="G29" t="s">
        <v>130</v>
      </c>
      <c r="H29" t="s">
        <v>48</v>
      </c>
      <c r="I29" t="s">
        <v>41</v>
      </c>
      <c r="J29" t="s">
        <v>42</v>
      </c>
      <c r="K29" t="s">
        <v>43</v>
      </c>
      <c r="L29">
        <v>180.48</v>
      </c>
      <c r="M29">
        <v>180.48</v>
      </c>
      <c r="Q29">
        <v>202601</v>
      </c>
    </row>
    <row r="30" spans="3:17" x14ac:dyDescent="0.2">
      <c r="C30" t="s">
        <v>93</v>
      </c>
      <c r="D30" t="s">
        <v>92</v>
      </c>
      <c r="E30" t="s">
        <v>92</v>
      </c>
      <c r="F30" t="s">
        <v>40</v>
      </c>
      <c r="G30" t="s">
        <v>131</v>
      </c>
      <c r="H30" t="s">
        <v>48</v>
      </c>
      <c r="I30" t="s">
        <v>41</v>
      </c>
      <c r="J30" t="s">
        <v>42</v>
      </c>
      <c r="K30" t="s">
        <v>43</v>
      </c>
      <c r="L30">
        <v>34.22</v>
      </c>
      <c r="M30">
        <v>34.22</v>
      </c>
      <c r="Q30">
        <v>202601</v>
      </c>
    </row>
    <row r="31" spans="3:17" x14ac:dyDescent="0.2">
      <c r="C31" t="s">
        <v>93</v>
      </c>
      <c r="D31" t="s">
        <v>92</v>
      </c>
      <c r="E31" t="s">
        <v>92</v>
      </c>
      <c r="F31" t="s">
        <v>40</v>
      </c>
      <c r="G31" t="s">
        <v>132</v>
      </c>
      <c r="H31" t="s">
        <v>48</v>
      </c>
      <c r="I31" t="s">
        <v>41</v>
      </c>
      <c r="J31" t="s">
        <v>42</v>
      </c>
      <c r="K31" t="s">
        <v>43</v>
      </c>
      <c r="L31">
        <v>203.04</v>
      </c>
      <c r="M31">
        <v>203.04</v>
      </c>
      <c r="Q31">
        <v>202601</v>
      </c>
    </row>
    <row r="32" spans="3:17" x14ac:dyDescent="0.2">
      <c r="C32" t="s">
        <v>93</v>
      </c>
      <c r="D32" t="s">
        <v>92</v>
      </c>
      <c r="E32" t="s">
        <v>92</v>
      </c>
      <c r="F32" t="s">
        <v>40</v>
      </c>
      <c r="G32" t="s">
        <v>133</v>
      </c>
      <c r="H32" t="s">
        <v>48</v>
      </c>
      <c r="I32" t="s">
        <v>41</v>
      </c>
      <c r="J32" t="s">
        <v>42</v>
      </c>
      <c r="K32" t="s">
        <v>43</v>
      </c>
      <c r="L32">
        <v>267.89999999999998</v>
      </c>
      <c r="M32">
        <v>267.89999999999998</v>
      </c>
      <c r="Q32">
        <v>202601</v>
      </c>
    </row>
    <row r="33" spans="3:17" x14ac:dyDescent="0.2">
      <c r="C33" t="s">
        <v>93</v>
      </c>
      <c r="D33" t="s">
        <v>92</v>
      </c>
      <c r="E33" t="s">
        <v>134</v>
      </c>
      <c r="F33" t="s">
        <v>40</v>
      </c>
      <c r="G33" t="s">
        <v>135</v>
      </c>
      <c r="H33" t="s">
        <v>48</v>
      </c>
      <c r="I33" t="s">
        <v>41</v>
      </c>
      <c r="J33" t="s">
        <v>42</v>
      </c>
      <c r="K33" t="s">
        <v>43</v>
      </c>
      <c r="L33">
        <v>235.47</v>
      </c>
      <c r="M33">
        <v>235.47</v>
      </c>
      <c r="Q33">
        <v>202601</v>
      </c>
    </row>
    <row r="34" spans="3:17" x14ac:dyDescent="0.2">
      <c r="C34" t="s">
        <v>93</v>
      </c>
      <c r="D34" t="s">
        <v>92</v>
      </c>
      <c r="E34" t="s">
        <v>136</v>
      </c>
      <c r="F34" t="s">
        <v>40</v>
      </c>
      <c r="G34" t="s">
        <v>137</v>
      </c>
      <c r="H34" t="s">
        <v>48</v>
      </c>
      <c r="I34" t="s">
        <v>41</v>
      </c>
      <c r="J34" t="s">
        <v>42</v>
      </c>
      <c r="K34" t="s">
        <v>43</v>
      </c>
      <c r="L34">
        <v>132.13</v>
      </c>
      <c r="M34">
        <v>132.13</v>
      </c>
      <c r="Q34">
        <v>202601</v>
      </c>
    </row>
    <row r="35" spans="3:17" x14ac:dyDescent="0.2">
      <c r="C35" t="s">
        <v>93</v>
      </c>
      <c r="D35" t="s">
        <v>92</v>
      </c>
      <c r="E35" t="s">
        <v>136</v>
      </c>
      <c r="F35" t="s">
        <v>40</v>
      </c>
      <c r="G35" t="s">
        <v>138</v>
      </c>
      <c r="H35" t="s">
        <v>48</v>
      </c>
      <c r="I35" t="s">
        <v>41</v>
      </c>
      <c r="J35" t="s">
        <v>42</v>
      </c>
      <c r="K35" t="s">
        <v>43</v>
      </c>
      <c r="L35">
        <v>34.22</v>
      </c>
      <c r="M35">
        <v>34.22</v>
      </c>
      <c r="Q35">
        <v>202601</v>
      </c>
    </row>
    <row r="36" spans="3:17" x14ac:dyDescent="0.2">
      <c r="C36" t="s">
        <v>93</v>
      </c>
      <c r="D36" t="s">
        <v>92</v>
      </c>
      <c r="E36" t="s">
        <v>136</v>
      </c>
      <c r="F36" t="s">
        <v>40</v>
      </c>
      <c r="G36" t="s">
        <v>139</v>
      </c>
      <c r="H36" t="s">
        <v>48</v>
      </c>
      <c r="I36" t="s">
        <v>41</v>
      </c>
      <c r="J36" t="s">
        <v>42</v>
      </c>
      <c r="K36" t="s">
        <v>43</v>
      </c>
      <c r="L36">
        <v>34.22</v>
      </c>
      <c r="M36">
        <v>34.22</v>
      </c>
      <c r="Q36">
        <v>202601</v>
      </c>
    </row>
    <row r="37" spans="3:17" x14ac:dyDescent="0.2">
      <c r="C37" t="s">
        <v>93</v>
      </c>
      <c r="D37" t="s">
        <v>92</v>
      </c>
      <c r="E37" t="s">
        <v>136</v>
      </c>
      <c r="F37" t="s">
        <v>40</v>
      </c>
      <c r="G37" t="s">
        <v>140</v>
      </c>
      <c r="H37" t="s">
        <v>48</v>
      </c>
      <c r="I37" t="s">
        <v>41</v>
      </c>
      <c r="J37" t="s">
        <v>42</v>
      </c>
      <c r="K37" t="s">
        <v>43</v>
      </c>
      <c r="L37">
        <v>70.03</v>
      </c>
      <c r="M37">
        <v>70.03</v>
      </c>
      <c r="Q37">
        <v>202601</v>
      </c>
    </row>
    <row r="38" spans="3:17" x14ac:dyDescent="0.2">
      <c r="C38" t="s">
        <v>93</v>
      </c>
      <c r="D38" t="s">
        <v>92</v>
      </c>
      <c r="E38" t="s">
        <v>136</v>
      </c>
      <c r="F38" t="s">
        <v>40</v>
      </c>
      <c r="G38" t="s">
        <v>141</v>
      </c>
      <c r="H38" t="s">
        <v>48</v>
      </c>
      <c r="I38" t="s">
        <v>41</v>
      </c>
      <c r="J38" t="s">
        <v>42</v>
      </c>
      <c r="K38" t="s">
        <v>43</v>
      </c>
      <c r="L38">
        <v>70.03</v>
      </c>
      <c r="M38">
        <v>70.03</v>
      </c>
      <c r="Q38">
        <v>202601</v>
      </c>
    </row>
    <row r="39" spans="3:17" x14ac:dyDescent="0.2">
      <c r="C39" t="s">
        <v>93</v>
      </c>
      <c r="D39" t="s">
        <v>92</v>
      </c>
      <c r="E39" t="s">
        <v>136</v>
      </c>
      <c r="F39" t="s">
        <v>40</v>
      </c>
      <c r="G39" t="s">
        <v>142</v>
      </c>
      <c r="H39" t="s">
        <v>48</v>
      </c>
      <c r="I39" t="s">
        <v>41</v>
      </c>
      <c r="J39" t="s">
        <v>42</v>
      </c>
      <c r="K39" t="s">
        <v>43</v>
      </c>
      <c r="L39">
        <v>53.58</v>
      </c>
      <c r="M39">
        <v>53.58</v>
      </c>
      <c r="Q39">
        <v>202601</v>
      </c>
    </row>
    <row r="40" spans="3:17" x14ac:dyDescent="0.2">
      <c r="C40" t="s">
        <v>93</v>
      </c>
      <c r="D40" t="s">
        <v>92</v>
      </c>
      <c r="E40" t="s">
        <v>136</v>
      </c>
      <c r="F40" t="s">
        <v>40</v>
      </c>
      <c r="G40" t="s">
        <v>143</v>
      </c>
      <c r="H40" t="s">
        <v>48</v>
      </c>
      <c r="I40" t="s">
        <v>41</v>
      </c>
      <c r="J40" t="s">
        <v>42</v>
      </c>
      <c r="K40" t="s">
        <v>43</v>
      </c>
      <c r="L40">
        <v>37.6</v>
      </c>
      <c r="M40">
        <v>37.6</v>
      </c>
      <c r="Q40">
        <v>202601</v>
      </c>
    </row>
    <row r="41" spans="3:17" x14ac:dyDescent="0.2">
      <c r="C41" t="s">
        <v>93</v>
      </c>
      <c r="D41" t="s">
        <v>92</v>
      </c>
      <c r="E41" t="s">
        <v>136</v>
      </c>
      <c r="F41" t="s">
        <v>40</v>
      </c>
      <c r="G41" t="s">
        <v>144</v>
      </c>
      <c r="H41" t="s">
        <v>48</v>
      </c>
      <c r="I41" t="s">
        <v>41</v>
      </c>
      <c r="J41" t="s">
        <v>42</v>
      </c>
      <c r="K41" t="s">
        <v>43</v>
      </c>
      <c r="L41">
        <v>34.78</v>
      </c>
      <c r="M41">
        <v>34.78</v>
      </c>
      <c r="Q41">
        <v>202601</v>
      </c>
    </row>
    <row r="42" spans="3:17" x14ac:dyDescent="0.2">
      <c r="C42" t="s">
        <v>93</v>
      </c>
      <c r="D42" t="s">
        <v>92</v>
      </c>
      <c r="E42" t="s">
        <v>136</v>
      </c>
      <c r="F42" t="s">
        <v>40</v>
      </c>
      <c r="G42" t="s">
        <v>145</v>
      </c>
      <c r="H42" t="s">
        <v>48</v>
      </c>
      <c r="I42" t="s">
        <v>41</v>
      </c>
      <c r="J42" t="s">
        <v>42</v>
      </c>
      <c r="K42" t="s">
        <v>43</v>
      </c>
      <c r="L42">
        <v>304.63</v>
      </c>
      <c r="M42">
        <v>304.63</v>
      </c>
      <c r="Q42">
        <v>202601</v>
      </c>
    </row>
    <row r="43" spans="3:17" x14ac:dyDescent="0.2">
      <c r="C43" t="s">
        <v>93</v>
      </c>
      <c r="D43" t="s">
        <v>92</v>
      </c>
      <c r="E43" t="s">
        <v>136</v>
      </c>
      <c r="F43" t="s">
        <v>40</v>
      </c>
      <c r="G43" t="s">
        <v>146</v>
      </c>
      <c r="H43" t="s">
        <v>48</v>
      </c>
      <c r="I43" t="s">
        <v>41</v>
      </c>
      <c r="J43" t="s">
        <v>42</v>
      </c>
      <c r="K43" t="s">
        <v>43</v>
      </c>
      <c r="L43">
        <v>267.89999999999998</v>
      </c>
      <c r="M43">
        <v>267.89999999999998</v>
      </c>
      <c r="Q43">
        <v>202601</v>
      </c>
    </row>
    <row r="44" spans="3:17" x14ac:dyDescent="0.2">
      <c r="C44" t="s">
        <v>93</v>
      </c>
      <c r="D44" t="s">
        <v>92</v>
      </c>
      <c r="E44" t="s">
        <v>136</v>
      </c>
      <c r="F44" t="s">
        <v>40</v>
      </c>
      <c r="G44" t="s">
        <v>147</v>
      </c>
      <c r="H44" t="s">
        <v>48</v>
      </c>
      <c r="I44" t="s">
        <v>41</v>
      </c>
      <c r="J44" t="s">
        <v>42</v>
      </c>
      <c r="K44" t="s">
        <v>43</v>
      </c>
      <c r="L44">
        <v>267.89999999999998</v>
      </c>
      <c r="M44">
        <v>267.89999999999998</v>
      </c>
      <c r="Q44">
        <v>202601</v>
      </c>
    </row>
    <row r="45" spans="3:17" x14ac:dyDescent="0.2">
      <c r="C45" t="s">
        <v>93</v>
      </c>
      <c r="D45" t="s">
        <v>92</v>
      </c>
      <c r="E45" t="s">
        <v>136</v>
      </c>
      <c r="F45" t="s">
        <v>40</v>
      </c>
      <c r="G45" t="s">
        <v>148</v>
      </c>
      <c r="H45" t="s">
        <v>48</v>
      </c>
      <c r="I45" t="s">
        <v>41</v>
      </c>
      <c r="J45" t="s">
        <v>42</v>
      </c>
      <c r="K45" t="s">
        <v>43</v>
      </c>
      <c r="L45">
        <v>235.47</v>
      </c>
      <c r="M45">
        <v>235.47</v>
      </c>
      <c r="Q45">
        <v>202601</v>
      </c>
    </row>
    <row r="46" spans="3:17" x14ac:dyDescent="0.2">
      <c r="C46" t="s">
        <v>93</v>
      </c>
      <c r="D46" t="s">
        <v>92</v>
      </c>
      <c r="E46" t="s">
        <v>136</v>
      </c>
      <c r="F46" t="s">
        <v>40</v>
      </c>
      <c r="G46" t="s">
        <v>149</v>
      </c>
      <c r="H46" t="s">
        <v>48</v>
      </c>
      <c r="I46" t="s">
        <v>41</v>
      </c>
      <c r="J46" t="s">
        <v>42</v>
      </c>
      <c r="K46" t="s">
        <v>43</v>
      </c>
      <c r="L46">
        <v>409.26</v>
      </c>
      <c r="M46">
        <v>409.26</v>
      </c>
      <c r="Q46">
        <v>202601</v>
      </c>
    </row>
    <row r="47" spans="3:17" x14ac:dyDescent="0.2">
      <c r="C47" t="s">
        <v>93</v>
      </c>
      <c r="D47" t="s">
        <v>92</v>
      </c>
      <c r="E47" t="s">
        <v>136</v>
      </c>
      <c r="F47" t="s">
        <v>40</v>
      </c>
      <c r="G47" t="s">
        <v>150</v>
      </c>
      <c r="H47" t="s">
        <v>48</v>
      </c>
      <c r="I47" t="s">
        <v>41</v>
      </c>
      <c r="J47" t="s">
        <v>42</v>
      </c>
      <c r="K47" t="s">
        <v>43</v>
      </c>
      <c r="L47">
        <v>266.13</v>
      </c>
      <c r="M47">
        <v>266.13</v>
      </c>
      <c r="Q47">
        <v>202601</v>
      </c>
    </row>
    <row r="48" spans="3:17" x14ac:dyDescent="0.2">
      <c r="C48" t="s">
        <v>93</v>
      </c>
      <c r="D48" t="s">
        <v>92</v>
      </c>
      <c r="E48" t="s">
        <v>136</v>
      </c>
      <c r="F48" t="s">
        <v>40</v>
      </c>
      <c r="G48" t="s">
        <v>151</v>
      </c>
      <c r="H48" t="s">
        <v>48</v>
      </c>
      <c r="I48" t="s">
        <v>41</v>
      </c>
      <c r="J48" t="s">
        <v>42</v>
      </c>
      <c r="K48" t="s">
        <v>43</v>
      </c>
      <c r="L48">
        <v>5.26</v>
      </c>
      <c r="M48">
        <v>5.26</v>
      </c>
      <c r="Q48">
        <v>202601</v>
      </c>
    </row>
    <row r="49" spans="3:17" x14ac:dyDescent="0.2">
      <c r="C49" t="s">
        <v>93</v>
      </c>
      <c r="D49" t="s">
        <v>92</v>
      </c>
      <c r="E49" t="s">
        <v>152</v>
      </c>
      <c r="F49" t="s">
        <v>40</v>
      </c>
      <c r="G49" t="s">
        <v>153</v>
      </c>
      <c r="H49" t="s">
        <v>48</v>
      </c>
      <c r="I49" t="s">
        <v>41</v>
      </c>
      <c r="J49" t="s">
        <v>42</v>
      </c>
      <c r="K49" t="s">
        <v>43</v>
      </c>
      <c r="L49">
        <v>172.08</v>
      </c>
      <c r="M49">
        <v>172.08</v>
      </c>
      <c r="Q49">
        <v>202601</v>
      </c>
    </row>
    <row r="50" spans="3:17" x14ac:dyDescent="0.2">
      <c r="C50" t="s">
        <v>93</v>
      </c>
      <c r="D50" t="s">
        <v>92</v>
      </c>
      <c r="E50" t="s">
        <v>154</v>
      </c>
      <c r="F50" t="s">
        <v>40</v>
      </c>
      <c r="G50" t="s">
        <v>155</v>
      </c>
      <c r="H50" t="s">
        <v>48</v>
      </c>
      <c r="I50" t="s">
        <v>41</v>
      </c>
      <c r="J50" t="s">
        <v>42</v>
      </c>
      <c r="K50" t="s">
        <v>43</v>
      </c>
      <c r="L50">
        <v>267.89999999999998</v>
      </c>
      <c r="M50">
        <v>267.89999999999998</v>
      </c>
      <c r="Q50">
        <v>202601</v>
      </c>
    </row>
    <row r="51" spans="3:17" x14ac:dyDescent="0.2">
      <c r="C51" t="s">
        <v>93</v>
      </c>
      <c r="D51" t="s">
        <v>92</v>
      </c>
      <c r="E51" t="s">
        <v>154</v>
      </c>
      <c r="F51" t="s">
        <v>40</v>
      </c>
      <c r="G51" t="s">
        <v>156</v>
      </c>
      <c r="H51" t="s">
        <v>48</v>
      </c>
      <c r="I51" t="s">
        <v>41</v>
      </c>
      <c r="J51" t="s">
        <v>42</v>
      </c>
      <c r="K51" t="s">
        <v>43</v>
      </c>
      <c r="L51">
        <v>30.55</v>
      </c>
      <c r="M51">
        <v>30.55</v>
      </c>
      <c r="Q51">
        <v>202601</v>
      </c>
    </row>
    <row r="52" spans="3:17" x14ac:dyDescent="0.2">
      <c r="C52" t="s">
        <v>93</v>
      </c>
      <c r="D52" t="s">
        <v>92</v>
      </c>
      <c r="E52" t="s">
        <v>154</v>
      </c>
      <c r="F52" t="s">
        <v>40</v>
      </c>
      <c r="G52" t="s">
        <v>157</v>
      </c>
      <c r="H52" t="s">
        <v>48</v>
      </c>
      <c r="I52" t="s">
        <v>41</v>
      </c>
      <c r="J52" t="s">
        <v>42</v>
      </c>
      <c r="K52" t="s">
        <v>43</v>
      </c>
      <c r="L52">
        <v>42.3</v>
      </c>
      <c r="M52">
        <v>42.3</v>
      </c>
      <c r="Q52">
        <v>202601</v>
      </c>
    </row>
    <row r="53" spans="3:17" x14ac:dyDescent="0.2">
      <c r="C53" t="s">
        <v>93</v>
      </c>
      <c r="D53" t="s">
        <v>92</v>
      </c>
      <c r="E53" t="s">
        <v>154</v>
      </c>
      <c r="F53" t="s">
        <v>40</v>
      </c>
      <c r="G53" t="s">
        <v>158</v>
      </c>
      <c r="H53" t="s">
        <v>48</v>
      </c>
      <c r="I53" t="s">
        <v>41</v>
      </c>
      <c r="J53" t="s">
        <v>42</v>
      </c>
      <c r="K53" t="s">
        <v>43</v>
      </c>
      <c r="L53">
        <v>4.7</v>
      </c>
      <c r="M53">
        <v>4.7</v>
      </c>
      <c r="Q53">
        <v>202601</v>
      </c>
    </row>
    <row r="54" spans="3:17" x14ac:dyDescent="0.2">
      <c r="C54" t="s">
        <v>93</v>
      </c>
      <c r="D54" t="s">
        <v>92</v>
      </c>
      <c r="E54" t="s">
        <v>154</v>
      </c>
      <c r="F54" t="s">
        <v>40</v>
      </c>
      <c r="G54" t="s">
        <v>159</v>
      </c>
      <c r="H54" t="s">
        <v>48</v>
      </c>
      <c r="I54" t="s">
        <v>41</v>
      </c>
      <c r="J54" t="s">
        <v>42</v>
      </c>
      <c r="K54" t="s">
        <v>43</v>
      </c>
      <c r="L54">
        <v>12.69</v>
      </c>
      <c r="M54">
        <v>12.69</v>
      </c>
      <c r="Q54">
        <v>202601</v>
      </c>
    </row>
    <row r="55" spans="3:17" x14ac:dyDescent="0.2">
      <c r="C55" t="s">
        <v>93</v>
      </c>
      <c r="D55" t="s">
        <v>92</v>
      </c>
      <c r="E55" t="s">
        <v>154</v>
      </c>
      <c r="F55" t="s">
        <v>40</v>
      </c>
      <c r="G55" t="s">
        <v>160</v>
      </c>
      <c r="H55" t="s">
        <v>48</v>
      </c>
      <c r="I55" t="s">
        <v>41</v>
      </c>
      <c r="J55" t="s">
        <v>42</v>
      </c>
      <c r="K55" t="s">
        <v>43</v>
      </c>
      <c r="L55">
        <v>235.47</v>
      </c>
      <c r="M55">
        <v>235.47</v>
      </c>
      <c r="Q55">
        <v>202601</v>
      </c>
    </row>
    <row r="56" spans="3:17" x14ac:dyDescent="0.2">
      <c r="C56" t="s">
        <v>93</v>
      </c>
      <c r="D56" t="s">
        <v>92</v>
      </c>
      <c r="E56" t="s">
        <v>154</v>
      </c>
      <c r="F56" t="s">
        <v>40</v>
      </c>
      <c r="G56" t="s">
        <v>161</v>
      </c>
      <c r="H56" t="s">
        <v>48</v>
      </c>
      <c r="I56" t="s">
        <v>41</v>
      </c>
      <c r="J56" t="s">
        <v>42</v>
      </c>
      <c r="K56" t="s">
        <v>43</v>
      </c>
      <c r="L56">
        <v>34.22</v>
      </c>
      <c r="M56">
        <v>34.22</v>
      </c>
      <c r="Q56">
        <v>202601</v>
      </c>
    </row>
    <row r="57" spans="3:17" x14ac:dyDescent="0.2">
      <c r="C57" t="s">
        <v>93</v>
      </c>
      <c r="D57" t="s">
        <v>92</v>
      </c>
      <c r="E57" t="s">
        <v>154</v>
      </c>
      <c r="F57" t="s">
        <v>40</v>
      </c>
      <c r="G57" t="s">
        <v>162</v>
      </c>
      <c r="H57" t="s">
        <v>48</v>
      </c>
      <c r="I57" t="s">
        <v>41</v>
      </c>
      <c r="J57" t="s">
        <v>42</v>
      </c>
      <c r="K57" t="s">
        <v>43</v>
      </c>
      <c r="L57">
        <v>198.45</v>
      </c>
      <c r="M57">
        <v>198.45</v>
      </c>
      <c r="Q57">
        <v>202601</v>
      </c>
    </row>
    <row r="58" spans="3:17" x14ac:dyDescent="0.2">
      <c r="C58" t="s">
        <v>93</v>
      </c>
      <c r="D58" t="s">
        <v>92</v>
      </c>
      <c r="E58" t="s">
        <v>154</v>
      </c>
      <c r="F58" t="s">
        <v>40</v>
      </c>
      <c r="G58" t="s">
        <v>163</v>
      </c>
      <c r="H58" t="s">
        <v>48</v>
      </c>
      <c r="I58" t="s">
        <v>41</v>
      </c>
      <c r="J58" t="s">
        <v>42</v>
      </c>
      <c r="K58" t="s">
        <v>43</v>
      </c>
      <c r="L58">
        <v>12.69</v>
      </c>
      <c r="M58">
        <v>12.69</v>
      </c>
      <c r="Q58">
        <v>202601</v>
      </c>
    </row>
    <row r="59" spans="3:17" x14ac:dyDescent="0.2">
      <c r="C59" t="s">
        <v>93</v>
      </c>
      <c r="D59" t="s">
        <v>92</v>
      </c>
      <c r="E59" t="s">
        <v>154</v>
      </c>
      <c r="F59" t="s">
        <v>40</v>
      </c>
      <c r="G59" t="s">
        <v>164</v>
      </c>
      <c r="H59" t="s">
        <v>48</v>
      </c>
      <c r="I59" t="s">
        <v>41</v>
      </c>
      <c r="J59" t="s">
        <v>42</v>
      </c>
      <c r="K59" t="s">
        <v>43</v>
      </c>
      <c r="L59">
        <v>203.04</v>
      </c>
      <c r="M59">
        <v>203.04</v>
      </c>
      <c r="Q59">
        <v>202601</v>
      </c>
    </row>
    <row r="60" spans="3:17" x14ac:dyDescent="0.2">
      <c r="C60" t="s">
        <v>93</v>
      </c>
      <c r="D60" t="s">
        <v>92</v>
      </c>
      <c r="E60" t="s">
        <v>165</v>
      </c>
      <c r="F60" t="s">
        <v>40</v>
      </c>
      <c r="G60" t="s">
        <v>166</v>
      </c>
      <c r="H60" t="s">
        <v>48</v>
      </c>
      <c r="I60" t="s">
        <v>41</v>
      </c>
      <c r="J60" t="s">
        <v>42</v>
      </c>
      <c r="K60" t="s">
        <v>43</v>
      </c>
      <c r="L60">
        <v>293.39999999999998</v>
      </c>
      <c r="M60">
        <v>293.39999999999998</v>
      </c>
      <c r="Q60">
        <v>202601</v>
      </c>
    </row>
    <row r="61" spans="3:17" x14ac:dyDescent="0.2">
      <c r="C61" t="s">
        <v>93</v>
      </c>
      <c r="D61" t="s">
        <v>92</v>
      </c>
      <c r="E61" t="s">
        <v>167</v>
      </c>
      <c r="F61" t="s">
        <v>40</v>
      </c>
      <c r="G61" t="s">
        <v>168</v>
      </c>
      <c r="H61" t="s">
        <v>48</v>
      </c>
      <c r="I61" t="s">
        <v>41</v>
      </c>
      <c r="J61" t="s">
        <v>42</v>
      </c>
      <c r="K61" t="s">
        <v>43</v>
      </c>
      <c r="L61">
        <v>298.45</v>
      </c>
      <c r="M61">
        <v>298.45</v>
      </c>
      <c r="Q61">
        <v>202601</v>
      </c>
    </row>
    <row r="62" spans="3:17" x14ac:dyDescent="0.2">
      <c r="C62" t="s">
        <v>93</v>
      </c>
      <c r="D62" t="s">
        <v>92</v>
      </c>
      <c r="E62" t="s">
        <v>169</v>
      </c>
      <c r="F62" t="s">
        <v>40</v>
      </c>
      <c r="G62" t="s">
        <v>170</v>
      </c>
      <c r="H62" t="s">
        <v>48</v>
      </c>
      <c r="I62" t="s">
        <v>41</v>
      </c>
      <c r="J62" t="s">
        <v>42</v>
      </c>
      <c r="K62" t="s">
        <v>43</v>
      </c>
      <c r="L62">
        <v>66.53</v>
      </c>
      <c r="M62">
        <v>66.53</v>
      </c>
      <c r="Q62">
        <v>202601</v>
      </c>
    </row>
    <row r="63" spans="3:17" x14ac:dyDescent="0.2">
      <c r="C63" t="s">
        <v>93</v>
      </c>
      <c r="D63" t="s">
        <v>92</v>
      </c>
      <c r="E63" t="s">
        <v>171</v>
      </c>
      <c r="F63" t="s">
        <v>40</v>
      </c>
      <c r="G63" t="s">
        <v>172</v>
      </c>
      <c r="H63" t="s">
        <v>48</v>
      </c>
      <c r="I63" t="s">
        <v>41</v>
      </c>
      <c r="J63" t="s">
        <v>42</v>
      </c>
      <c r="K63" t="s">
        <v>43</v>
      </c>
      <c r="L63">
        <v>34.22</v>
      </c>
      <c r="M63">
        <v>34.22</v>
      </c>
      <c r="Q63">
        <v>202601</v>
      </c>
    </row>
    <row r="64" spans="3:17" x14ac:dyDescent="0.2">
      <c r="C64" t="s">
        <v>93</v>
      </c>
      <c r="D64" t="s">
        <v>92</v>
      </c>
      <c r="E64" t="s">
        <v>171</v>
      </c>
      <c r="F64" t="s">
        <v>40</v>
      </c>
      <c r="G64" t="s">
        <v>173</v>
      </c>
      <c r="H64" t="s">
        <v>48</v>
      </c>
      <c r="I64" t="s">
        <v>41</v>
      </c>
      <c r="J64" t="s">
        <v>42</v>
      </c>
      <c r="K64" t="s">
        <v>43</v>
      </c>
      <c r="L64">
        <v>20.68</v>
      </c>
      <c r="M64">
        <v>20.68</v>
      </c>
      <c r="Q64">
        <v>202601</v>
      </c>
    </row>
    <row r="65" spans="3:17" x14ac:dyDescent="0.2">
      <c r="C65" t="s">
        <v>93</v>
      </c>
      <c r="D65" t="s">
        <v>92</v>
      </c>
      <c r="E65" t="s">
        <v>171</v>
      </c>
      <c r="F65" t="s">
        <v>40</v>
      </c>
      <c r="G65" t="s">
        <v>174</v>
      </c>
      <c r="H65" t="s">
        <v>48</v>
      </c>
      <c r="I65" t="s">
        <v>41</v>
      </c>
      <c r="J65" t="s">
        <v>42</v>
      </c>
      <c r="K65" t="s">
        <v>43</v>
      </c>
      <c r="L65">
        <v>34.22</v>
      </c>
      <c r="M65">
        <v>34.22</v>
      </c>
      <c r="Q65">
        <v>202601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2C1FC-D84F-4BF5-83C1-3AAE433A7388}">
  <sheetPr codeName="Sheet1"/>
  <dimension ref="A1:J219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20.25" customWidth="1"/>
    <col min="2" max="3" width="15.375" customWidth="1"/>
    <col min="4" max="4" width="17.375" customWidth="1"/>
    <col min="5" max="5" width="20.625" customWidth="1"/>
    <col min="6" max="6" width="46.875" customWidth="1"/>
    <col min="7" max="8" width="11.875" customWidth="1"/>
    <col min="10" max="10" width="11.375" customWidth="1"/>
  </cols>
  <sheetData>
    <row r="1" spans="1:10" ht="57" x14ac:dyDescent="0.2">
      <c r="A1" s="28" t="s">
        <v>49</v>
      </c>
      <c r="B1" s="28" t="s">
        <v>50</v>
      </c>
      <c r="C1" s="29" t="s">
        <v>51</v>
      </c>
      <c r="D1" s="29" t="s">
        <v>52</v>
      </c>
      <c r="E1" s="28" t="s">
        <v>53</v>
      </c>
      <c r="F1" s="28" t="s">
        <v>54</v>
      </c>
      <c r="G1" s="28" t="s">
        <v>55</v>
      </c>
      <c r="H1" s="28" t="s">
        <v>56</v>
      </c>
      <c r="I1" s="28" t="s">
        <v>57</v>
      </c>
      <c r="J1" s="28" t="s">
        <v>58</v>
      </c>
    </row>
    <row r="2" spans="1:10" x14ac:dyDescent="0.2">
      <c r="A2" t="s">
        <v>116</v>
      </c>
      <c r="B2" t="s">
        <v>92</v>
      </c>
      <c r="C2" t="s">
        <v>92</v>
      </c>
      <c r="D2" t="s">
        <v>93</v>
      </c>
      <c r="E2" t="s">
        <v>175</v>
      </c>
      <c r="F2" t="s">
        <v>176</v>
      </c>
      <c r="G2">
        <v>1</v>
      </c>
      <c r="H2" t="s">
        <v>43</v>
      </c>
      <c r="I2">
        <v>432</v>
      </c>
      <c r="J2">
        <v>432</v>
      </c>
    </row>
    <row r="3" spans="1:10" x14ac:dyDescent="0.2">
      <c r="A3" t="s">
        <v>153</v>
      </c>
      <c r="B3" t="s">
        <v>152</v>
      </c>
      <c r="C3" t="s">
        <v>92</v>
      </c>
      <c r="D3" t="s">
        <v>93</v>
      </c>
      <c r="E3" t="s">
        <v>177</v>
      </c>
      <c r="F3" t="s">
        <v>178</v>
      </c>
      <c r="G3">
        <v>1</v>
      </c>
      <c r="H3" t="s">
        <v>43</v>
      </c>
      <c r="I3">
        <v>15.33</v>
      </c>
      <c r="J3">
        <v>15.33</v>
      </c>
    </row>
    <row r="4" spans="1:10" x14ac:dyDescent="0.2">
      <c r="A4" t="s">
        <v>153</v>
      </c>
      <c r="B4" t="s">
        <v>152</v>
      </c>
      <c r="C4" t="s">
        <v>92</v>
      </c>
      <c r="D4" t="s">
        <v>93</v>
      </c>
      <c r="E4" t="s">
        <v>59</v>
      </c>
      <c r="F4" t="s">
        <v>60</v>
      </c>
      <c r="G4">
        <v>1</v>
      </c>
      <c r="H4" t="s">
        <v>43</v>
      </c>
      <c r="I4">
        <v>15.33</v>
      </c>
      <c r="J4">
        <v>15.33</v>
      </c>
    </row>
    <row r="5" spans="1:10" x14ac:dyDescent="0.2">
      <c r="A5" t="s">
        <v>153</v>
      </c>
      <c r="B5" t="s">
        <v>152</v>
      </c>
      <c r="C5" t="s">
        <v>92</v>
      </c>
      <c r="D5" t="s">
        <v>93</v>
      </c>
      <c r="E5" t="s">
        <v>179</v>
      </c>
      <c r="F5" t="s">
        <v>180</v>
      </c>
      <c r="G5">
        <v>2</v>
      </c>
      <c r="H5" t="s">
        <v>43</v>
      </c>
      <c r="I5">
        <v>1.38</v>
      </c>
      <c r="J5">
        <v>2.76</v>
      </c>
    </row>
    <row r="6" spans="1:10" x14ac:dyDescent="0.2">
      <c r="A6" t="s">
        <v>153</v>
      </c>
      <c r="B6" t="s">
        <v>152</v>
      </c>
      <c r="C6" t="s">
        <v>92</v>
      </c>
      <c r="D6" t="s">
        <v>93</v>
      </c>
      <c r="E6" t="s">
        <v>181</v>
      </c>
      <c r="F6" t="s">
        <v>182</v>
      </c>
      <c r="G6">
        <v>4</v>
      </c>
      <c r="H6" t="s">
        <v>43</v>
      </c>
      <c r="I6">
        <v>1.72</v>
      </c>
      <c r="J6">
        <v>6.88</v>
      </c>
    </row>
    <row r="7" spans="1:10" x14ac:dyDescent="0.2">
      <c r="A7" t="s">
        <v>153</v>
      </c>
      <c r="B7" t="s">
        <v>152</v>
      </c>
      <c r="C7" t="s">
        <v>92</v>
      </c>
      <c r="D7" t="s">
        <v>93</v>
      </c>
      <c r="E7" t="s">
        <v>183</v>
      </c>
      <c r="F7" t="s">
        <v>184</v>
      </c>
      <c r="G7">
        <v>1</v>
      </c>
      <c r="H7" t="s">
        <v>43</v>
      </c>
      <c r="I7">
        <v>22.39</v>
      </c>
      <c r="J7">
        <v>22.39</v>
      </c>
    </row>
    <row r="8" spans="1:10" x14ac:dyDescent="0.2">
      <c r="A8" t="s">
        <v>153</v>
      </c>
      <c r="B8" t="s">
        <v>152</v>
      </c>
      <c r="C8" t="s">
        <v>92</v>
      </c>
      <c r="D8" t="s">
        <v>93</v>
      </c>
      <c r="E8" t="s">
        <v>185</v>
      </c>
      <c r="F8" t="s">
        <v>186</v>
      </c>
      <c r="G8">
        <v>1</v>
      </c>
      <c r="H8" t="s">
        <v>43</v>
      </c>
      <c r="I8">
        <v>15.33</v>
      </c>
      <c r="J8">
        <v>15.33</v>
      </c>
    </row>
    <row r="9" spans="1:10" x14ac:dyDescent="0.2">
      <c r="A9" t="s">
        <v>153</v>
      </c>
      <c r="B9" t="s">
        <v>152</v>
      </c>
      <c r="C9" t="s">
        <v>92</v>
      </c>
      <c r="D9" t="s">
        <v>93</v>
      </c>
      <c r="E9" t="s">
        <v>187</v>
      </c>
      <c r="F9" t="s">
        <v>188</v>
      </c>
      <c r="G9">
        <v>1</v>
      </c>
      <c r="H9" t="s">
        <v>43</v>
      </c>
      <c r="I9">
        <v>22.39</v>
      </c>
      <c r="J9">
        <v>22.39</v>
      </c>
    </row>
    <row r="10" spans="1:10" x14ac:dyDescent="0.2">
      <c r="A10" t="s">
        <v>153</v>
      </c>
      <c r="B10" t="s">
        <v>152</v>
      </c>
      <c r="C10" t="s">
        <v>92</v>
      </c>
      <c r="D10" t="s">
        <v>93</v>
      </c>
      <c r="E10" t="s">
        <v>189</v>
      </c>
      <c r="F10" t="s">
        <v>190</v>
      </c>
      <c r="G10">
        <v>1</v>
      </c>
      <c r="H10" t="s">
        <v>43</v>
      </c>
      <c r="I10">
        <v>51.49</v>
      </c>
      <c r="J10">
        <v>51.49</v>
      </c>
    </row>
    <row r="11" spans="1:10" x14ac:dyDescent="0.2">
      <c r="A11" t="s">
        <v>153</v>
      </c>
      <c r="B11" t="s">
        <v>152</v>
      </c>
      <c r="C11" t="s">
        <v>92</v>
      </c>
      <c r="D11" t="s">
        <v>93</v>
      </c>
      <c r="E11" t="s">
        <v>191</v>
      </c>
      <c r="F11" t="s">
        <v>192</v>
      </c>
      <c r="G11">
        <v>1</v>
      </c>
      <c r="H11" t="s">
        <v>43</v>
      </c>
      <c r="I11">
        <v>22.39</v>
      </c>
      <c r="J11">
        <v>22.39</v>
      </c>
    </row>
    <row r="12" spans="1:10" x14ac:dyDescent="0.2">
      <c r="A12" t="s">
        <v>153</v>
      </c>
      <c r="B12" t="s">
        <v>152</v>
      </c>
      <c r="C12" t="s">
        <v>92</v>
      </c>
      <c r="D12" t="s">
        <v>93</v>
      </c>
      <c r="E12" t="s">
        <v>193</v>
      </c>
      <c r="F12" t="s">
        <v>194</v>
      </c>
      <c r="G12">
        <v>1</v>
      </c>
      <c r="H12" t="s">
        <v>43</v>
      </c>
      <c r="I12">
        <v>22.39</v>
      </c>
      <c r="J12">
        <v>22.39</v>
      </c>
    </row>
    <row r="13" spans="1:10" x14ac:dyDescent="0.2">
      <c r="A13" t="s">
        <v>153</v>
      </c>
      <c r="B13" t="s">
        <v>152</v>
      </c>
      <c r="C13" t="s">
        <v>92</v>
      </c>
      <c r="D13" t="s">
        <v>93</v>
      </c>
      <c r="E13" t="s">
        <v>195</v>
      </c>
      <c r="F13" t="s">
        <v>196</v>
      </c>
      <c r="G13">
        <v>1</v>
      </c>
      <c r="H13" t="s">
        <v>43</v>
      </c>
      <c r="I13">
        <v>94.54</v>
      </c>
      <c r="J13">
        <v>94.54</v>
      </c>
    </row>
    <row r="14" spans="1:10" x14ac:dyDescent="0.2">
      <c r="A14" t="s">
        <v>153</v>
      </c>
      <c r="B14" t="s">
        <v>152</v>
      </c>
      <c r="C14" t="s">
        <v>92</v>
      </c>
      <c r="D14" t="s">
        <v>93</v>
      </c>
      <c r="E14" t="s">
        <v>197</v>
      </c>
      <c r="F14" t="s">
        <v>198</v>
      </c>
      <c r="G14">
        <v>1</v>
      </c>
      <c r="H14" t="s">
        <v>43</v>
      </c>
      <c r="I14">
        <v>74.91</v>
      </c>
      <c r="J14">
        <v>74.91</v>
      </c>
    </row>
    <row r="15" spans="1:10" x14ac:dyDescent="0.2">
      <c r="A15" t="s">
        <v>115</v>
      </c>
      <c r="B15" t="s">
        <v>92</v>
      </c>
      <c r="C15" t="s">
        <v>92</v>
      </c>
      <c r="D15" t="s">
        <v>93</v>
      </c>
      <c r="E15" t="s">
        <v>199</v>
      </c>
      <c r="F15" t="s">
        <v>200</v>
      </c>
      <c r="G15">
        <v>1</v>
      </c>
      <c r="H15" t="s">
        <v>43</v>
      </c>
      <c r="I15">
        <v>8</v>
      </c>
      <c r="J15">
        <v>8</v>
      </c>
    </row>
    <row r="16" spans="1:10" x14ac:dyDescent="0.2">
      <c r="A16" t="s">
        <v>115</v>
      </c>
      <c r="B16" t="s">
        <v>92</v>
      </c>
      <c r="C16" t="s">
        <v>92</v>
      </c>
      <c r="D16" t="s">
        <v>93</v>
      </c>
      <c r="E16" t="s">
        <v>201</v>
      </c>
      <c r="F16" t="s">
        <v>202</v>
      </c>
      <c r="G16">
        <v>1</v>
      </c>
      <c r="H16" t="s">
        <v>43</v>
      </c>
      <c r="I16">
        <v>8</v>
      </c>
      <c r="J16">
        <v>8</v>
      </c>
    </row>
    <row r="17" spans="1:10" x14ac:dyDescent="0.2">
      <c r="A17" t="s">
        <v>115</v>
      </c>
      <c r="B17" t="s">
        <v>92</v>
      </c>
      <c r="C17" t="s">
        <v>92</v>
      </c>
      <c r="D17" t="s">
        <v>93</v>
      </c>
      <c r="E17" t="s">
        <v>203</v>
      </c>
      <c r="F17" t="s">
        <v>204</v>
      </c>
      <c r="G17">
        <v>1</v>
      </c>
      <c r="H17" t="s">
        <v>43</v>
      </c>
      <c r="I17">
        <v>0.52</v>
      </c>
      <c r="J17">
        <v>0.52</v>
      </c>
    </row>
    <row r="18" spans="1:10" x14ac:dyDescent="0.2">
      <c r="A18" t="s">
        <v>115</v>
      </c>
      <c r="B18" t="s">
        <v>92</v>
      </c>
      <c r="C18" t="s">
        <v>92</v>
      </c>
      <c r="D18" t="s">
        <v>93</v>
      </c>
      <c r="E18" t="s">
        <v>205</v>
      </c>
      <c r="F18" t="s">
        <v>206</v>
      </c>
      <c r="G18">
        <v>1</v>
      </c>
      <c r="H18" t="s">
        <v>43</v>
      </c>
      <c r="I18">
        <v>10</v>
      </c>
      <c r="J18">
        <v>10</v>
      </c>
    </row>
    <row r="19" spans="1:10" x14ac:dyDescent="0.2">
      <c r="A19" t="s">
        <v>115</v>
      </c>
      <c r="B19" t="s">
        <v>92</v>
      </c>
      <c r="C19" t="s">
        <v>92</v>
      </c>
      <c r="D19" t="s">
        <v>93</v>
      </c>
      <c r="E19" t="s">
        <v>207</v>
      </c>
      <c r="F19" t="s">
        <v>208</v>
      </c>
      <c r="G19">
        <v>1</v>
      </c>
      <c r="H19" t="s">
        <v>43</v>
      </c>
      <c r="I19">
        <v>3</v>
      </c>
      <c r="J19">
        <v>3</v>
      </c>
    </row>
    <row r="20" spans="1:10" x14ac:dyDescent="0.2">
      <c r="A20" t="s">
        <v>115</v>
      </c>
      <c r="B20" t="s">
        <v>92</v>
      </c>
      <c r="C20" t="s">
        <v>92</v>
      </c>
      <c r="D20" t="s">
        <v>93</v>
      </c>
      <c r="E20" t="s">
        <v>209</v>
      </c>
      <c r="F20" t="s">
        <v>210</v>
      </c>
      <c r="G20">
        <v>1</v>
      </c>
      <c r="H20" t="s">
        <v>43</v>
      </c>
      <c r="I20">
        <v>27</v>
      </c>
      <c r="J20">
        <v>27</v>
      </c>
    </row>
    <row r="21" spans="1:10" x14ac:dyDescent="0.2">
      <c r="A21" t="s">
        <v>115</v>
      </c>
      <c r="B21" t="s">
        <v>92</v>
      </c>
      <c r="C21" t="s">
        <v>92</v>
      </c>
      <c r="D21" t="s">
        <v>93</v>
      </c>
      <c r="E21" t="s">
        <v>211</v>
      </c>
      <c r="F21" t="s">
        <v>212</v>
      </c>
      <c r="G21">
        <v>3</v>
      </c>
      <c r="H21" t="s">
        <v>43</v>
      </c>
      <c r="I21">
        <v>80</v>
      </c>
      <c r="J21">
        <v>240</v>
      </c>
    </row>
    <row r="22" spans="1:10" x14ac:dyDescent="0.2">
      <c r="A22" t="s">
        <v>115</v>
      </c>
      <c r="B22" t="s">
        <v>92</v>
      </c>
      <c r="C22" t="s">
        <v>92</v>
      </c>
      <c r="D22" t="s">
        <v>93</v>
      </c>
      <c r="E22" t="s">
        <v>213</v>
      </c>
      <c r="F22" t="s">
        <v>214</v>
      </c>
      <c r="G22">
        <v>1</v>
      </c>
      <c r="H22" t="s">
        <v>43</v>
      </c>
      <c r="I22">
        <v>3</v>
      </c>
      <c r="J22">
        <v>3</v>
      </c>
    </row>
    <row r="23" spans="1:10" x14ac:dyDescent="0.2">
      <c r="A23" t="s">
        <v>115</v>
      </c>
      <c r="B23" t="s">
        <v>92</v>
      </c>
      <c r="C23" t="s">
        <v>92</v>
      </c>
      <c r="D23" t="s">
        <v>93</v>
      </c>
      <c r="E23" t="s">
        <v>215</v>
      </c>
      <c r="F23" t="s">
        <v>216</v>
      </c>
      <c r="G23">
        <v>2</v>
      </c>
      <c r="H23" t="s">
        <v>43</v>
      </c>
      <c r="I23">
        <v>13</v>
      </c>
      <c r="J23">
        <v>26</v>
      </c>
    </row>
    <row r="24" spans="1:10" x14ac:dyDescent="0.2">
      <c r="A24" t="s">
        <v>115</v>
      </c>
      <c r="B24" t="s">
        <v>92</v>
      </c>
      <c r="C24" t="s">
        <v>92</v>
      </c>
      <c r="D24" t="s">
        <v>93</v>
      </c>
      <c r="E24" t="s">
        <v>217</v>
      </c>
      <c r="F24" t="s">
        <v>218</v>
      </c>
      <c r="G24">
        <v>1</v>
      </c>
      <c r="H24" t="s">
        <v>43</v>
      </c>
      <c r="I24">
        <v>11</v>
      </c>
      <c r="J24">
        <v>11</v>
      </c>
    </row>
    <row r="25" spans="1:10" x14ac:dyDescent="0.2">
      <c r="A25" t="s">
        <v>115</v>
      </c>
      <c r="B25" t="s">
        <v>92</v>
      </c>
      <c r="C25" t="s">
        <v>92</v>
      </c>
      <c r="D25" t="s">
        <v>93</v>
      </c>
      <c r="E25" t="s">
        <v>219</v>
      </c>
      <c r="F25" t="s">
        <v>220</v>
      </c>
      <c r="G25">
        <v>1</v>
      </c>
      <c r="H25" t="s">
        <v>43</v>
      </c>
      <c r="I25">
        <v>7</v>
      </c>
      <c r="J25">
        <v>7</v>
      </c>
    </row>
    <row r="26" spans="1:10" x14ac:dyDescent="0.2">
      <c r="A26" t="s">
        <v>115</v>
      </c>
      <c r="B26" t="s">
        <v>92</v>
      </c>
      <c r="C26" t="s">
        <v>92</v>
      </c>
      <c r="D26" t="s">
        <v>93</v>
      </c>
      <c r="E26" t="s">
        <v>221</v>
      </c>
      <c r="F26" t="s">
        <v>222</v>
      </c>
      <c r="G26">
        <v>2</v>
      </c>
      <c r="H26" t="s">
        <v>43</v>
      </c>
      <c r="I26">
        <v>4</v>
      </c>
      <c r="J26">
        <v>8</v>
      </c>
    </row>
    <row r="27" spans="1:10" x14ac:dyDescent="0.2">
      <c r="A27" t="s">
        <v>115</v>
      </c>
      <c r="B27" t="s">
        <v>92</v>
      </c>
      <c r="C27" t="s">
        <v>92</v>
      </c>
      <c r="D27" t="s">
        <v>93</v>
      </c>
      <c r="E27" t="s">
        <v>223</v>
      </c>
      <c r="F27" t="s">
        <v>224</v>
      </c>
      <c r="G27">
        <v>2</v>
      </c>
      <c r="H27" t="s">
        <v>43</v>
      </c>
      <c r="I27">
        <v>0.43</v>
      </c>
      <c r="J27">
        <v>0.86</v>
      </c>
    </row>
    <row r="28" spans="1:10" x14ac:dyDescent="0.2">
      <c r="A28" t="s">
        <v>115</v>
      </c>
      <c r="B28" t="s">
        <v>92</v>
      </c>
      <c r="C28" t="s">
        <v>92</v>
      </c>
      <c r="D28" t="s">
        <v>93</v>
      </c>
      <c r="E28" t="s">
        <v>225</v>
      </c>
      <c r="F28" t="s">
        <v>226</v>
      </c>
      <c r="G28">
        <v>1</v>
      </c>
      <c r="H28" t="s">
        <v>43</v>
      </c>
      <c r="I28">
        <v>19</v>
      </c>
      <c r="J28">
        <v>19</v>
      </c>
    </row>
    <row r="29" spans="1:10" x14ac:dyDescent="0.2">
      <c r="A29" t="s">
        <v>115</v>
      </c>
      <c r="B29" t="s">
        <v>92</v>
      </c>
      <c r="C29" t="s">
        <v>92</v>
      </c>
      <c r="D29" t="s">
        <v>93</v>
      </c>
      <c r="E29" t="s">
        <v>227</v>
      </c>
      <c r="F29" t="s">
        <v>228</v>
      </c>
      <c r="G29">
        <v>2</v>
      </c>
      <c r="H29" t="s">
        <v>43</v>
      </c>
      <c r="I29">
        <v>1</v>
      </c>
      <c r="J29">
        <v>2</v>
      </c>
    </row>
    <row r="30" spans="1:10" x14ac:dyDescent="0.2">
      <c r="A30" t="s">
        <v>115</v>
      </c>
      <c r="B30" t="s">
        <v>92</v>
      </c>
      <c r="C30" t="s">
        <v>92</v>
      </c>
      <c r="D30" t="s">
        <v>93</v>
      </c>
      <c r="E30" t="s">
        <v>229</v>
      </c>
      <c r="F30" t="s">
        <v>230</v>
      </c>
      <c r="G30">
        <v>1</v>
      </c>
      <c r="H30" t="s">
        <v>43</v>
      </c>
      <c r="I30">
        <v>11</v>
      </c>
      <c r="J30">
        <v>11</v>
      </c>
    </row>
    <row r="31" spans="1:10" x14ac:dyDescent="0.2">
      <c r="A31" t="s">
        <v>115</v>
      </c>
      <c r="B31" t="s">
        <v>92</v>
      </c>
      <c r="C31" t="s">
        <v>92</v>
      </c>
      <c r="D31" t="s">
        <v>93</v>
      </c>
      <c r="E31" t="s">
        <v>231</v>
      </c>
      <c r="F31" t="s">
        <v>232</v>
      </c>
      <c r="G31">
        <v>1</v>
      </c>
      <c r="H31" t="s">
        <v>43</v>
      </c>
      <c r="I31">
        <v>19</v>
      </c>
      <c r="J31">
        <v>19</v>
      </c>
    </row>
    <row r="32" spans="1:10" x14ac:dyDescent="0.2">
      <c r="A32" t="s">
        <v>115</v>
      </c>
      <c r="B32" t="s">
        <v>92</v>
      </c>
      <c r="C32" t="s">
        <v>92</v>
      </c>
      <c r="D32" t="s">
        <v>93</v>
      </c>
      <c r="E32" t="s">
        <v>233</v>
      </c>
      <c r="F32" t="s">
        <v>234</v>
      </c>
      <c r="G32">
        <v>2</v>
      </c>
      <c r="H32" t="s">
        <v>43</v>
      </c>
      <c r="I32">
        <v>2</v>
      </c>
      <c r="J32">
        <v>4</v>
      </c>
    </row>
    <row r="33" spans="1:10" x14ac:dyDescent="0.2">
      <c r="A33" t="s">
        <v>115</v>
      </c>
      <c r="B33" t="s">
        <v>92</v>
      </c>
      <c r="C33" t="s">
        <v>92</v>
      </c>
      <c r="D33" t="s">
        <v>93</v>
      </c>
      <c r="E33" t="s">
        <v>235</v>
      </c>
      <c r="F33" t="s">
        <v>236</v>
      </c>
      <c r="G33">
        <v>1</v>
      </c>
      <c r="H33" t="s">
        <v>43</v>
      </c>
      <c r="I33">
        <v>501</v>
      </c>
      <c r="J33">
        <v>501</v>
      </c>
    </row>
    <row r="34" spans="1:10" x14ac:dyDescent="0.2">
      <c r="A34" t="s">
        <v>115</v>
      </c>
      <c r="B34" t="s">
        <v>92</v>
      </c>
      <c r="C34" t="s">
        <v>92</v>
      </c>
      <c r="D34" t="s">
        <v>93</v>
      </c>
      <c r="E34" t="s">
        <v>237</v>
      </c>
      <c r="F34" t="s">
        <v>238</v>
      </c>
      <c r="G34">
        <v>12</v>
      </c>
      <c r="H34" t="s">
        <v>43</v>
      </c>
      <c r="I34">
        <v>0.17</v>
      </c>
      <c r="J34">
        <v>2.04</v>
      </c>
    </row>
    <row r="35" spans="1:10" x14ac:dyDescent="0.2">
      <c r="A35" t="s">
        <v>115</v>
      </c>
      <c r="B35" t="s">
        <v>92</v>
      </c>
      <c r="C35" t="s">
        <v>92</v>
      </c>
      <c r="D35" t="s">
        <v>93</v>
      </c>
      <c r="E35" t="s">
        <v>239</v>
      </c>
      <c r="F35" t="s">
        <v>240</v>
      </c>
      <c r="G35">
        <v>1</v>
      </c>
      <c r="H35" t="s">
        <v>43</v>
      </c>
      <c r="I35">
        <v>11</v>
      </c>
      <c r="J35">
        <v>11</v>
      </c>
    </row>
    <row r="36" spans="1:10" x14ac:dyDescent="0.2">
      <c r="A36" t="s">
        <v>115</v>
      </c>
      <c r="B36" t="s">
        <v>92</v>
      </c>
      <c r="C36" t="s">
        <v>92</v>
      </c>
      <c r="D36" t="s">
        <v>93</v>
      </c>
      <c r="E36" t="s">
        <v>241</v>
      </c>
      <c r="F36" t="s">
        <v>242</v>
      </c>
      <c r="G36">
        <v>1</v>
      </c>
      <c r="H36" t="s">
        <v>43</v>
      </c>
      <c r="I36">
        <v>97</v>
      </c>
      <c r="J36">
        <v>97</v>
      </c>
    </row>
    <row r="37" spans="1:10" x14ac:dyDescent="0.2">
      <c r="A37" t="s">
        <v>115</v>
      </c>
      <c r="B37" t="s">
        <v>92</v>
      </c>
      <c r="C37" t="s">
        <v>92</v>
      </c>
      <c r="D37" t="s">
        <v>93</v>
      </c>
      <c r="E37" t="s">
        <v>243</v>
      </c>
      <c r="F37" t="s">
        <v>244</v>
      </c>
      <c r="G37">
        <v>1</v>
      </c>
      <c r="H37" t="s">
        <v>43</v>
      </c>
      <c r="I37">
        <v>19</v>
      </c>
      <c r="J37">
        <v>19</v>
      </c>
    </row>
    <row r="38" spans="1:10" x14ac:dyDescent="0.2">
      <c r="A38" t="s">
        <v>115</v>
      </c>
      <c r="B38" t="s">
        <v>92</v>
      </c>
      <c r="C38" t="s">
        <v>92</v>
      </c>
      <c r="D38" t="s">
        <v>93</v>
      </c>
      <c r="E38" t="s">
        <v>245</v>
      </c>
      <c r="F38" t="s">
        <v>246</v>
      </c>
      <c r="G38">
        <v>1</v>
      </c>
      <c r="H38" t="s">
        <v>43</v>
      </c>
      <c r="I38">
        <v>149</v>
      </c>
      <c r="J38">
        <v>149</v>
      </c>
    </row>
    <row r="39" spans="1:10" x14ac:dyDescent="0.2">
      <c r="A39" t="s">
        <v>115</v>
      </c>
      <c r="B39" t="s">
        <v>92</v>
      </c>
      <c r="C39" t="s">
        <v>92</v>
      </c>
      <c r="D39" t="s">
        <v>93</v>
      </c>
      <c r="E39" t="s">
        <v>247</v>
      </c>
      <c r="F39" t="s">
        <v>248</v>
      </c>
      <c r="G39">
        <v>2</v>
      </c>
      <c r="H39" t="s">
        <v>43</v>
      </c>
      <c r="I39">
        <v>0.52</v>
      </c>
      <c r="J39">
        <v>1.04</v>
      </c>
    </row>
    <row r="40" spans="1:10" x14ac:dyDescent="0.2">
      <c r="A40" t="s">
        <v>115</v>
      </c>
      <c r="B40" t="s">
        <v>92</v>
      </c>
      <c r="C40" t="s">
        <v>92</v>
      </c>
      <c r="D40" t="s">
        <v>93</v>
      </c>
      <c r="E40" t="s">
        <v>249</v>
      </c>
      <c r="F40" t="s">
        <v>250</v>
      </c>
      <c r="G40">
        <v>1</v>
      </c>
      <c r="H40" t="s">
        <v>43</v>
      </c>
      <c r="I40">
        <v>0.4</v>
      </c>
      <c r="J40">
        <v>0.4</v>
      </c>
    </row>
    <row r="41" spans="1:10" x14ac:dyDescent="0.2">
      <c r="A41" t="s">
        <v>115</v>
      </c>
      <c r="B41" t="s">
        <v>92</v>
      </c>
      <c r="C41" t="s">
        <v>92</v>
      </c>
      <c r="D41" t="s">
        <v>93</v>
      </c>
      <c r="E41" t="s">
        <v>251</v>
      </c>
      <c r="F41" t="s">
        <v>252</v>
      </c>
      <c r="G41">
        <v>2</v>
      </c>
      <c r="H41" t="s">
        <v>43</v>
      </c>
      <c r="I41">
        <v>4</v>
      </c>
      <c r="J41">
        <v>8</v>
      </c>
    </row>
    <row r="42" spans="1:10" x14ac:dyDescent="0.2">
      <c r="A42" t="s">
        <v>115</v>
      </c>
      <c r="B42" t="s">
        <v>92</v>
      </c>
      <c r="C42" t="s">
        <v>92</v>
      </c>
      <c r="D42" t="s">
        <v>93</v>
      </c>
      <c r="E42" t="s">
        <v>253</v>
      </c>
      <c r="F42" t="s">
        <v>254</v>
      </c>
      <c r="G42">
        <v>4</v>
      </c>
      <c r="H42" t="s">
        <v>43</v>
      </c>
      <c r="I42">
        <v>1</v>
      </c>
      <c r="J42">
        <v>4</v>
      </c>
    </row>
    <row r="43" spans="1:10" x14ac:dyDescent="0.2">
      <c r="A43" t="s">
        <v>115</v>
      </c>
      <c r="B43" t="s">
        <v>92</v>
      </c>
      <c r="C43" t="s">
        <v>92</v>
      </c>
      <c r="D43" t="s">
        <v>93</v>
      </c>
      <c r="E43" t="s">
        <v>255</v>
      </c>
      <c r="F43" t="s">
        <v>256</v>
      </c>
      <c r="G43">
        <v>3</v>
      </c>
      <c r="H43" t="s">
        <v>43</v>
      </c>
      <c r="I43">
        <v>0.69</v>
      </c>
      <c r="J43">
        <v>2.0699999999999998</v>
      </c>
    </row>
    <row r="44" spans="1:10" x14ac:dyDescent="0.2">
      <c r="A44" t="s">
        <v>115</v>
      </c>
      <c r="B44" t="s">
        <v>92</v>
      </c>
      <c r="C44" t="s">
        <v>92</v>
      </c>
      <c r="D44" t="s">
        <v>93</v>
      </c>
      <c r="E44" t="s">
        <v>257</v>
      </c>
      <c r="F44" t="s">
        <v>258</v>
      </c>
      <c r="G44">
        <v>1</v>
      </c>
      <c r="H44" t="s">
        <v>43</v>
      </c>
      <c r="I44">
        <v>9</v>
      </c>
      <c r="J44">
        <v>9</v>
      </c>
    </row>
    <row r="45" spans="1:10" x14ac:dyDescent="0.2">
      <c r="A45" t="s">
        <v>115</v>
      </c>
      <c r="B45" t="s">
        <v>92</v>
      </c>
      <c r="C45" t="s">
        <v>92</v>
      </c>
      <c r="D45" t="s">
        <v>93</v>
      </c>
      <c r="E45" t="s">
        <v>259</v>
      </c>
      <c r="F45" t="s">
        <v>260</v>
      </c>
      <c r="G45">
        <v>1</v>
      </c>
      <c r="H45" t="s">
        <v>43</v>
      </c>
      <c r="I45">
        <v>19</v>
      </c>
      <c r="J45">
        <v>19</v>
      </c>
    </row>
    <row r="46" spans="1:10" x14ac:dyDescent="0.2">
      <c r="A46" t="s">
        <v>115</v>
      </c>
      <c r="B46" t="s">
        <v>92</v>
      </c>
      <c r="C46" t="s">
        <v>92</v>
      </c>
      <c r="D46" t="s">
        <v>93</v>
      </c>
      <c r="E46" t="s">
        <v>261</v>
      </c>
      <c r="F46" t="s">
        <v>262</v>
      </c>
      <c r="G46">
        <v>1</v>
      </c>
      <c r="H46" t="s">
        <v>43</v>
      </c>
      <c r="I46">
        <v>1</v>
      </c>
      <c r="J46">
        <v>1</v>
      </c>
    </row>
    <row r="47" spans="1:10" x14ac:dyDescent="0.2">
      <c r="A47" t="s">
        <v>115</v>
      </c>
      <c r="B47" t="s">
        <v>92</v>
      </c>
      <c r="C47" t="s">
        <v>92</v>
      </c>
      <c r="D47" t="s">
        <v>93</v>
      </c>
      <c r="E47" t="s">
        <v>263</v>
      </c>
      <c r="F47" t="s">
        <v>264</v>
      </c>
      <c r="G47">
        <v>1</v>
      </c>
      <c r="H47" t="s">
        <v>43</v>
      </c>
      <c r="I47">
        <v>9</v>
      </c>
      <c r="J47">
        <v>9</v>
      </c>
    </row>
    <row r="48" spans="1:10" x14ac:dyDescent="0.2">
      <c r="A48" t="s">
        <v>115</v>
      </c>
      <c r="B48" t="s">
        <v>92</v>
      </c>
      <c r="C48" t="s">
        <v>92</v>
      </c>
      <c r="D48" t="s">
        <v>93</v>
      </c>
      <c r="E48" t="s">
        <v>265</v>
      </c>
      <c r="F48" t="s">
        <v>266</v>
      </c>
      <c r="G48">
        <v>3</v>
      </c>
      <c r="H48" t="s">
        <v>43</v>
      </c>
      <c r="I48">
        <v>0.5</v>
      </c>
      <c r="J48">
        <v>1.5</v>
      </c>
    </row>
    <row r="49" spans="1:10" x14ac:dyDescent="0.2">
      <c r="A49" t="s">
        <v>115</v>
      </c>
      <c r="B49" t="s">
        <v>92</v>
      </c>
      <c r="C49" t="s">
        <v>92</v>
      </c>
      <c r="D49" t="s">
        <v>93</v>
      </c>
      <c r="E49" t="s">
        <v>267</v>
      </c>
      <c r="F49" t="s">
        <v>268</v>
      </c>
      <c r="G49">
        <v>2</v>
      </c>
      <c r="H49" t="s">
        <v>43</v>
      </c>
      <c r="I49">
        <v>0.4</v>
      </c>
      <c r="J49">
        <v>0.8</v>
      </c>
    </row>
    <row r="50" spans="1:10" x14ac:dyDescent="0.2">
      <c r="A50" t="s">
        <v>166</v>
      </c>
      <c r="B50" t="s">
        <v>165</v>
      </c>
      <c r="C50" t="s">
        <v>92</v>
      </c>
      <c r="D50" t="s">
        <v>93</v>
      </c>
      <c r="E50" t="s">
        <v>269</v>
      </c>
      <c r="F50" t="s">
        <v>270</v>
      </c>
      <c r="G50">
        <v>1</v>
      </c>
      <c r="H50" t="s">
        <v>43</v>
      </c>
      <c r="I50">
        <v>1.38</v>
      </c>
      <c r="J50">
        <v>1.38</v>
      </c>
    </row>
    <row r="51" spans="1:10" x14ac:dyDescent="0.2">
      <c r="A51" t="s">
        <v>166</v>
      </c>
      <c r="B51" t="s">
        <v>165</v>
      </c>
      <c r="C51" t="s">
        <v>92</v>
      </c>
      <c r="D51" t="s">
        <v>93</v>
      </c>
      <c r="E51" t="s">
        <v>271</v>
      </c>
      <c r="F51" t="s">
        <v>272</v>
      </c>
      <c r="G51">
        <v>4</v>
      </c>
      <c r="H51" t="s">
        <v>43</v>
      </c>
      <c r="I51">
        <v>0.4</v>
      </c>
      <c r="J51">
        <v>1.6</v>
      </c>
    </row>
    <row r="52" spans="1:10" x14ac:dyDescent="0.2">
      <c r="A52" t="s">
        <v>166</v>
      </c>
      <c r="B52" t="s">
        <v>165</v>
      </c>
      <c r="C52" t="s">
        <v>92</v>
      </c>
      <c r="D52" t="s">
        <v>93</v>
      </c>
      <c r="E52" t="s">
        <v>239</v>
      </c>
      <c r="F52" t="s">
        <v>240</v>
      </c>
      <c r="G52">
        <v>1</v>
      </c>
      <c r="H52" t="s">
        <v>43</v>
      </c>
      <c r="I52">
        <v>11</v>
      </c>
      <c r="J52">
        <v>11</v>
      </c>
    </row>
    <row r="53" spans="1:10" x14ac:dyDescent="0.2">
      <c r="A53" t="s">
        <v>166</v>
      </c>
      <c r="B53" t="s">
        <v>165</v>
      </c>
      <c r="C53" t="s">
        <v>92</v>
      </c>
      <c r="D53" t="s">
        <v>93</v>
      </c>
      <c r="E53" t="s">
        <v>215</v>
      </c>
      <c r="F53" t="s">
        <v>216</v>
      </c>
      <c r="G53">
        <v>2</v>
      </c>
      <c r="H53" t="s">
        <v>43</v>
      </c>
      <c r="I53">
        <v>13</v>
      </c>
      <c r="J53">
        <v>26</v>
      </c>
    </row>
    <row r="54" spans="1:10" x14ac:dyDescent="0.2">
      <c r="A54" t="s">
        <v>166</v>
      </c>
      <c r="B54" t="s">
        <v>165</v>
      </c>
      <c r="C54" t="s">
        <v>92</v>
      </c>
      <c r="D54" t="s">
        <v>93</v>
      </c>
      <c r="E54" t="s">
        <v>229</v>
      </c>
      <c r="F54" t="s">
        <v>230</v>
      </c>
      <c r="G54">
        <v>1</v>
      </c>
      <c r="H54" t="s">
        <v>43</v>
      </c>
      <c r="I54">
        <v>11</v>
      </c>
      <c r="J54">
        <v>11</v>
      </c>
    </row>
    <row r="55" spans="1:10" x14ac:dyDescent="0.2">
      <c r="A55" t="s">
        <v>166</v>
      </c>
      <c r="B55" t="s">
        <v>165</v>
      </c>
      <c r="C55" t="s">
        <v>92</v>
      </c>
      <c r="D55" t="s">
        <v>93</v>
      </c>
      <c r="E55" t="s">
        <v>273</v>
      </c>
      <c r="F55" t="s">
        <v>274</v>
      </c>
      <c r="G55">
        <v>1</v>
      </c>
      <c r="H55" t="s">
        <v>43</v>
      </c>
      <c r="I55">
        <v>8</v>
      </c>
      <c r="J55">
        <v>8</v>
      </c>
    </row>
    <row r="56" spans="1:10" x14ac:dyDescent="0.2">
      <c r="A56" t="s">
        <v>166</v>
      </c>
      <c r="B56" t="s">
        <v>165</v>
      </c>
      <c r="C56" t="s">
        <v>92</v>
      </c>
      <c r="D56" t="s">
        <v>93</v>
      </c>
      <c r="E56" t="s">
        <v>275</v>
      </c>
      <c r="F56" t="s">
        <v>276</v>
      </c>
      <c r="G56">
        <v>1</v>
      </c>
      <c r="H56" t="s">
        <v>43</v>
      </c>
      <c r="I56">
        <v>3</v>
      </c>
      <c r="J56">
        <v>3</v>
      </c>
    </row>
    <row r="57" spans="1:10" x14ac:dyDescent="0.2">
      <c r="A57" t="s">
        <v>166</v>
      </c>
      <c r="B57" t="s">
        <v>165</v>
      </c>
      <c r="C57" t="s">
        <v>92</v>
      </c>
      <c r="D57" t="s">
        <v>93</v>
      </c>
      <c r="E57" t="s">
        <v>277</v>
      </c>
      <c r="F57" t="s">
        <v>278</v>
      </c>
      <c r="G57">
        <v>1</v>
      </c>
      <c r="H57" t="s">
        <v>43</v>
      </c>
      <c r="I57">
        <v>0.43</v>
      </c>
      <c r="J57">
        <v>0.43</v>
      </c>
    </row>
    <row r="58" spans="1:10" x14ac:dyDescent="0.2">
      <c r="A58" t="s">
        <v>166</v>
      </c>
      <c r="B58" t="s">
        <v>165</v>
      </c>
      <c r="C58" t="s">
        <v>92</v>
      </c>
      <c r="D58" t="s">
        <v>93</v>
      </c>
      <c r="E58" t="s">
        <v>227</v>
      </c>
      <c r="F58" t="s">
        <v>228</v>
      </c>
      <c r="G58">
        <v>1</v>
      </c>
      <c r="H58" t="s">
        <v>43</v>
      </c>
      <c r="I58">
        <v>1</v>
      </c>
      <c r="J58">
        <v>1</v>
      </c>
    </row>
    <row r="59" spans="1:10" x14ac:dyDescent="0.2">
      <c r="A59" t="s">
        <v>166</v>
      </c>
      <c r="B59" t="s">
        <v>165</v>
      </c>
      <c r="C59" t="s">
        <v>92</v>
      </c>
      <c r="D59" t="s">
        <v>93</v>
      </c>
      <c r="E59" t="s">
        <v>279</v>
      </c>
      <c r="F59" t="s">
        <v>280</v>
      </c>
      <c r="G59">
        <v>5</v>
      </c>
      <c r="H59" t="s">
        <v>43</v>
      </c>
      <c r="I59">
        <v>0.17</v>
      </c>
      <c r="J59">
        <v>0.85</v>
      </c>
    </row>
    <row r="60" spans="1:10" x14ac:dyDescent="0.2">
      <c r="A60" t="s">
        <v>166</v>
      </c>
      <c r="B60" t="s">
        <v>165</v>
      </c>
      <c r="C60" t="s">
        <v>92</v>
      </c>
      <c r="D60" t="s">
        <v>93</v>
      </c>
      <c r="E60" t="s">
        <v>281</v>
      </c>
      <c r="F60" t="s">
        <v>282</v>
      </c>
      <c r="G60">
        <v>1</v>
      </c>
      <c r="H60" t="s">
        <v>43</v>
      </c>
      <c r="I60">
        <v>17</v>
      </c>
      <c r="J60">
        <v>17</v>
      </c>
    </row>
    <row r="61" spans="1:10" x14ac:dyDescent="0.2">
      <c r="A61" t="s">
        <v>166</v>
      </c>
      <c r="B61" t="s">
        <v>165</v>
      </c>
      <c r="C61" t="s">
        <v>92</v>
      </c>
      <c r="D61" t="s">
        <v>93</v>
      </c>
      <c r="E61" t="s">
        <v>283</v>
      </c>
      <c r="F61" t="s">
        <v>284</v>
      </c>
      <c r="G61">
        <v>1</v>
      </c>
      <c r="H61" t="s">
        <v>43</v>
      </c>
      <c r="I61">
        <v>19</v>
      </c>
      <c r="J61">
        <v>19</v>
      </c>
    </row>
    <row r="62" spans="1:10" x14ac:dyDescent="0.2">
      <c r="A62" t="s">
        <v>166</v>
      </c>
      <c r="B62" t="s">
        <v>165</v>
      </c>
      <c r="C62" t="s">
        <v>92</v>
      </c>
      <c r="D62" t="s">
        <v>93</v>
      </c>
      <c r="E62" t="s">
        <v>285</v>
      </c>
      <c r="F62" t="s">
        <v>286</v>
      </c>
      <c r="G62">
        <v>1</v>
      </c>
      <c r="H62" t="s">
        <v>43</v>
      </c>
      <c r="I62">
        <v>59</v>
      </c>
      <c r="J62">
        <v>59</v>
      </c>
    </row>
    <row r="63" spans="1:10" x14ac:dyDescent="0.2">
      <c r="A63" t="s">
        <v>166</v>
      </c>
      <c r="B63" t="s">
        <v>165</v>
      </c>
      <c r="C63" t="s">
        <v>92</v>
      </c>
      <c r="D63" t="s">
        <v>93</v>
      </c>
      <c r="E63" t="s">
        <v>175</v>
      </c>
      <c r="F63" t="s">
        <v>176</v>
      </c>
      <c r="G63">
        <v>1</v>
      </c>
      <c r="H63" t="s">
        <v>43</v>
      </c>
      <c r="I63">
        <v>432</v>
      </c>
      <c r="J63">
        <v>432</v>
      </c>
    </row>
    <row r="64" spans="1:10" x14ac:dyDescent="0.2">
      <c r="A64" t="s">
        <v>166</v>
      </c>
      <c r="B64" t="s">
        <v>165</v>
      </c>
      <c r="C64" t="s">
        <v>92</v>
      </c>
      <c r="D64" t="s">
        <v>93</v>
      </c>
      <c r="E64" t="s">
        <v>287</v>
      </c>
      <c r="F64" t="s">
        <v>288</v>
      </c>
      <c r="G64">
        <v>1</v>
      </c>
      <c r="H64" t="s">
        <v>43</v>
      </c>
      <c r="I64">
        <v>11</v>
      </c>
      <c r="J64">
        <v>11</v>
      </c>
    </row>
    <row r="65" spans="1:10" x14ac:dyDescent="0.2">
      <c r="A65" t="s">
        <v>166</v>
      </c>
      <c r="B65" t="s">
        <v>165</v>
      </c>
      <c r="C65" t="s">
        <v>92</v>
      </c>
      <c r="D65" t="s">
        <v>93</v>
      </c>
      <c r="E65" t="s">
        <v>289</v>
      </c>
      <c r="F65" t="s">
        <v>290</v>
      </c>
      <c r="G65">
        <v>2</v>
      </c>
      <c r="H65" t="s">
        <v>43</v>
      </c>
      <c r="I65">
        <v>11</v>
      </c>
      <c r="J65">
        <v>22</v>
      </c>
    </row>
    <row r="66" spans="1:10" x14ac:dyDescent="0.2">
      <c r="A66" t="s">
        <v>137</v>
      </c>
      <c r="B66" t="s">
        <v>136</v>
      </c>
      <c r="C66" t="s">
        <v>92</v>
      </c>
      <c r="D66" t="s">
        <v>93</v>
      </c>
      <c r="E66" t="s">
        <v>291</v>
      </c>
      <c r="F66" t="s">
        <v>292</v>
      </c>
      <c r="G66">
        <v>1</v>
      </c>
      <c r="H66" t="s">
        <v>43</v>
      </c>
      <c r="I66">
        <v>281.12</v>
      </c>
      <c r="J66">
        <v>281.12</v>
      </c>
    </row>
    <row r="67" spans="1:10" x14ac:dyDescent="0.2">
      <c r="A67" t="s">
        <v>168</v>
      </c>
      <c r="B67" t="s">
        <v>167</v>
      </c>
      <c r="C67" t="s">
        <v>92</v>
      </c>
      <c r="D67" t="s">
        <v>93</v>
      </c>
      <c r="E67" t="s">
        <v>293</v>
      </c>
      <c r="F67" t="s">
        <v>294</v>
      </c>
      <c r="G67">
        <v>1</v>
      </c>
      <c r="H67" t="s">
        <v>43</v>
      </c>
      <c r="I67">
        <v>570</v>
      </c>
      <c r="J67">
        <v>570</v>
      </c>
    </row>
    <row r="68" spans="1:10" x14ac:dyDescent="0.2">
      <c r="A68" t="s">
        <v>168</v>
      </c>
      <c r="B68" t="s">
        <v>167</v>
      </c>
      <c r="C68" t="s">
        <v>92</v>
      </c>
      <c r="D68" t="s">
        <v>93</v>
      </c>
      <c r="E68" t="s">
        <v>295</v>
      </c>
      <c r="F68" t="s">
        <v>296</v>
      </c>
      <c r="G68">
        <v>1</v>
      </c>
      <c r="H68" t="s">
        <v>43</v>
      </c>
      <c r="I68">
        <v>6</v>
      </c>
      <c r="J68">
        <v>6</v>
      </c>
    </row>
    <row r="69" spans="1:10" x14ac:dyDescent="0.2">
      <c r="A69" t="s">
        <v>168</v>
      </c>
      <c r="B69" t="s">
        <v>167</v>
      </c>
      <c r="C69" t="s">
        <v>92</v>
      </c>
      <c r="D69" t="s">
        <v>93</v>
      </c>
      <c r="E69" t="s">
        <v>285</v>
      </c>
      <c r="F69" t="s">
        <v>297</v>
      </c>
      <c r="G69">
        <v>1</v>
      </c>
      <c r="H69" t="s">
        <v>43</v>
      </c>
      <c r="I69">
        <v>59</v>
      </c>
      <c r="J69">
        <v>59</v>
      </c>
    </row>
    <row r="70" spans="1:10" x14ac:dyDescent="0.2">
      <c r="A70" t="s">
        <v>151</v>
      </c>
      <c r="B70" t="s">
        <v>136</v>
      </c>
      <c r="C70" t="s">
        <v>92</v>
      </c>
      <c r="D70" t="s">
        <v>93</v>
      </c>
      <c r="E70" t="s">
        <v>298</v>
      </c>
      <c r="F70" t="s">
        <v>299</v>
      </c>
      <c r="G70">
        <v>1</v>
      </c>
      <c r="H70" t="s">
        <v>43</v>
      </c>
      <c r="I70">
        <v>11.2</v>
      </c>
      <c r="J70">
        <v>11.2</v>
      </c>
    </row>
    <row r="71" spans="1:10" x14ac:dyDescent="0.2">
      <c r="A71" t="s">
        <v>133</v>
      </c>
      <c r="B71" t="s">
        <v>92</v>
      </c>
      <c r="C71" t="s">
        <v>92</v>
      </c>
      <c r="D71" t="s">
        <v>93</v>
      </c>
      <c r="E71" t="s">
        <v>293</v>
      </c>
      <c r="F71" t="s">
        <v>294</v>
      </c>
      <c r="G71">
        <v>1</v>
      </c>
      <c r="H71" t="s">
        <v>43</v>
      </c>
      <c r="I71">
        <v>570</v>
      </c>
      <c r="J71">
        <v>570</v>
      </c>
    </row>
    <row r="72" spans="1:10" x14ac:dyDescent="0.2">
      <c r="A72" t="s">
        <v>111</v>
      </c>
      <c r="B72" t="s">
        <v>107</v>
      </c>
      <c r="C72" t="s">
        <v>92</v>
      </c>
      <c r="D72" t="s">
        <v>93</v>
      </c>
      <c r="E72" t="s">
        <v>235</v>
      </c>
      <c r="F72" t="s">
        <v>236</v>
      </c>
      <c r="G72">
        <v>1</v>
      </c>
      <c r="H72" t="s">
        <v>43</v>
      </c>
      <c r="I72">
        <v>501</v>
      </c>
      <c r="J72">
        <v>501</v>
      </c>
    </row>
    <row r="73" spans="1:10" x14ac:dyDescent="0.2">
      <c r="A73" t="s">
        <v>164</v>
      </c>
      <c r="B73" t="s">
        <v>154</v>
      </c>
      <c r="C73" t="s">
        <v>92</v>
      </c>
      <c r="D73" t="s">
        <v>93</v>
      </c>
      <c r="E73" t="s">
        <v>175</v>
      </c>
      <c r="F73" t="s">
        <v>176</v>
      </c>
      <c r="G73">
        <v>1</v>
      </c>
      <c r="H73" t="s">
        <v>43</v>
      </c>
      <c r="I73">
        <v>432</v>
      </c>
      <c r="J73">
        <v>432</v>
      </c>
    </row>
    <row r="74" spans="1:10" x14ac:dyDescent="0.2">
      <c r="A74" t="s">
        <v>112</v>
      </c>
      <c r="B74" t="s">
        <v>107</v>
      </c>
      <c r="C74" t="s">
        <v>92</v>
      </c>
      <c r="D74" t="s">
        <v>93</v>
      </c>
      <c r="E74" t="s">
        <v>300</v>
      </c>
      <c r="F74" t="s">
        <v>301</v>
      </c>
      <c r="G74">
        <v>1</v>
      </c>
      <c r="H74" t="s">
        <v>43</v>
      </c>
      <c r="I74">
        <v>147</v>
      </c>
      <c r="J74">
        <v>147</v>
      </c>
    </row>
    <row r="75" spans="1:10" x14ac:dyDescent="0.2">
      <c r="A75" t="s">
        <v>112</v>
      </c>
      <c r="B75" t="s">
        <v>107</v>
      </c>
      <c r="C75" t="s">
        <v>92</v>
      </c>
      <c r="D75" t="s">
        <v>93</v>
      </c>
      <c r="E75" t="s">
        <v>175</v>
      </c>
      <c r="F75" t="s">
        <v>176</v>
      </c>
      <c r="G75">
        <v>1</v>
      </c>
      <c r="H75" t="s">
        <v>43</v>
      </c>
      <c r="I75">
        <v>432</v>
      </c>
      <c r="J75">
        <v>432</v>
      </c>
    </row>
    <row r="76" spans="1:10" x14ac:dyDescent="0.2">
      <c r="A76" t="s">
        <v>163</v>
      </c>
      <c r="B76" t="s">
        <v>154</v>
      </c>
      <c r="C76" t="s">
        <v>92</v>
      </c>
      <c r="D76" t="s">
        <v>93</v>
      </c>
      <c r="E76" t="s">
        <v>209</v>
      </c>
      <c r="F76" t="s">
        <v>210</v>
      </c>
      <c r="G76">
        <v>1</v>
      </c>
      <c r="H76" t="s">
        <v>43</v>
      </c>
      <c r="I76">
        <v>27</v>
      </c>
      <c r="J76">
        <v>27</v>
      </c>
    </row>
    <row r="77" spans="1:10" x14ac:dyDescent="0.2">
      <c r="A77" t="s">
        <v>150</v>
      </c>
      <c r="B77" t="s">
        <v>136</v>
      </c>
      <c r="C77" t="s">
        <v>92</v>
      </c>
      <c r="D77" t="s">
        <v>93</v>
      </c>
      <c r="E77" t="s">
        <v>302</v>
      </c>
      <c r="F77" t="s">
        <v>303</v>
      </c>
      <c r="G77">
        <v>4</v>
      </c>
      <c r="H77" t="s">
        <v>43</v>
      </c>
      <c r="I77">
        <v>141.56</v>
      </c>
      <c r="J77">
        <v>566.24</v>
      </c>
    </row>
    <row r="78" spans="1:10" x14ac:dyDescent="0.2">
      <c r="A78" t="s">
        <v>149</v>
      </c>
      <c r="B78" t="s">
        <v>136</v>
      </c>
      <c r="C78" t="s">
        <v>92</v>
      </c>
      <c r="D78" t="s">
        <v>93</v>
      </c>
      <c r="E78" t="s">
        <v>304</v>
      </c>
      <c r="F78" t="s">
        <v>305</v>
      </c>
      <c r="G78">
        <v>1</v>
      </c>
      <c r="H78" t="s">
        <v>43</v>
      </c>
      <c r="I78">
        <v>3.1</v>
      </c>
      <c r="J78">
        <v>3.1</v>
      </c>
    </row>
    <row r="79" spans="1:10" x14ac:dyDescent="0.2">
      <c r="A79" t="s">
        <v>149</v>
      </c>
      <c r="B79" t="s">
        <v>136</v>
      </c>
      <c r="C79" t="s">
        <v>92</v>
      </c>
      <c r="D79" t="s">
        <v>93</v>
      </c>
      <c r="E79" t="s">
        <v>306</v>
      </c>
      <c r="F79" t="s">
        <v>307</v>
      </c>
      <c r="G79">
        <v>2</v>
      </c>
      <c r="H79" t="s">
        <v>43</v>
      </c>
      <c r="I79">
        <v>39.44</v>
      </c>
      <c r="J79">
        <v>78.88</v>
      </c>
    </row>
    <row r="80" spans="1:10" x14ac:dyDescent="0.2">
      <c r="A80" t="s">
        <v>149</v>
      </c>
      <c r="B80" t="s">
        <v>136</v>
      </c>
      <c r="C80" t="s">
        <v>92</v>
      </c>
      <c r="D80" t="s">
        <v>93</v>
      </c>
      <c r="E80" t="s">
        <v>308</v>
      </c>
      <c r="F80" t="s">
        <v>309</v>
      </c>
      <c r="G80">
        <v>32</v>
      </c>
      <c r="H80" t="s">
        <v>43</v>
      </c>
      <c r="I80">
        <v>0.69</v>
      </c>
      <c r="J80">
        <v>22.08</v>
      </c>
    </row>
    <row r="81" spans="1:10" x14ac:dyDescent="0.2">
      <c r="A81" t="s">
        <v>149</v>
      </c>
      <c r="B81" t="s">
        <v>136</v>
      </c>
      <c r="C81" t="s">
        <v>92</v>
      </c>
      <c r="D81" t="s">
        <v>93</v>
      </c>
      <c r="E81" t="s">
        <v>59</v>
      </c>
      <c r="F81" t="s">
        <v>60</v>
      </c>
      <c r="G81">
        <v>1</v>
      </c>
      <c r="H81" t="s">
        <v>43</v>
      </c>
      <c r="I81">
        <v>15.33</v>
      </c>
      <c r="J81">
        <v>15.33</v>
      </c>
    </row>
    <row r="82" spans="1:10" x14ac:dyDescent="0.2">
      <c r="A82" t="s">
        <v>149</v>
      </c>
      <c r="B82" t="s">
        <v>136</v>
      </c>
      <c r="C82" t="s">
        <v>92</v>
      </c>
      <c r="D82" t="s">
        <v>93</v>
      </c>
      <c r="E82" t="s">
        <v>310</v>
      </c>
      <c r="F82" t="s">
        <v>311</v>
      </c>
      <c r="G82">
        <v>1</v>
      </c>
      <c r="H82" t="s">
        <v>43</v>
      </c>
      <c r="I82">
        <v>15.33</v>
      </c>
      <c r="J82">
        <v>15.33</v>
      </c>
    </row>
    <row r="83" spans="1:10" x14ac:dyDescent="0.2">
      <c r="A83" t="s">
        <v>149</v>
      </c>
      <c r="B83" t="s">
        <v>136</v>
      </c>
      <c r="C83" t="s">
        <v>92</v>
      </c>
      <c r="D83" t="s">
        <v>93</v>
      </c>
      <c r="E83" t="s">
        <v>312</v>
      </c>
      <c r="F83" t="s">
        <v>313</v>
      </c>
      <c r="G83">
        <v>4</v>
      </c>
      <c r="H83" t="s">
        <v>43</v>
      </c>
      <c r="I83">
        <v>0.17</v>
      </c>
      <c r="J83">
        <v>0.68</v>
      </c>
    </row>
    <row r="84" spans="1:10" x14ac:dyDescent="0.2">
      <c r="A84" t="s">
        <v>149</v>
      </c>
      <c r="B84" t="s">
        <v>136</v>
      </c>
      <c r="C84" t="s">
        <v>92</v>
      </c>
      <c r="D84" t="s">
        <v>93</v>
      </c>
      <c r="E84" t="s">
        <v>181</v>
      </c>
      <c r="F84" t="s">
        <v>182</v>
      </c>
      <c r="G84">
        <v>1</v>
      </c>
      <c r="H84" t="s">
        <v>43</v>
      </c>
      <c r="I84">
        <v>1.72</v>
      </c>
      <c r="J84">
        <v>1.72</v>
      </c>
    </row>
    <row r="85" spans="1:10" x14ac:dyDescent="0.2">
      <c r="A85" t="s">
        <v>149</v>
      </c>
      <c r="B85" t="s">
        <v>136</v>
      </c>
      <c r="C85" t="s">
        <v>92</v>
      </c>
      <c r="D85" t="s">
        <v>93</v>
      </c>
      <c r="E85" t="s">
        <v>185</v>
      </c>
      <c r="F85" t="s">
        <v>186</v>
      </c>
      <c r="G85">
        <v>1</v>
      </c>
      <c r="H85" t="s">
        <v>43</v>
      </c>
      <c r="I85">
        <v>15.33</v>
      </c>
      <c r="J85">
        <v>15.33</v>
      </c>
    </row>
    <row r="86" spans="1:10" x14ac:dyDescent="0.2">
      <c r="A86" t="s">
        <v>149</v>
      </c>
      <c r="B86" t="s">
        <v>136</v>
      </c>
      <c r="C86" t="s">
        <v>92</v>
      </c>
      <c r="D86" t="s">
        <v>93</v>
      </c>
      <c r="E86" t="s">
        <v>314</v>
      </c>
      <c r="F86" t="s">
        <v>315</v>
      </c>
      <c r="G86">
        <v>1</v>
      </c>
      <c r="H86" t="s">
        <v>43</v>
      </c>
      <c r="I86">
        <v>0.17</v>
      </c>
      <c r="J86">
        <v>0.17</v>
      </c>
    </row>
    <row r="87" spans="1:10" x14ac:dyDescent="0.2">
      <c r="A87" t="s">
        <v>149</v>
      </c>
      <c r="B87" t="s">
        <v>136</v>
      </c>
      <c r="C87" t="s">
        <v>92</v>
      </c>
      <c r="D87" t="s">
        <v>93</v>
      </c>
      <c r="E87" t="s">
        <v>316</v>
      </c>
      <c r="F87" t="s">
        <v>317</v>
      </c>
      <c r="G87">
        <v>2</v>
      </c>
      <c r="H87" t="s">
        <v>43</v>
      </c>
      <c r="I87">
        <v>22.39</v>
      </c>
      <c r="J87">
        <v>44.78</v>
      </c>
    </row>
    <row r="88" spans="1:10" x14ac:dyDescent="0.2">
      <c r="A88" t="s">
        <v>149</v>
      </c>
      <c r="B88" t="s">
        <v>136</v>
      </c>
      <c r="C88" t="s">
        <v>92</v>
      </c>
      <c r="D88" t="s">
        <v>93</v>
      </c>
      <c r="E88" t="s">
        <v>318</v>
      </c>
      <c r="F88" t="s">
        <v>319</v>
      </c>
      <c r="G88">
        <v>1</v>
      </c>
      <c r="H88" t="s">
        <v>43</v>
      </c>
      <c r="I88">
        <v>0.17</v>
      </c>
      <c r="J88">
        <v>0.17</v>
      </c>
    </row>
    <row r="89" spans="1:10" x14ac:dyDescent="0.2">
      <c r="A89" t="s">
        <v>149</v>
      </c>
      <c r="B89" t="s">
        <v>136</v>
      </c>
      <c r="C89" t="s">
        <v>92</v>
      </c>
      <c r="D89" t="s">
        <v>93</v>
      </c>
      <c r="E89" t="s">
        <v>320</v>
      </c>
      <c r="F89" t="s">
        <v>321</v>
      </c>
      <c r="G89">
        <v>2</v>
      </c>
      <c r="H89" t="s">
        <v>43</v>
      </c>
      <c r="I89">
        <v>29.1</v>
      </c>
      <c r="J89">
        <v>58.2</v>
      </c>
    </row>
    <row r="90" spans="1:10" x14ac:dyDescent="0.2">
      <c r="A90" t="s">
        <v>149</v>
      </c>
      <c r="B90" t="s">
        <v>136</v>
      </c>
      <c r="C90" t="s">
        <v>92</v>
      </c>
      <c r="D90" t="s">
        <v>93</v>
      </c>
      <c r="E90" t="s">
        <v>177</v>
      </c>
      <c r="F90" t="s">
        <v>178</v>
      </c>
      <c r="G90">
        <v>1</v>
      </c>
      <c r="H90" t="s">
        <v>43</v>
      </c>
      <c r="I90">
        <v>15.33</v>
      </c>
      <c r="J90">
        <v>15.33</v>
      </c>
    </row>
    <row r="91" spans="1:10" x14ac:dyDescent="0.2">
      <c r="A91" t="s">
        <v>149</v>
      </c>
      <c r="B91" t="s">
        <v>136</v>
      </c>
      <c r="C91" t="s">
        <v>92</v>
      </c>
      <c r="D91" t="s">
        <v>93</v>
      </c>
      <c r="E91" t="s">
        <v>322</v>
      </c>
      <c r="F91" t="s">
        <v>323</v>
      </c>
      <c r="G91">
        <v>1</v>
      </c>
      <c r="H91" t="s">
        <v>43</v>
      </c>
      <c r="I91">
        <v>3.1</v>
      </c>
      <c r="J91">
        <v>3.1</v>
      </c>
    </row>
    <row r="92" spans="1:10" x14ac:dyDescent="0.2">
      <c r="A92" t="s">
        <v>149</v>
      </c>
      <c r="B92" t="s">
        <v>136</v>
      </c>
      <c r="C92" t="s">
        <v>92</v>
      </c>
      <c r="D92" t="s">
        <v>93</v>
      </c>
      <c r="E92" t="s">
        <v>324</v>
      </c>
      <c r="F92" t="s">
        <v>325</v>
      </c>
      <c r="G92">
        <v>1</v>
      </c>
      <c r="H92" t="s">
        <v>43</v>
      </c>
      <c r="I92">
        <v>74.91</v>
      </c>
      <c r="J92">
        <v>74.91</v>
      </c>
    </row>
    <row r="93" spans="1:10" x14ac:dyDescent="0.2">
      <c r="A93" t="s">
        <v>149</v>
      </c>
      <c r="B93" t="s">
        <v>136</v>
      </c>
      <c r="C93" t="s">
        <v>92</v>
      </c>
      <c r="D93" t="s">
        <v>93</v>
      </c>
      <c r="E93" t="s">
        <v>326</v>
      </c>
      <c r="F93" t="s">
        <v>327</v>
      </c>
      <c r="G93">
        <v>1</v>
      </c>
      <c r="H93" t="s">
        <v>43</v>
      </c>
      <c r="I93">
        <v>0.22</v>
      </c>
      <c r="J93">
        <v>0.22</v>
      </c>
    </row>
    <row r="94" spans="1:10" x14ac:dyDescent="0.2">
      <c r="A94" t="s">
        <v>149</v>
      </c>
      <c r="B94" t="s">
        <v>136</v>
      </c>
      <c r="C94" t="s">
        <v>92</v>
      </c>
      <c r="D94" t="s">
        <v>93</v>
      </c>
      <c r="E94" t="s">
        <v>183</v>
      </c>
      <c r="F94" t="s">
        <v>184</v>
      </c>
      <c r="G94">
        <v>2</v>
      </c>
      <c r="H94" t="s">
        <v>43</v>
      </c>
      <c r="I94">
        <v>22.39</v>
      </c>
      <c r="J94">
        <v>44.78</v>
      </c>
    </row>
    <row r="95" spans="1:10" x14ac:dyDescent="0.2">
      <c r="A95" t="s">
        <v>149</v>
      </c>
      <c r="B95" t="s">
        <v>136</v>
      </c>
      <c r="C95" t="s">
        <v>92</v>
      </c>
      <c r="D95" t="s">
        <v>93</v>
      </c>
      <c r="E95" t="s">
        <v>328</v>
      </c>
      <c r="F95" t="s">
        <v>329</v>
      </c>
      <c r="G95">
        <v>2</v>
      </c>
      <c r="H95" t="s">
        <v>43</v>
      </c>
      <c r="I95">
        <v>22.39</v>
      </c>
      <c r="J95">
        <v>44.78</v>
      </c>
    </row>
    <row r="96" spans="1:10" x14ac:dyDescent="0.2">
      <c r="A96" t="s">
        <v>149</v>
      </c>
      <c r="B96" t="s">
        <v>136</v>
      </c>
      <c r="C96" t="s">
        <v>92</v>
      </c>
      <c r="D96" t="s">
        <v>93</v>
      </c>
      <c r="E96" t="s">
        <v>330</v>
      </c>
      <c r="F96" t="s">
        <v>331</v>
      </c>
      <c r="G96">
        <v>1</v>
      </c>
      <c r="H96" t="s">
        <v>43</v>
      </c>
      <c r="I96">
        <v>7.75</v>
      </c>
      <c r="J96">
        <v>7.75</v>
      </c>
    </row>
    <row r="97" spans="1:10" x14ac:dyDescent="0.2">
      <c r="A97" t="s">
        <v>149</v>
      </c>
      <c r="B97" t="s">
        <v>136</v>
      </c>
      <c r="C97" t="s">
        <v>92</v>
      </c>
      <c r="D97" t="s">
        <v>93</v>
      </c>
      <c r="E97" t="s">
        <v>332</v>
      </c>
      <c r="F97" t="s">
        <v>333</v>
      </c>
      <c r="G97">
        <v>1</v>
      </c>
      <c r="H97" t="s">
        <v>43</v>
      </c>
      <c r="I97">
        <v>378.69</v>
      </c>
      <c r="J97">
        <v>378.69</v>
      </c>
    </row>
    <row r="98" spans="1:10" x14ac:dyDescent="0.2">
      <c r="A98" t="s">
        <v>149</v>
      </c>
      <c r="B98" t="s">
        <v>136</v>
      </c>
      <c r="C98" t="s">
        <v>92</v>
      </c>
      <c r="D98" t="s">
        <v>93</v>
      </c>
      <c r="E98" t="s">
        <v>191</v>
      </c>
      <c r="F98" t="s">
        <v>192</v>
      </c>
      <c r="G98">
        <v>2</v>
      </c>
      <c r="H98" t="s">
        <v>43</v>
      </c>
      <c r="I98">
        <v>22.39</v>
      </c>
      <c r="J98">
        <v>44.78</v>
      </c>
    </row>
    <row r="99" spans="1:10" x14ac:dyDescent="0.2">
      <c r="A99" t="s">
        <v>149</v>
      </c>
      <c r="B99" t="s">
        <v>136</v>
      </c>
      <c r="C99" t="s">
        <v>92</v>
      </c>
      <c r="D99" t="s">
        <v>93</v>
      </c>
      <c r="E99" t="s">
        <v>334</v>
      </c>
      <c r="F99" t="s">
        <v>335</v>
      </c>
      <c r="G99">
        <v>3</v>
      </c>
      <c r="H99" t="s">
        <v>43</v>
      </c>
      <c r="I99">
        <v>0.22</v>
      </c>
      <c r="J99">
        <v>0.66</v>
      </c>
    </row>
    <row r="100" spans="1:10" x14ac:dyDescent="0.2">
      <c r="A100" t="s">
        <v>174</v>
      </c>
      <c r="B100" t="s">
        <v>171</v>
      </c>
      <c r="C100" t="s">
        <v>92</v>
      </c>
      <c r="D100" t="s">
        <v>93</v>
      </c>
      <c r="E100" t="s">
        <v>336</v>
      </c>
      <c r="F100" t="s">
        <v>337</v>
      </c>
      <c r="G100">
        <v>1</v>
      </c>
      <c r="H100" t="s">
        <v>43</v>
      </c>
      <c r="I100">
        <v>72.8</v>
      </c>
      <c r="J100">
        <v>72.8</v>
      </c>
    </row>
    <row r="101" spans="1:10" x14ac:dyDescent="0.2">
      <c r="A101" t="s">
        <v>114</v>
      </c>
      <c r="B101" t="s">
        <v>113</v>
      </c>
      <c r="C101" t="s">
        <v>92</v>
      </c>
      <c r="D101" t="s">
        <v>93</v>
      </c>
      <c r="E101" t="s">
        <v>338</v>
      </c>
      <c r="F101" t="s">
        <v>339</v>
      </c>
      <c r="G101">
        <v>1</v>
      </c>
      <c r="H101" t="s">
        <v>43</v>
      </c>
      <c r="I101">
        <v>85.59</v>
      </c>
      <c r="J101">
        <v>85.59</v>
      </c>
    </row>
    <row r="102" spans="1:10" x14ac:dyDescent="0.2">
      <c r="A102" t="s">
        <v>162</v>
      </c>
      <c r="B102" t="s">
        <v>154</v>
      </c>
      <c r="C102" t="s">
        <v>92</v>
      </c>
      <c r="D102" t="s">
        <v>93</v>
      </c>
      <c r="E102" t="s">
        <v>340</v>
      </c>
      <c r="F102" t="s">
        <v>341</v>
      </c>
      <c r="G102">
        <v>1</v>
      </c>
      <c r="H102" t="s">
        <v>43</v>
      </c>
      <c r="I102">
        <v>422.24</v>
      </c>
      <c r="J102">
        <v>422.24</v>
      </c>
    </row>
    <row r="103" spans="1:10" x14ac:dyDescent="0.2">
      <c r="A103" t="s">
        <v>148</v>
      </c>
      <c r="B103" t="s">
        <v>136</v>
      </c>
      <c r="C103" t="s">
        <v>92</v>
      </c>
      <c r="D103" t="s">
        <v>93</v>
      </c>
      <c r="E103" t="s">
        <v>235</v>
      </c>
      <c r="F103" t="s">
        <v>236</v>
      </c>
      <c r="G103">
        <v>1</v>
      </c>
      <c r="H103" t="s">
        <v>43</v>
      </c>
      <c r="I103">
        <v>501</v>
      </c>
      <c r="J103">
        <v>501</v>
      </c>
    </row>
    <row r="104" spans="1:10" x14ac:dyDescent="0.2">
      <c r="A104" t="s">
        <v>132</v>
      </c>
      <c r="B104" t="s">
        <v>92</v>
      </c>
      <c r="C104" t="s">
        <v>92</v>
      </c>
      <c r="D104" t="s">
        <v>93</v>
      </c>
      <c r="E104" t="s">
        <v>175</v>
      </c>
      <c r="F104" t="s">
        <v>176</v>
      </c>
      <c r="G104">
        <v>1</v>
      </c>
      <c r="H104" t="s">
        <v>43</v>
      </c>
      <c r="I104">
        <v>432</v>
      </c>
      <c r="J104">
        <v>432</v>
      </c>
    </row>
    <row r="105" spans="1:10" x14ac:dyDescent="0.2">
      <c r="A105" t="s">
        <v>131</v>
      </c>
      <c r="B105" t="s">
        <v>92</v>
      </c>
      <c r="C105" t="s">
        <v>92</v>
      </c>
      <c r="D105" t="s">
        <v>93</v>
      </c>
      <c r="E105" t="s">
        <v>336</v>
      </c>
      <c r="F105" t="s">
        <v>337</v>
      </c>
      <c r="G105">
        <v>1</v>
      </c>
      <c r="H105" t="s">
        <v>43</v>
      </c>
      <c r="I105">
        <v>72.8</v>
      </c>
      <c r="J105">
        <v>72.8</v>
      </c>
    </row>
    <row r="106" spans="1:10" x14ac:dyDescent="0.2">
      <c r="A106" t="s">
        <v>130</v>
      </c>
      <c r="B106" t="s">
        <v>92</v>
      </c>
      <c r="C106" t="s">
        <v>92</v>
      </c>
      <c r="D106" t="s">
        <v>93</v>
      </c>
      <c r="E106" t="s">
        <v>342</v>
      </c>
      <c r="F106" t="s">
        <v>343</v>
      </c>
      <c r="G106">
        <v>4</v>
      </c>
      <c r="H106" t="s">
        <v>43</v>
      </c>
      <c r="I106">
        <v>11</v>
      </c>
      <c r="J106">
        <v>44</v>
      </c>
    </row>
    <row r="107" spans="1:10" x14ac:dyDescent="0.2">
      <c r="A107" t="s">
        <v>130</v>
      </c>
      <c r="B107" t="s">
        <v>92</v>
      </c>
      <c r="C107" t="s">
        <v>92</v>
      </c>
      <c r="D107" t="s">
        <v>93</v>
      </c>
      <c r="E107" t="s">
        <v>344</v>
      </c>
      <c r="F107" t="s">
        <v>345</v>
      </c>
      <c r="G107">
        <v>1</v>
      </c>
      <c r="H107" t="s">
        <v>43</v>
      </c>
      <c r="I107">
        <v>15</v>
      </c>
      <c r="J107">
        <v>15</v>
      </c>
    </row>
    <row r="108" spans="1:10" x14ac:dyDescent="0.2">
      <c r="A108" t="s">
        <v>130</v>
      </c>
      <c r="B108" t="s">
        <v>92</v>
      </c>
      <c r="C108" t="s">
        <v>92</v>
      </c>
      <c r="D108" t="s">
        <v>93</v>
      </c>
      <c r="E108" t="s">
        <v>289</v>
      </c>
      <c r="F108" t="s">
        <v>290</v>
      </c>
      <c r="G108">
        <v>4</v>
      </c>
      <c r="H108" t="s">
        <v>43</v>
      </c>
      <c r="I108">
        <v>11</v>
      </c>
      <c r="J108">
        <v>44</v>
      </c>
    </row>
    <row r="109" spans="1:10" x14ac:dyDescent="0.2">
      <c r="A109" t="s">
        <v>130</v>
      </c>
      <c r="B109" t="s">
        <v>92</v>
      </c>
      <c r="C109" t="s">
        <v>92</v>
      </c>
      <c r="D109" t="s">
        <v>93</v>
      </c>
      <c r="E109" t="s">
        <v>211</v>
      </c>
      <c r="F109" t="s">
        <v>212</v>
      </c>
      <c r="G109">
        <v>1</v>
      </c>
      <c r="H109" t="s">
        <v>43</v>
      </c>
      <c r="I109">
        <v>80</v>
      </c>
      <c r="J109">
        <v>80</v>
      </c>
    </row>
    <row r="110" spans="1:10" x14ac:dyDescent="0.2">
      <c r="A110" t="s">
        <v>130</v>
      </c>
      <c r="B110" t="s">
        <v>92</v>
      </c>
      <c r="C110" t="s">
        <v>92</v>
      </c>
      <c r="D110" t="s">
        <v>93</v>
      </c>
      <c r="E110" t="s">
        <v>215</v>
      </c>
      <c r="F110" t="s">
        <v>216</v>
      </c>
      <c r="G110">
        <v>1</v>
      </c>
      <c r="H110" t="s">
        <v>43</v>
      </c>
      <c r="I110">
        <v>13</v>
      </c>
      <c r="J110">
        <v>13</v>
      </c>
    </row>
    <row r="111" spans="1:10" x14ac:dyDescent="0.2">
      <c r="A111" t="s">
        <v>130</v>
      </c>
      <c r="B111" t="s">
        <v>92</v>
      </c>
      <c r="C111" t="s">
        <v>92</v>
      </c>
      <c r="D111" t="s">
        <v>93</v>
      </c>
      <c r="E111" t="s">
        <v>253</v>
      </c>
      <c r="F111" t="s">
        <v>254</v>
      </c>
      <c r="G111">
        <v>1</v>
      </c>
      <c r="H111" t="s">
        <v>43</v>
      </c>
      <c r="I111">
        <v>1</v>
      </c>
      <c r="J111">
        <v>1</v>
      </c>
    </row>
    <row r="112" spans="1:10" x14ac:dyDescent="0.2">
      <c r="A112" t="s">
        <v>130</v>
      </c>
      <c r="B112" t="s">
        <v>92</v>
      </c>
      <c r="C112" t="s">
        <v>92</v>
      </c>
      <c r="D112" t="s">
        <v>93</v>
      </c>
      <c r="E112" t="s">
        <v>229</v>
      </c>
      <c r="F112" t="s">
        <v>230</v>
      </c>
      <c r="G112">
        <v>1</v>
      </c>
      <c r="H112" t="s">
        <v>43</v>
      </c>
      <c r="I112">
        <v>11</v>
      </c>
      <c r="J112">
        <v>11</v>
      </c>
    </row>
    <row r="113" spans="1:10" x14ac:dyDescent="0.2">
      <c r="A113" t="s">
        <v>130</v>
      </c>
      <c r="B113" t="s">
        <v>92</v>
      </c>
      <c r="C113" t="s">
        <v>92</v>
      </c>
      <c r="D113" t="s">
        <v>93</v>
      </c>
      <c r="E113" t="s">
        <v>199</v>
      </c>
      <c r="F113" t="s">
        <v>200</v>
      </c>
      <c r="G113">
        <v>1</v>
      </c>
      <c r="H113" t="s">
        <v>43</v>
      </c>
      <c r="I113">
        <v>8</v>
      </c>
      <c r="J113">
        <v>8</v>
      </c>
    </row>
    <row r="114" spans="1:10" x14ac:dyDescent="0.2">
      <c r="A114" t="s">
        <v>130</v>
      </c>
      <c r="B114" t="s">
        <v>92</v>
      </c>
      <c r="C114" t="s">
        <v>92</v>
      </c>
      <c r="D114" t="s">
        <v>93</v>
      </c>
      <c r="E114" t="s">
        <v>300</v>
      </c>
      <c r="F114" t="s">
        <v>301</v>
      </c>
      <c r="G114">
        <v>1</v>
      </c>
      <c r="H114" t="s">
        <v>43</v>
      </c>
      <c r="I114">
        <v>147</v>
      </c>
      <c r="J114">
        <v>147</v>
      </c>
    </row>
    <row r="115" spans="1:10" x14ac:dyDescent="0.2">
      <c r="A115" t="s">
        <v>130</v>
      </c>
      <c r="B115" t="s">
        <v>92</v>
      </c>
      <c r="C115" t="s">
        <v>92</v>
      </c>
      <c r="D115" t="s">
        <v>93</v>
      </c>
      <c r="E115" t="s">
        <v>346</v>
      </c>
      <c r="F115" t="s">
        <v>347</v>
      </c>
      <c r="G115">
        <v>1</v>
      </c>
      <c r="H115" t="s">
        <v>43</v>
      </c>
      <c r="I115">
        <v>19</v>
      </c>
      <c r="J115">
        <v>19</v>
      </c>
    </row>
    <row r="116" spans="1:10" x14ac:dyDescent="0.2">
      <c r="A116" t="s">
        <v>130</v>
      </c>
      <c r="B116" t="s">
        <v>92</v>
      </c>
      <c r="C116" t="s">
        <v>92</v>
      </c>
      <c r="D116" t="s">
        <v>93</v>
      </c>
      <c r="E116" t="s">
        <v>261</v>
      </c>
      <c r="F116" t="s">
        <v>262</v>
      </c>
      <c r="G116">
        <v>1</v>
      </c>
      <c r="H116" t="s">
        <v>43</v>
      </c>
      <c r="I116">
        <v>1</v>
      </c>
      <c r="J116">
        <v>1</v>
      </c>
    </row>
    <row r="117" spans="1:10" x14ac:dyDescent="0.2">
      <c r="A117" t="s">
        <v>130</v>
      </c>
      <c r="B117" t="s">
        <v>92</v>
      </c>
      <c r="C117" t="s">
        <v>92</v>
      </c>
      <c r="D117" t="s">
        <v>93</v>
      </c>
      <c r="E117" t="s">
        <v>348</v>
      </c>
      <c r="F117" t="s">
        <v>349</v>
      </c>
      <c r="G117">
        <v>1</v>
      </c>
      <c r="H117" t="s">
        <v>43</v>
      </c>
      <c r="I117">
        <v>1</v>
      </c>
      <c r="J117">
        <v>1</v>
      </c>
    </row>
    <row r="118" spans="1:10" x14ac:dyDescent="0.2">
      <c r="A118" t="s">
        <v>161</v>
      </c>
      <c r="B118" t="s">
        <v>154</v>
      </c>
      <c r="C118" t="s">
        <v>92</v>
      </c>
      <c r="D118" t="s">
        <v>93</v>
      </c>
      <c r="E118" t="s">
        <v>336</v>
      </c>
      <c r="F118" t="s">
        <v>337</v>
      </c>
      <c r="G118">
        <v>1</v>
      </c>
      <c r="H118" t="s">
        <v>43</v>
      </c>
      <c r="I118">
        <v>72.8</v>
      </c>
      <c r="J118">
        <v>72.8</v>
      </c>
    </row>
    <row r="119" spans="1:10" x14ac:dyDescent="0.2">
      <c r="A119" t="s">
        <v>173</v>
      </c>
      <c r="B119" t="s">
        <v>171</v>
      </c>
      <c r="C119" t="s">
        <v>92</v>
      </c>
      <c r="D119" t="s">
        <v>93</v>
      </c>
      <c r="E119" t="s">
        <v>289</v>
      </c>
      <c r="F119" t="s">
        <v>290</v>
      </c>
      <c r="G119">
        <v>2</v>
      </c>
      <c r="H119" t="s">
        <v>43</v>
      </c>
      <c r="I119">
        <v>11</v>
      </c>
      <c r="J119">
        <v>22</v>
      </c>
    </row>
    <row r="120" spans="1:10" x14ac:dyDescent="0.2">
      <c r="A120" t="s">
        <v>173</v>
      </c>
      <c r="B120" t="s">
        <v>171</v>
      </c>
      <c r="C120" t="s">
        <v>92</v>
      </c>
      <c r="D120" t="s">
        <v>93</v>
      </c>
      <c r="E120" t="s">
        <v>342</v>
      </c>
      <c r="F120" t="s">
        <v>343</v>
      </c>
      <c r="G120">
        <v>2</v>
      </c>
      <c r="H120" t="s">
        <v>43</v>
      </c>
      <c r="I120">
        <v>11</v>
      </c>
      <c r="J120">
        <v>22</v>
      </c>
    </row>
    <row r="121" spans="1:10" x14ac:dyDescent="0.2">
      <c r="A121" t="s">
        <v>146</v>
      </c>
      <c r="B121" t="s">
        <v>136</v>
      </c>
      <c r="C121" t="s">
        <v>92</v>
      </c>
      <c r="D121" t="s">
        <v>93</v>
      </c>
      <c r="E121" t="s">
        <v>293</v>
      </c>
      <c r="F121" t="s">
        <v>294</v>
      </c>
      <c r="G121">
        <v>1</v>
      </c>
      <c r="H121" t="s">
        <v>43</v>
      </c>
      <c r="I121">
        <v>570</v>
      </c>
      <c r="J121">
        <v>570</v>
      </c>
    </row>
    <row r="122" spans="1:10" x14ac:dyDescent="0.2">
      <c r="A122" t="s">
        <v>172</v>
      </c>
      <c r="B122" t="s">
        <v>171</v>
      </c>
      <c r="C122" t="s">
        <v>92</v>
      </c>
      <c r="D122" t="s">
        <v>93</v>
      </c>
      <c r="E122" t="s">
        <v>336</v>
      </c>
      <c r="F122" t="s">
        <v>337</v>
      </c>
      <c r="G122">
        <v>1</v>
      </c>
      <c r="H122" t="s">
        <v>43</v>
      </c>
      <c r="I122">
        <v>72.8</v>
      </c>
      <c r="J122">
        <v>72.8</v>
      </c>
    </row>
    <row r="123" spans="1:10" x14ac:dyDescent="0.2">
      <c r="A123" t="s">
        <v>129</v>
      </c>
      <c r="B123" t="s">
        <v>92</v>
      </c>
      <c r="C123" t="s">
        <v>92</v>
      </c>
      <c r="D123" t="s">
        <v>93</v>
      </c>
      <c r="E123" t="s">
        <v>350</v>
      </c>
      <c r="F123" t="s">
        <v>351</v>
      </c>
      <c r="G123">
        <v>1</v>
      </c>
      <c r="H123" t="s">
        <v>43</v>
      </c>
      <c r="I123">
        <v>358</v>
      </c>
      <c r="J123">
        <v>358</v>
      </c>
    </row>
    <row r="124" spans="1:10" x14ac:dyDescent="0.2">
      <c r="A124" t="s">
        <v>128</v>
      </c>
      <c r="B124" t="s">
        <v>92</v>
      </c>
      <c r="C124" t="s">
        <v>92</v>
      </c>
      <c r="D124" t="s">
        <v>93</v>
      </c>
      <c r="E124" t="s">
        <v>350</v>
      </c>
      <c r="F124" t="s">
        <v>351</v>
      </c>
      <c r="G124">
        <v>1</v>
      </c>
      <c r="H124" t="s">
        <v>43</v>
      </c>
      <c r="I124">
        <v>358</v>
      </c>
      <c r="J124">
        <v>358</v>
      </c>
    </row>
    <row r="125" spans="1:10" x14ac:dyDescent="0.2">
      <c r="A125" t="s">
        <v>147</v>
      </c>
      <c r="B125" t="s">
        <v>136</v>
      </c>
      <c r="C125" t="s">
        <v>92</v>
      </c>
      <c r="D125" t="s">
        <v>93</v>
      </c>
      <c r="E125" t="s">
        <v>293</v>
      </c>
      <c r="F125" t="s">
        <v>294</v>
      </c>
      <c r="G125">
        <v>1</v>
      </c>
      <c r="H125" t="s">
        <v>43</v>
      </c>
      <c r="I125">
        <v>570</v>
      </c>
      <c r="J125">
        <v>570</v>
      </c>
    </row>
    <row r="126" spans="1:10" x14ac:dyDescent="0.2">
      <c r="A126" t="s">
        <v>127</v>
      </c>
      <c r="B126" t="s">
        <v>92</v>
      </c>
      <c r="C126" t="s">
        <v>92</v>
      </c>
      <c r="D126" t="s">
        <v>93</v>
      </c>
      <c r="E126" t="s">
        <v>352</v>
      </c>
      <c r="F126" t="s">
        <v>353</v>
      </c>
      <c r="G126">
        <v>1</v>
      </c>
      <c r="H126" t="s">
        <v>43</v>
      </c>
      <c r="I126">
        <v>224</v>
      </c>
      <c r="J126">
        <v>224</v>
      </c>
    </row>
    <row r="127" spans="1:10" x14ac:dyDescent="0.2">
      <c r="A127" t="s">
        <v>98</v>
      </c>
      <c r="B127" t="s">
        <v>96</v>
      </c>
      <c r="C127" t="s">
        <v>92</v>
      </c>
      <c r="D127" t="s">
        <v>93</v>
      </c>
      <c r="E127" t="s">
        <v>175</v>
      </c>
      <c r="F127" t="s">
        <v>176</v>
      </c>
      <c r="G127">
        <v>1</v>
      </c>
      <c r="H127" t="s">
        <v>43</v>
      </c>
      <c r="I127">
        <v>432</v>
      </c>
      <c r="J127">
        <v>432</v>
      </c>
    </row>
    <row r="128" spans="1:10" x14ac:dyDescent="0.2">
      <c r="A128" t="s">
        <v>126</v>
      </c>
      <c r="B128" t="s">
        <v>92</v>
      </c>
      <c r="C128" t="s">
        <v>92</v>
      </c>
      <c r="D128" t="s">
        <v>93</v>
      </c>
      <c r="E128" t="s">
        <v>354</v>
      </c>
      <c r="F128" t="s">
        <v>355</v>
      </c>
      <c r="G128">
        <v>1</v>
      </c>
      <c r="H128" t="s">
        <v>43</v>
      </c>
      <c r="I128">
        <v>458.19</v>
      </c>
      <c r="J128">
        <v>458.19</v>
      </c>
    </row>
    <row r="129" spans="1:10" x14ac:dyDescent="0.2">
      <c r="A129" t="s">
        <v>125</v>
      </c>
      <c r="B129" t="s">
        <v>92</v>
      </c>
      <c r="C129" t="s">
        <v>92</v>
      </c>
      <c r="D129" t="s">
        <v>93</v>
      </c>
      <c r="E129" t="s">
        <v>352</v>
      </c>
      <c r="F129" t="s">
        <v>353</v>
      </c>
      <c r="G129">
        <v>1</v>
      </c>
      <c r="H129" t="s">
        <v>43</v>
      </c>
      <c r="I129">
        <v>224</v>
      </c>
      <c r="J129">
        <v>224</v>
      </c>
    </row>
    <row r="130" spans="1:10" x14ac:dyDescent="0.2">
      <c r="A130" t="s">
        <v>160</v>
      </c>
      <c r="B130" t="s">
        <v>154</v>
      </c>
      <c r="C130" t="s">
        <v>92</v>
      </c>
      <c r="D130" t="s">
        <v>93</v>
      </c>
      <c r="E130" t="s">
        <v>235</v>
      </c>
      <c r="F130" t="s">
        <v>236</v>
      </c>
      <c r="G130">
        <v>1</v>
      </c>
      <c r="H130" t="s">
        <v>43</v>
      </c>
      <c r="I130">
        <v>501</v>
      </c>
      <c r="J130">
        <v>501</v>
      </c>
    </row>
    <row r="131" spans="1:10" x14ac:dyDescent="0.2">
      <c r="A131" t="s">
        <v>110</v>
      </c>
      <c r="B131" t="s">
        <v>107</v>
      </c>
      <c r="C131" t="s">
        <v>92</v>
      </c>
      <c r="D131" t="s">
        <v>93</v>
      </c>
      <c r="E131" t="s">
        <v>293</v>
      </c>
      <c r="F131" t="s">
        <v>294</v>
      </c>
      <c r="G131">
        <v>1</v>
      </c>
      <c r="H131" t="s">
        <v>43</v>
      </c>
      <c r="I131">
        <v>570</v>
      </c>
      <c r="J131">
        <v>570</v>
      </c>
    </row>
    <row r="132" spans="1:10" x14ac:dyDescent="0.2">
      <c r="A132" t="s">
        <v>124</v>
      </c>
      <c r="B132" t="s">
        <v>92</v>
      </c>
      <c r="C132" t="s">
        <v>92</v>
      </c>
      <c r="D132" t="s">
        <v>93</v>
      </c>
      <c r="E132" t="s">
        <v>356</v>
      </c>
      <c r="F132" t="s">
        <v>357</v>
      </c>
      <c r="G132">
        <v>1</v>
      </c>
      <c r="H132" t="s">
        <v>43</v>
      </c>
      <c r="I132">
        <v>313.60000000000002</v>
      </c>
      <c r="J132">
        <v>313.60000000000002</v>
      </c>
    </row>
    <row r="133" spans="1:10" x14ac:dyDescent="0.2">
      <c r="A133" t="s">
        <v>104</v>
      </c>
      <c r="B133" t="s">
        <v>103</v>
      </c>
      <c r="C133" t="s">
        <v>92</v>
      </c>
      <c r="D133" t="s">
        <v>93</v>
      </c>
      <c r="E133" t="s">
        <v>358</v>
      </c>
      <c r="F133" t="s">
        <v>359</v>
      </c>
      <c r="G133">
        <v>2</v>
      </c>
      <c r="H133" t="s">
        <v>43</v>
      </c>
      <c r="I133">
        <v>141.56</v>
      </c>
      <c r="J133">
        <v>283.12</v>
      </c>
    </row>
    <row r="134" spans="1:10" x14ac:dyDescent="0.2">
      <c r="A134" t="s">
        <v>135</v>
      </c>
      <c r="B134" t="s">
        <v>134</v>
      </c>
      <c r="C134" t="s">
        <v>92</v>
      </c>
      <c r="D134" t="s">
        <v>93</v>
      </c>
      <c r="E134" t="s">
        <v>235</v>
      </c>
      <c r="F134" t="s">
        <v>236</v>
      </c>
      <c r="G134">
        <v>1</v>
      </c>
      <c r="H134" t="s">
        <v>43</v>
      </c>
      <c r="I134">
        <v>501</v>
      </c>
      <c r="J134">
        <v>501</v>
      </c>
    </row>
    <row r="135" spans="1:10" x14ac:dyDescent="0.2">
      <c r="A135" t="s">
        <v>145</v>
      </c>
      <c r="B135" t="s">
        <v>136</v>
      </c>
      <c r="C135" t="s">
        <v>92</v>
      </c>
      <c r="D135" t="s">
        <v>93</v>
      </c>
      <c r="E135" t="s">
        <v>346</v>
      </c>
      <c r="F135" t="s">
        <v>347</v>
      </c>
      <c r="G135">
        <v>1</v>
      </c>
      <c r="H135" t="s">
        <v>43</v>
      </c>
      <c r="I135">
        <v>19</v>
      </c>
      <c r="J135">
        <v>19</v>
      </c>
    </row>
    <row r="136" spans="1:10" x14ac:dyDescent="0.2">
      <c r="A136" t="s">
        <v>145</v>
      </c>
      <c r="B136" t="s">
        <v>136</v>
      </c>
      <c r="C136" t="s">
        <v>92</v>
      </c>
      <c r="D136" t="s">
        <v>93</v>
      </c>
      <c r="E136" t="s">
        <v>360</v>
      </c>
      <c r="F136" t="s">
        <v>248</v>
      </c>
      <c r="G136">
        <v>2</v>
      </c>
      <c r="H136" t="s">
        <v>43</v>
      </c>
      <c r="I136">
        <v>0.52</v>
      </c>
      <c r="J136">
        <v>1.04</v>
      </c>
    </row>
    <row r="137" spans="1:10" x14ac:dyDescent="0.2">
      <c r="A137" t="s">
        <v>145</v>
      </c>
      <c r="B137" t="s">
        <v>136</v>
      </c>
      <c r="C137" t="s">
        <v>92</v>
      </c>
      <c r="D137" t="s">
        <v>93</v>
      </c>
      <c r="E137" t="s">
        <v>213</v>
      </c>
      <c r="F137" t="s">
        <v>214</v>
      </c>
      <c r="G137">
        <v>1</v>
      </c>
      <c r="H137" t="s">
        <v>43</v>
      </c>
      <c r="I137">
        <v>3</v>
      </c>
      <c r="J137">
        <v>3</v>
      </c>
    </row>
    <row r="138" spans="1:10" x14ac:dyDescent="0.2">
      <c r="A138" t="s">
        <v>145</v>
      </c>
      <c r="B138" t="s">
        <v>136</v>
      </c>
      <c r="C138" t="s">
        <v>92</v>
      </c>
      <c r="D138" t="s">
        <v>93</v>
      </c>
      <c r="E138" t="s">
        <v>215</v>
      </c>
      <c r="F138" t="s">
        <v>216</v>
      </c>
      <c r="G138">
        <v>2</v>
      </c>
      <c r="H138" t="s">
        <v>43</v>
      </c>
      <c r="I138">
        <v>13</v>
      </c>
      <c r="J138">
        <v>26</v>
      </c>
    </row>
    <row r="139" spans="1:10" x14ac:dyDescent="0.2">
      <c r="A139" t="s">
        <v>145</v>
      </c>
      <c r="B139" t="s">
        <v>136</v>
      </c>
      <c r="C139" t="s">
        <v>92</v>
      </c>
      <c r="D139" t="s">
        <v>93</v>
      </c>
      <c r="E139" t="s">
        <v>217</v>
      </c>
      <c r="F139" t="s">
        <v>218</v>
      </c>
      <c r="G139">
        <v>1</v>
      </c>
      <c r="H139" t="s">
        <v>43</v>
      </c>
      <c r="I139">
        <v>11</v>
      </c>
      <c r="J139">
        <v>11</v>
      </c>
    </row>
    <row r="140" spans="1:10" x14ac:dyDescent="0.2">
      <c r="A140" t="s">
        <v>145</v>
      </c>
      <c r="B140" t="s">
        <v>136</v>
      </c>
      <c r="C140" t="s">
        <v>92</v>
      </c>
      <c r="D140" t="s">
        <v>93</v>
      </c>
      <c r="E140" t="s">
        <v>342</v>
      </c>
      <c r="F140" t="s">
        <v>343</v>
      </c>
      <c r="G140">
        <v>2</v>
      </c>
      <c r="H140" t="s">
        <v>43</v>
      </c>
      <c r="I140">
        <v>11</v>
      </c>
      <c r="J140">
        <v>22</v>
      </c>
    </row>
    <row r="141" spans="1:10" x14ac:dyDescent="0.2">
      <c r="A141" t="s">
        <v>145</v>
      </c>
      <c r="B141" t="s">
        <v>136</v>
      </c>
      <c r="C141" t="s">
        <v>92</v>
      </c>
      <c r="D141" t="s">
        <v>93</v>
      </c>
      <c r="E141" t="s">
        <v>259</v>
      </c>
      <c r="F141" t="s">
        <v>260</v>
      </c>
      <c r="G141">
        <v>1</v>
      </c>
      <c r="H141" t="s">
        <v>43</v>
      </c>
      <c r="I141">
        <v>19</v>
      </c>
      <c r="J141">
        <v>19</v>
      </c>
    </row>
    <row r="142" spans="1:10" x14ac:dyDescent="0.2">
      <c r="A142" t="s">
        <v>145</v>
      </c>
      <c r="B142" t="s">
        <v>136</v>
      </c>
      <c r="C142" t="s">
        <v>92</v>
      </c>
      <c r="D142" t="s">
        <v>93</v>
      </c>
      <c r="E142" t="s">
        <v>253</v>
      </c>
      <c r="F142" t="s">
        <v>254</v>
      </c>
      <c r="G142">
        <v>1</v>
      </c>
      <c r="H142" t="s">
        <v>43</v>
      </c>
      <c r="I142">
        <v>1</v>
      </c>
      <c r="J142">
        <v>1</v>
      </c>
    </row>
    <row r="143" spans="1:10" x14ac:dyDescent="0.2">
      <c r="A143" t="s">
        <v>145</v>
      </c>
      <c r="B143" t="s">
        <v>136</v>
      </c>
      <c r="C143" t="s">
        <v>92</v>
      </c>
      <c r="D143" t="s">
        <v>93</v>
      </c>
      <c r="E143" t="s">
        <v>361</v>
      </c>
      <c r="F143" t="s">
        <v>362</v>
      </c>
      <c r="G143">
        <v>1</v>
      </c>
      <c r="H143" t="s">
        <v>43</v>
      </c>
      <c r="I143">
        <v>0.22</v>
      </c>
      <c r="J143">
        <v>0.22</v>
      </c>
    </row>
    <row r="144" spans="1:10" x14ac:dyDescent="0.2">
      <c r="A144" t="s">
        <v>145</v>
      </c>
      <c r="B144" t="s">
        <v>136</v>
      </c>
      <c r="C144" t="s">
        <v>92</v>
      </c>
      <c r="D144" t="s">
        <v>93</v>
      </c>
      <c r="E144" t="s">
        <v>363</v>
      </c>
      <c r="F144" t="s">
        <v>272</v>
      </c>
      <c r="G144">
        <v>16</v>
      </c>
      <c r="H144" t="s">
        <v>43</v>
      </c>
      <c r="I144">
        <v>0.4</v>
      </c>
      <c r="J144">
        <v>6.4</v>
      </c>
    </row>
    <row r="145" spans="1:10" x14ac:dyDescent="0.2">
      <c r="A145" t="s">
        <v>145</v>
      </c>
      <c r="B145" t="s">
        <v>136</v>
      </c>
      <c r="C145" t="s">
        <v>92</v>
      </c>
      <c r="D145" t="s">
        <v>93</v>
      </c>
      <c r="E145" t="s">
        <v>364</v>
      </c>
      <c r="F145" t="s">
        <v>365</v>
      </c>
      <c r="G145">
        <v>2</v>
      </c>
      <c r="H145" t="s">
        <v>43</v>
      </c>
      <c r="I145">
        <v>0.22</v>
      </c>
      <c r="J145">
        <v>0.44</v>
      </c>
    </row>
    <row r="146" spans="1:10" x14ac:dyDescent="0.2">
      <c r="A146" t="s">
        <v>145</v>
      </c>
      <c r="B146" t="s">
        <v>136</v>
      </c>
      <c r="C146" t="s">
        <v>92</v>
      </c>
      <c r="D146" t="s">
        <v>93</v>
      </c>
      <c r="E146" t="s">
        <v>245</v>
      </c>
      <c r="F146" t="s">
        <v>246</v>
      </c>
      <c r="G146">
        <v>1</v>
      </c>
      <c r="H146" t="s">
        <v>43</v>
      </c>
      <c r="I146">
        <v>149</v>
      </c>
      <c r="J146">
        <v>149</v>
      </c>
    </row>
    <row r="147" spans="1:10" x14ac:dyDescent="0.2">
      <c r="A147" t="s">
        <v>145</v>
      </c>
      <c r="B147" t="s">
        <v>136</v>
      </c>
      <c r="C147" t="s">
        <v>92</v>
      </c>
      <c r="D147" t="s">
        <v>93</v>
      </c>
      <c r="E147" t="s">
        <v>366</v>
      </c>
      <c r="F147" t="s">
        <v>367</v>
      </c>
      <c r="G147">
        <v>1</v>
      </c>
      <c r="H147" t="s">
        <v>43</v>
      </c>
      <c r="I147">
        <v>0.52</v>
      </c>
      <c r="J147">
        <v>0.52</v>
      </c>
    </row>
    <row r="148" spans="1:10" x14ac:dyDescent="0.2">
      <c r="A148" t="s">
        <v>145</v>
      </c>
      <c r="B148" t="s">
        <v>136</v>
      </c>
      <c r="C148" t="s">
        <v>92</v>
      </c>
      <c r="D148" t="s">
        <v>93</v>
      </c>
      <c r="E148" t="s">
        <v>326</v>
      </c>
      <c r="F148" t="s">
        <v>368</v>
      </c>
      <c r="G148">
        <v>1</v>
      </c>
      <c r="H148" t="s">
        <v>43</v>
      </c>
      <c r="I148">
        <v>0.22</v>
      </c>
      <c r="J148">
        <v>0.22</v>
      </c>
    </row>
    <row r="149" spans="1:10" x14ac:dyDescent="0.2">
      <c r="A149" t="s">
        <v>145</v>
      </c>
      <c r="B149" t="s">
        <v>136</v>
      </c>
      <c r="C149" t="s">
        <v>92</v>
      </c>
      <c r="D149" t="s">
        <v>93</v>
      </c>
      <c r="E149" t="s">
        <v>231</v>
      </c>
      <c r="F149" t="s">
        <v>232</v>
      </c>
      <c r="G149">
        <v>1</v>
      </c>
      <c r="H149" t="s">
        <v>43</v>
      </c>
      <c r="I149">
        <v>19</v>
      </c>
      <c r="J149">
        <v>19</v>
      </c>
    </row>
    <row r="150" spans="1:10" x14ac:dyDescent="0.2">
      <c r="A150" t="s">
        <v>145</v>
      </c>
      <c r="B150" t="s">
        <v>136</v>
      </c>
      <c r="C150" t="s">
        <v>92</v>
      </c>
      <c r="D150" t="s">
        <v>93</v>
      </c>
      <c r="E150" t="s">
        <v>369</v>
      </c>
      <c r="F150" t="s">
        <v>370</v>
      </c>
      <c r="G150">
        <v>1</v>
      </c>
      <c r="H150" t="s">
        <v>43</v>
      </c>
      <c r="I150">
        <v>0.17</v>
      </c>
      <c r="J150">
        <v>0.17</v>
      </c>
    </row>
    <row r="151" spans="1:10" x14ac:dyDescent="0.2">
      <c r="A151" t="s">
        <v>145</v>
      </c>
      <c r="B151" t="s">
        <v>136</v>
      </c>
      <c r="C151" t="s">
        <v>92</v>
      </c>
      <c r="D151" t="s">
        <v>93</v>
      </c>
      <c r="E151" t="s">
        <v>281</v>
      </c>
      <c r="F151" t="s">
        <v>282</v>
      </c>
      <c r="G151">
        <v>1</v>
      </c>
      <c r="H151" t="s">
        <v>43</v>
      </c>
      <c r="I151">
        <v>17</v>
      </c>
      <c r="J151">
        <v>17</v>
      </c>
    </row>
    <row r="152" spans="1:10" x14ac:dyDescent="0.2">
      <c r="A152" t="s">
        <v>145</v>
      </c>
      <c r="B152" t="s">
        <v>136</v>
      </c>
      <c r="C152" t="s">
        <v>92</v>
      </c>
      <c r="D152" t="s">
        <v>93</v>
      </c>
      <c r="E152" t="s">
        <v>371</v>
      </c>
      <c r="F152" t="s">
        <v>372</v>
      </c>
      <c r="G152">
        <v>1</v>
      </c>
      <c r="H152" t="s">
        <v>43</v>
      </c>
      <c r="I152">
        <v>11</v>
      </c>
      <c r="J152">
        <v>11</v>
      </c>
    </row>
    <row r="153" spans="1:10" x14ac:dyDescent="0.2">
      <c r="A153" t="s">
        <v>145</v>
      </c>
      <c r="B153" t="s">
        <v>136</v>
      </c>
      <c r="C153" t="s">
        <v>92</v>
      </c>
      <c r="D153" t="s">
        <v>93</v>
      </c>
      <c r="E153" t="s">
        <v>373</v>
      </c>
      <c r="F153" t="s">
        <v>374</v>
      </c>
      <c r="G153">
        <v>1</v>
      </c>
      <c r="H153" t="s">
        <v>43</v>
      </c>
      <c r="I153">
        <v>0.4</v>
      </c>
      <c r="J153">
        <v>0.4</v>
      </c>
    </row>
    <row r="154" spans="1:10" x14ac:dyDescent="0.2">
      <c r="A154" t="s">
        <v>145</v>
      </c>
      <c r="B154" t="s">
        <v>136</v>
      </c>
      <c r="C154" t="s">
        <v>92</v>
      </c>
      <c r="D154" t="s">
        <v>93</v>
      </c>
      <c r="E154" t="s">
        <v>375</v>
      </c>
      <c r="F154" t="s">
        <v>376</v>
      </c>
      <c r="G154">
        <v>1</v>
      </c>
      <c r="H154" t="s">
        <v>43</v>
      </c>
      <c r="I154">
        <v>0.87</v>
      </c>
      <c r="J154">
        <v>0.87</v>
      </c>
    </row>
    <row r="155" spans="1:10" x14ac:dyDescent="0.2">
      <c r="A155" t="s">
        <v>145</v>
      </c>
      <c r="B155" t="s">
        <v>136</v>
      </c>
      <c r="C155" t="s">
        <v>92</v>
      </c>
      <c r="D155" t="s">
        <v>93</v>
      </c>
      <c r="E155" t="s">
        <v>239</v>
      </c>
      <c r="F155" t="s">
        <v>240</v>
      </c>
      <c r="G155">
        <v>1</v>
      </c>
      <c r="H155" t="s">
        <v>43</v>
      </c>
      <c r="I155">
        <v>11</v>
      </c>
      <c r="J155">
        <v>11</v>
      </c>
    </row>
    <row r="156" spans="1:10" x14ac:dyDescent="0.2">
      <c r="A156" t="s">
        <v>145</v>
      </c>
      <c r="B156" t="s">
        <v>136</v>
      </c>
      <c r="C156" t="s">
        <v>92</v>
      </c>
      <c r="D156" t="s">
        <v>93</v>
      </c>
      <c r="E156" t="s">
        <v>377</v>
      </c>
      <c r="F156" t="s">
        <v>378</v>
      </c>
      <c r="G156">
        <v>1</v>
      </c>
      <c r="H156" t="s">
        <v>43</v>
      </c>
      <c r="I156">
        <v>19</v>
      </c>
      <c r="J156">
        <v>19</v>
      </c>
    </row>
    <row r="157" spans="1:10" x14ac:dyDescent="0.2">
      <c r="A157" t="s">
        <v>145</v>
      </c>
      <c r="B157" t="s">
        <v>136</v>
      </c>
      <c r="C157" t="s">
        <v>92</v>
      </c>
      <c r="D157" t="s">
        <v>93</v>
      </c>
      <c r="E157" t="s">
        <v>379</v>
      </c>
      <c r="F157" t="s">
        <v>224</v>
      </c>
      <c r="G157">
        <v>1</v>
      </c>
      <c r="H157" t="s">
        <v>43</v>
      </c>
      <c r="I157">
        <v>1</v>
      </c>
      <c r="J157">
        <v>1</v>
      </c>
    </row>
    <row r="158" spans="1:10" x14ac:dyDescent="0.2">
      <c r="A158" t="s">
        <v>145</v>
      </c>
      <c r="B158" t="s">
        <v>136</v>
      </c>
      <c r="C158" t="s">
        <v>92</v>
      </c>
      <c r="D158" t="s">
        <v>93</v>
      </c>
      <c r="E158" t="s">
        <v>279</v>
      </c>
      <c r="F158" t="s">
        <v>280</v>
      </c>
      <c r="G158">
        <v>16</v>
      </c>
      <c r="H158" t="s">
        <v>43</v>
      </c>
      <c r="I158">
        <v>0.17</v>
      </c>
      <c r="J158">
        <v>2.72</v>
      </c>
    </row>
    <row r="159" spans="1:10" x14ac:dyDescent="0.2">
      <c r="A159" t="s">
        <v>145</v>
      </c>
      <c r="B159" t="s">
        <v>136</v>
      </c>
      <c r="C159" t="s">
        <v>92</v>
      </c>
      <c r="D159" t="s">
        <v>93</v>
      </c>
      <c r="E159" t="s">
        <v>380</v>
      </c>
      <c r="F159" t="s">
        <v>381</v>
      </c>
      <c r="G159">
        <v>1</v>
      </c>
      <c r="H159" t="s">
        <v>43</v>
      </c>
      <c r="I159">
        <v>2.41</v>
      </c>
      <c r="J159">
        <v>2.41</v>
      </c>
    </row>
    <row r="160" spans="1:10" x14ac:dyDescent="0.2">
      <c r="A160" t="s">
        <v>145</v>
      </c>
      <c r="B160" t="s">
        <v>136</v>
      </c>
      <c r="C160" t="s">
        <v>92</v>
      </c>
      <c r="D160" t="s">
        <v>93</v>
      </c>
      <c r="E160" t="s">
        <v>205</v>
      </c>
      <c r="F160" t="s">
        <v>206</v>
      </c>
      <c r="G160">
        <v>1</v>
      </c>
      <c r="H160" t="s">
        <v>43</v>
      </c>
      <c r="I160">
        <v>10</v>
      </c>
      <c r="J160">
        <v>10</v>
      </c>
    </row>
    <row r="161" spans="1:10" x14ac:dyDescent="0.2">
      <c r="A161" t="s">
        <v>145</v>
      </c>
      <c r="B161" t="s">
        <v>136</v>
      </c>
      <c r="C161" t="s">
        <v>92</v>
      </c>
      <c r="D161" t="s">
        <v>93</v>
      </c>
      <c r="E161" t="s">
        <v>283</v>
      </c>
      <c r="F161" t="s">
        <v>284</v>
      </c>
      <c r="G161">
        <v>1</v>
      </c>
      <c r="H161" t="s">
        <v>43</v>
      </c>
      <c r="I161">
        <v>19</v>
      </c>
      <c r="J161">
        <v>19</v>
      </c>
    </row>
    <row r="162" spans="1:10" x14ac:dyDescent="0.2">
      <c r="A162" t="s">
        <v>145</v>
      </c>
      <c r="B162" t="s">
        <v>136</v>
      </c>
      <c r="C162" t="s">
        <v>92</v>
      </c>
      <c r="D162" t="s">
        <v>93</v>
      </c>
      <c r="E162" t="s">
        <v>382</v>
      </c>
      <c r="F162" t="s">
        <v>383</v>
      </c>
      <c r="G162">
        <v>4</v>
      </c>
      <c r="H162" t="s">
        <v>43</v>
      </c>
      <c r="I162">
        <v>0.43</v>
      </c>
      <c r="J162">
        <v>1.72</v>
      </c>
    </row>
    <row r="163" spans="1:10" x14ac:dyDescent="0.2">
      <c r="A163" t="s">
        <v>145</v>
      </c>
      <c r="B163" t="s">
        <v>136</v>
      </c>
      <c r="C163" t="s">
        <v>92</v>
      </c>
      <c r="D163" t="s">
        <v>93</v>
      </c>
      <c r="E163" t="s">
        <v>203</v>
      </c>
      <c r="F163" t="s">
        <v>204</v>
      </c>
      <c r="G163">
        <v>1</v>
      </c>
      <c r="H163" t="s">
        <v>43</v>
      </c>
      <c r="I163">
        <v>0.52</v>
      </c>
      <c r="J163">
        <v>0.52</v>
      </c>
    </row>
    <row r="164" spans="1:10" x14ac:dyDescent="0.2">
      <c r="A164" t="s">
        <v>145</v>
      </c>
      <c r="B164" t="s">
        <v>136</v>
      </c>
      <c r="C164" t="s">
        <v>92</v>
      </c>
      <c r="D164" t="s">
        <v>93</v>
      </c>
      <c r="E164" t="s">
        <v>384</v>
      </c>
      <c r="F164" t="s">
        <v>385</v>
      </c>
      <c r="G164">
        <v>1</v>
      </c>
      <c r="H164" t="s">
        <v>43</v>
      </c>
      <c r="I164">
        <v>1</v>
      </c>
      <c r="J164">
        <v>1</v>
      </c>
    </row>
    <row r="165" spans="1:10" x14ac:dyDescent="0.2">
      <c r="A165" t="s">
        <v>145</v>
      </c>
      <c r="B165" t="s">
        <v>136</v>
      </c>
      <c r="C165" t="s">
        <v>92</v>
      </c>
      <c r="D165" t="s">
        <v>93</v>
      </c>
      <c r="E165" t="s">
        <v>386</v>
      </c>
      <c r="F165" t="s">
        <v>387</v>
      </c>
      <c r="G165">
        <v>1</v>
      </c>
      <c r="H165" t="s">
        <v>43</v>
      </c>
      <c r="I165">
        <v>1</v>
      </c>
      <c r="J165">
        <v>1</v>
      </c>
    </row>
    <row r="166" spans="1:10" x14ac:dyDescent="0.2">
      <c r="A166" t="s">
        <v>145</v>
      </c>
      <c r="B166" t="s">
        <v>136</v>
      </c>
      <c r="C166" t="s">
        <v>92</v>
      </c>
      <c r="D166" t="s">
        <v>93</v>
      </c>
      <c r="E166" t="s">
        <v>388</v>
      </c>
      <c r="F166" t="s">
        <v>389</v>
      </c>
      <c r="G166">
        <v>1</v>
      </c>
      <c r="H166" t="s">
        <v>43</v>
      </c>
      <c r="I166">
        <v>0.17</v>
      </c>
      <c r="J166">
        <v>0.17</v>
      </c>
    </row>
    <row r="167" spans="1:10" x14ac:dyDescent="0.2">
      <c r="A167" t="s">
        <v>145</v>
      </c>
      <c r="B167" t="s">
        <v>136</v>
      </c>
      <c r="C167" t="s">
        <v>92</v>
      </c>
      <c r="D167" t="s">
        <v>93</v>
      </c>
      <c r="E167" t="s">
        <v>289</v>
      </c>
      <c r="F167" t="s">
        <v>290</v>
      </c>
      <c r="G167">
        <v>2</v>
      </c>
      <c r="H167" t="s">
        <v>43</v>
      </c>
      <c r="I167">
        <v>11</v>
      </c>
      <c r="J167">
        <v>22</v>
      </c>
    </row>
    <row r="168" spans="1:10" x14ac:dyDescent="0.2">
      <c r="A168" t="s">
        <v>145</v>
      </c>
      <c r="B168" t="s">
        <v>136</v>
      </c>
      <c r="C168" t="s">
        <v>92</v>
      </c>
      <c r="D168" t="s">
        <v>93</v>
      </c>
      <c r="E168" t="s">
        <v>211</v>
      </c>
      <c r="F168" t="s">
        <v>212</v>
      </c>
      <c r="G168">
        <v>1</v>
      </c>
      <c r="H168" t="s">
        <v>43</v>
      </c>
      <c r="I168">
        <v>80</v>
      </c>
      <c r="J168">
        <v>80</v>
      </c>
    </row>
    <row r="169" spans="1:10" x14ac:dyDescent="0.2">
      <c r="A169" t="s">
        <v>145</v>
      </c>
      <c r="B169" t="s">
        <v>136</v>
      </c>
      <c r="C169" t="s">
        <v>92</v>
      </c>
      <c r="D169" t="s">
        <v>93</v>
      </c>
      <c r="E169" t="s">
        <v>390</v>
      </c>
      <c r="F169" t="s">
        <v>391</v>
      </c>
      <c r="G169">
        <v>1</v>
      </c>
      <c r="H169" t="s">
        <v>43</v>
      </c>
      <c r="I169">
        <v>0.22</v>
      </c>
      <c r="J169">
        <v>0.22</v>
      </c>
    </row>
    <row r="170" spans="1:10" x14ac:dyDescent="0.2">
      <c r="A170" t="s">
        <v>145</v>
      </c>
      <c r="B170" t="s">
        <v>136</v>
      </c>
      <c r="C170" t="s">
        <v>92</v>
      </c>
      <c r="D170" t="s">
        <v>93</v>
      </c>
      <c r="E170" t="s">
        <v>392</v>
      </c>
      <c r="F170" t="s">
        <v>393</v>
      </c>
      <c r="G170">
        <v>2</v>
      </c>
      <c r="H170" t="s">
        <v>43</v>
      </c>
      <c r="I170">
        <v>0.55000000000000004</v>
      </c>
      <c r="J170">
        <v>1.1000000000000001</v>
      </c>
    </row>
    <row r="171" spans="1:10" x14ac:dyDescent="0.2">
      <c r="A171" t="s">
        <v>145</v>
      </c>
      <c r="B171" t="s">
        <v>136</v>
      </c>
      <c r="C171" t="s">
        <v>92</v>
      </c>
      <c r="D171" t="s">
        <v>93</v>
      </c>
      <c r="E171" t="s">
        <v>221</v>
      </c>
      <c r="F171" t="s">
        <v>222</v>
      </c>
      <c r="G171">
        <v>2</v>
      </c>
      <c r="H171" t="s">
        <v>43</v>
      </c>
      <c r="I171">
        <v>4</v>
      </c>
      <c r="J171">
        <v>8</v>
      </c>
    </row>
    <row r="172" spans="1:10" x14ac:dyDescent="0.2">
      <c r="A172" t="s">
        <v>145</v>
      </c>
      <c r="B172" t="s">
        <v>136</v>
      </c>
      <c r="C172" t="s">
        <v>92</v>
      </c>
      <c r="D172" t="s">
        <v>93</v>
      </c>
      <c r="E172" t="s">
        <v>300</v>
      </c>
      <c r="F172" t="s">
        <v>301</v>
      </c>
      <c r="G172">
        <v>1</v>
      </c>
      <c r="H172" t="s">
        <v>43</v>
      </c>
      <c r="I172">
        <v>147</v>
      </c>
      <c r="J172">
        <v>147</v>
      </c>
    </row>
    <row r="173" spans="1:10" x14ac:dyDescent="0.2">
      <c r="A173" t="s">
        <v>145</v>
      </c>
      <c r="B173" t="s">
        <v>136</v>
      </c>
      <c r="C173" t="s">
        <v>92</v>
      </c>
      <c r="D173" t="s">
        <v>93</v>
      </c>
      <c r="E173" t="s">
        <v>227</v>
      </c>
      <c r="F173" t="s">
        <v>228</v>
      </c>
      <c r="G173">
        <v>2</v>
      </c>
      <c r="H173" t="s">
        <v>43</v>
      </c>
      <c r="I173">
        <v>1</v>
      </c>
      <c r="J173">
        <v>2</v>
      </c>
    </row>
    <row r="174" spans="1:10" x14ac:dyDescent="0.2">
      <c r="A174" t="s">
        <v>145</v>
      </c>
      <c r="B174" t="s">
        <v>136</v>
      </c>
      <c r="C174" t="s">
        <v>92</v>
      </c>
      <c r="D174" t="s">
        <v>93</v>
      </c>
      <c r="E174" t="s">
        <v>229</v>
      </c>
      <c r="F174" t="s">
        <v>230</v>
      </c>
      <c r="G174">
        <v>1</v>
      </c>
      <c r="H174" t="s">
        <v>43</v>
      </c>
      <c r="I174">
        <v>11</v>
      </c>
      <c r="J174">
        <v>11</v>
      </c>
    </row>
    <row r="175" spans="1:10" x14ac:dyDescent="0.2">
      <c r="A175" t="s">
        <v>123</v>
      </c>
      <c r="B175" t="s">
        <v>92</v>
      </c>
      <c r="C175" t="s">
        <v>92</v>
      </c>
      <c r="D175" t="s">
        <v>93</v>
      </c>
      <c r="E175" t="s">
        <v>352</v>
      </c>
      <c r="F175" t="s">
        <v>353</v>
      </c>
      <c r="G175">
        <v>1</v>
      </c>
      <c r="H175" t="s">
        <v>43</v>
      </c>
      <c r="I175">
        <v>224</v>
      </c>
      <c r="J175">
        <v>224</v>
      </c>
    </row>
    <row r="176" spans="1:10" x14ac:dyDescent="0.2">
      <c r="A176" t="s">
        <v>144</v>
      </c>
      <c r="B176" t="s">
        <v>136</v>
      </c>
      <c r="C176" t="s">
        <v>92</v>
      </c>
      <c r="D176" t="s">
        <v>93</v>
      </c>
      <c r="E176" t="s">
        <v>394</v>
      </c>
      <c r="F176" t="s">
        <v>395</v>
      </c>
      <c r="G176">
        <v>1</v>
      </c>
      <c r="H176" t="s">
        <v>43</v>
      </c>
      <c r="I176">
        <v>74</v>
      </c>
      <c r="J176">
        <v>74</v>
      </c>
    </row>
    <row r="177" spans="1:10" x14ac:dyDescent="0.2">
      <c r="A177" t="s">
        <v>159</v>
      </c>
      <c r="B177" t="s">
        <v>154</v>
      </c>
      <c r="C177" t="s">
        <v>92</v>
      </c>
      <c r="D177" t="s">
        <v>93</v>
      </c>
      <c r="E177" t="s">
        <v>209</v>
      </c>
      <c r="F177" t="s">
        <v>210</v>
      </c>
      <c r="G177">
        <v>1</v>
      </c>
      <c r="H177" t="s">
        <v>43</v>
      </c>
      <c r="I177">
        <v>27</v>
      </c>
      <c r="J177">
        <v>27</v>
      </c>
    </row>
    <row r="178" spans="1:10" x14ac:dyDescent="0.2">
      <c r="A178" t="s">
        <v>143</v>
      </c>
      <c r="B178" t="s">
        <v>136</v>
      </c>
      <c r="C178" t="s">
        <v>92</v>
      </c>
      <c r="D178" t="s">
        <v>93</v>
      </c>
      <c r="E178" t="s">
        <v>211</v>
      </c>
      <c r="F178" t="s">
        <v>212</v>
      </c>
      <c r="G178">
        <v>1</v>
      </c>
      <c r="H178" t="s">
        <v>43</v>
      </c>
      <c r="I178">
        <v>80</v>
      </c>
      <c r="J178">
        <v>80</v>
      </c>
    </row>
    <row r="179" spans="1:10" x14ac:dyDescent="0.2">
      <c r="A179" t="s">
        <v>97</v>
      </c>
      <c r="B179" t="s">
        <v>96</v>
      </c>
      <c r="C179" t="s">
        <v>92</v>
      </c>
      <c r="D179" t="s">
        <v>93</v>
      </c>
      <c r="E179" t="s">
        <v>396</v>
      </c>
      <c r="F179" t="s">
        <v>397</v>
      </c>
      <c r="G179">
        <v>1</v>
      </c>
      <c r="H179" t="s">
        <v>43</v>
      </c>
      <c r="I179">
        <v>104.16</v>
      </c>
      <c r="J179">
        <v>104.16</v>
      </c>
    </row>
    <row r="180" spans="1:10" x14ac:dyDescent="0.2">
      <c r="A180" t="s">
        <v>109</v>
      </c>
      <c r="B180" t="s">
        <v>107</v>
      </c>
      <c r="C180" t="s">
        <v>92</v>
      </c>
      <c r="D180" t="s">
        <v>93</v>
      </c>
      <c r="E180" t="s">
        <v>342</v>
      </c>
      <c r="F180" t="s">
        <v>343</v>
      </c>
      <c r="G180">
        <v>2</v>
      </c>
      <c r="H180" t="s">
        <v>43</v>
      </c>
      <c r="I180">
        <v>11</v>
      </c>
      <c r="J180">
        <v>22</v>
      </c>
    </row>
    <row r="181" spans="1:10" x14ac:dyDescent="0.2">
      <c r="A181" t="s">
        <v>109</v>
      </c>
      <c r="B181" t="s">
        <v>107</v>
      </c>
      <c r="C181" t="s">
        <v>92</v>
      </c>
      <c r="D181" t="s">
        <v>93</v>
      </c>
      <c r="E181" t="s">
        <v>300</v>
      </c>
      <c r="F181" t="s">
        <v>301</v>
      </c>
      <c r="G181">
        <v>1</v>
      </c>
      <c r="H181" t="s">
        <v>43</v>
      </c>
      <c r="I181">
        <v>147</v>
      </c>
      <c r="J181">
        <v>147</v>
      </c>
    </row>
    <row r="182" spans="1:10" x14ac:dyDescent="0.2">
      <c r="A182" t="s">
        <v>109</v>
      </c>
      <c r="B182" t="s">
        <v>107</v>
      </c>
      <c r="C182" t="s">
        <v>92</v>
      </c>
      <c r="D182" t="s">
        <v>93</v>
      </c>
      <c r="E182" t="s">
        <v>215</v>
      </c>
      <c r="F182" t="s">
        <v>216</v>
      </c>
      <c r="G182">
        <v>2</v>
      </c>
      <c r="H182" t="s">
        <v>43</v>
      </c>
      <c r="I182">
        <v>13</v>
      </c>
      <c r="J182">
        <v>26</v>
      </c>
    </row>
    <row r="183" spans="1:10" x14ac:dyDescent="0.2">
      <c r="A183" t="s">
        <v>158</v>
      </c>
      <c r="B183" t="s">
        <v>154</v>
      </c>
      <c r="C183" t="s">
        <v>92</v>
      </c>
      <c r="D183" t="s">
        <v>93</v>
      </c>
      <c r="E183" t="s">
        <v>398</v>
      </c>
      <c r="F183" t="s">
        <v>399</v>
      </c>
      <c r="G183">
        <v>1</v>
      </c>
      <c r="H183" t="s">
        <v>43</v>
      </c>
      <c r="I183">
        <v>10</v>
      </c>
      <c r="J183">
        <v>10</v>
      </c>
    </row>
    <row r="184" spans="1:10" x14ac:dyDescent="0.2">
      <c r="A184" t="s">
        <v>157</v>
      </c>
      <c r="B184" t="s">
        <v>154</v>
      </c>
      <c r="C184" t="s">
        <v>92</v>
      </c>
      <c r="D184" t="s">
        <v>93</v>
      </c>
      <c r="E184" t="s">
        <v>400</v>
      </c>
      <c r="F184" t="s">
        <v>401</v>
      </c>
      <c r="G184">
        <v>1</v>
      </c>
      <c r="H184" t="s">
        <v>43</v>
      </c>
      <c r="I184">
        <v>90</v>
      </c>
      <c r="J184">
        <v>90</v>
      </c>
    </row>
    <row r="185" spans="1:10" x14ac:dyDescent="0.2">
      <c r="A185" t="s">
        <v>156</v>
      </c>
      <c r="B185" t="s">
        <v>154</v>
      </c>
      <c r="C185" t="s">
        <v>92</v>
      </c>
      <c r="D185" t="s">
        <v>93</v>
      </c>
      <c r="E185" t="s">
        <v>402</v>
      </c>
      <c r="F185" t="s">
        <v>403</v>
      </c>
      <c r="G185">
        <v>1</v>
      </c>
      <c r="H185" t="s">
        <v>43</v>
      </c>
      <c r="I185">
        <v>65</v>
      </c>
      <c r="J185">
        <v>65</v>
      </c>
    </row>
    <row r="186" spans="1:10" x14ac:dyDescent="0.2">
      <c r="A186" t="s">
        <v>122</v>
      </c>
      <c r="B186" t="s">
        <v>92</v>
      </c>
      <c r="C186" t="s">
        <v>92</v>
      </c>
      <c r="D186" t="s">
        <v>93</v>
      </c>
      <c r="E186" t="s">
        <v>404</v>
      </c>
      <c r="F186" t="s">
        <v>405</v>
      </c>
      <c r="G186">
        <v>1</v>
      </c>
      <c r="H186" t="s">
        <v>43</v>
      </c>
      <c r="I186">
        <v>261.25</v>
      </c>
      <c r="J186">
        <v>261.25</v>
      </c>
    </row>
    <row r="187" spans="1:10" x14ac:dyDescent="0.2">
      <c r="A187" t="s">
        <v>106</v>
      </c>
      <c r="B187" t="s">
        <v>105</v>
      </c>
      <c r="C187" t="s">
        <v>92</v>
      </c>
      <c r="D187" t="s">
        <v>93</v>
      </c>
      <c r="E187" t="s">
        <v>175</v>
      </c>
      <c r="F187" t="s">
        <v>176</v>
      </c>
      <c r="G187">
        <v>1</v>
      </c>
      <c r="H187" t="s">
        <v>43</v>
      </c>
      <c r="I187">
        <v>432</v>
      </c>
      <c r="J187">
        <v>432</v>
      </c>
    </row>
    <row r="188" spans="1:10" x14ac:dyDescent="0.2">
      <c r="A188" t="s">
        <v>121</v>
      </c>
      <c r="B188" t="s">
        <v>92</v>
      </c>
      <c r="C188" t="s">
        <v>92</v>
      </c>
      <c r="D188" t="s">
        <v>93</v>
      </c>
      <c r="E188" t="s">
        <v>406</v>
      </c>
      <c r="F188" t="s">
        <v>407</v>
      </c>
      <c r="G188">
        <v>1</v>
      </c>
      <c r="H188" t="s">
        <v>43</v>
      </c>
      <c r="I188">
        <v>117</v>
      </c>
      <c r="J188">
        <v>117</v>
      </c>
    </row>
    <row r="189" spans="1:10" x14ac:dyDescent="0.2">
      <c r="A189" t="s">
        <v>121</v>
      </c>
      <c r="B189" t="s">
        <v>92</v>
      </c>
      <c r="C189" t="s">
        <v>92</v>
      </c>
      <c r="D189" t="s">
        <v>93</v>
      </c>
      <c r="E189" t="s">
        <v>215</v>
      </c>
      <c r="F189" t="s">
        <v>216</v>
      </c>
      <c r="G189">
        <v>2</v>
      </c>
      <c r="H189" t="s">
        <v>43</v>
      </c>
      <c r="I189">
        <v>13</v>
      </c>
      <c r="J189">
        <v>26</v>
      </c>
    </row>
    <row r="190" spans="1:10" x14ac:dyDescent="0.2">
      <c r="A190" t="s">
        <v>121</v>
      </c>
      <c r="B190" t="s">
        <v>92</v>
      </c>
      <c r="C190" t="s">
        <v>92</v>
      </c>
      <c r="D190" t="s">
        <v>93</v>
      </c>
      <c r="E190" t="s">
        <v>300</v>
      </c>
      <c r="F190" t="s">
        <v>301</v>
      </c>
      <c r="G190">
        <v>1</v>
      </c>
      <c r="H190" t="s">
        <v>43</v>
      </c>
      <c r="I190">
        <v>147</v>
      </c>
      <c r="J190">
        <v>147</v>
      </c>
    </row>
    <row r="191" spans="1:10" x14ac:dyDescent="0.2">
      <c r="A191" t="s">
        <v>121</v>
      </c>
      <c r="B191" t="s">
        <v>92</v>
      </c>
      <c r="C191" t="s">
        <v>92</v>
      </c>
      <c r="D191" t="s">
        <v>93</v>
      </c>
      <c r="E191" t="s">
        <v>408</v>
      </c>
      <c r="F191" t="s">
        <v>409</v>
      </c>
      <c r="G191">
        <v>1</v>
      </c>
      <c r="H191" t="s">
        <v>43</v>
      </c>
      <c r="I191">
        <v>4.95</v>
      </c>
      <c r="J191">
        <v>4.95</v>
      </c>
    </row>
    <row r="192" spans="1:10" x14ac:dyDescent="0.2">
      <c r="A192" t="s">
        <v>121</v>
      </c>
      <c r="B192" t="s">
        <v>92</v>
      </c>
      <c r="C192" t="s">
        <v>92</v>
      </c>
      <c r="D192" t="s">
        <v>93</v>
      </c>
      <c r="E192" t="s">
        <v>346</v>
      </c>
      <c r="F192" t="s">
        <v>347</v>
      </c>
      <c r="G192">
        <v>1</v>
      </c>
      <c r="H192" t="s">
        <v>43</v>
      </c>
      <c r="I192">
        <v>19</v>
      </c>
      <c r="J192">
        <v>19</v>
      </c>
    </row>
    <row r="193" spans="1:10" x14ac:dyDescent="0.2">
      <c r="A193" t="s">
        <v>121</v>
      </c>
      <c r="B193" t="s">
        <v>92</v>
      </c>
      <c r="C193" t="s">
        <v>92</v>
      </c>
      <c r="D193" t="s">
        <v>93</v>
      </c>
      <c r="E193" t="s">
        <v>289</v>
      </c>
      <c r="F193" t="s">
        <v>290</v>
      </c>
      <c r="G193">
        <v>2</v>
      </c>
      <c r="H193" t="s">
        <v>43</v>
      </c>
      <c r="I193">
        <v>11</v>
      </c>
      <c r="J193">
        <v>22</v>
      </c>
    </row>
    <row r="194" spans="1:10" x14ac:dyDescent="0.2">
      <c r="A194" t="s">
        <v>121</v>
      </c>
      <c r="B194" t="s">
        <v>92</v>
      </c>
      <c r="C194" t="s">
        <v>92</v>
      </c>
      <c r="D194" t="s">
        <v>93</v>
      </c>
      <c r="E194" t="s">
        <v>342</v>
      </c>
      <c r="F194" t="s">
        <v>343</v>
      </c>
      <c r="G194">
        <v>2</v>
      </c>
      <c r="H194" t="s">
        <v>43</v>
      </c>
      <c r="I194">
        <v>11</v>
      </c>
      <c r="J194">
        <v>22</v>
      </c>
    </row>
    <row r="195" spans="1:10" x14ac:dyDescent="0.2">
      <c r="A195" t="s">
        <v>121</v>
      </c>
      <c r="B195" t="s">
        <v>92</v>
      </c>
      <c r="C195" t="s">
        <v>92</v>
      </c>
      <c r="D195" t="s">
        <v>93</v>
      </c>
      <c r="E195" t="s">
        <v>253</v>
      </c>
      <c r="F195" t="s">
        <v>254</v>
      </c>
      <c r="G195">
        <v>1</v>
      </c>
      <c r="H195" t="s">
        <v>43</v>
      </c>
      <c r="I195">
        <v>1</v>
      </c>
      <c r="J195">
        <v>1</v>
      </c>
    </row>
    <row r="196" spans="1:10" x14ac:dyDescent="0.2">
      <c r="A196" t="s">
        <v>121</v>
      </c>
      <c r="B196" t="s">
        <v>92</v>
      </c>
      <c r="C196" t="s">
        <v>92</v>
      </c>
      <c r="D196" t="s">
        <v>93</v>
      </c>
      <c r="E196" t="s">
        <v>410</v>
      </c>
      <c r="F196" t="s">
        <v>212</v>
      </c>
      <c r="G196">
        <v>1</v>
      </c>
      <c r="H196" t="s">
        <v>43</v>
      </c>
      <c r="I196">
        <v>80</v>
      </c>
      <c r="J196">
        <v>80</v>
      </c>
    </row>
    <row r="197" spans="1:10" x14ac:dyDescent="0.2">
      <c r="A197" t="s">
        <v>120</v>
      </c>
      <c r="B197" t="s">
        <v>92</v>
      </c>
      <c r="C197" t="s">
        <v>92</v>
      </c>
      <c r="D197" t="s">
        <v>93</v>
      </c>
      <c r="E197" t="s">
        <v>352</v>
      </c>
      <c r="F197" t="s">
        <v>353</v>
      </c>
      <c r="G197">
        <v>1</v>
      </c>
      <c r="H197" t="s">
        <v>43</v>
      </c>
      <c r="I197">
        <v>224</v>
      </c>
      <c r="J197">
        <v>224</v>
      </c>
    </row>
    <row r="198" spans="1:10" x14ac:dyDescent="0.2">
      <c r="A198" t="s">
        <v>119</v>
      </c>
      <c r="B198" t="s">
        <v>92</v>
      </c>
      <c r="C198" t="s">
        <v>92</v>
      </c>
      <c r="D198" t="s">
        <v>93</v>
      </c>
      <c r="E198" t="s">
        <v>352</v>
      </c>
      <c r="F198" t="s">
        <v>353</v>
      </c>
      <c r="G198">
        <v>1</v>
      </c>
      <c r="H198" t="s">
        <v>43</v>
      </c>
      <c r="I198">
        <v>224</v>
      </c>
      <c r="J198">
        <v>224</v>
      </c>
    </row>
    <row r="199" spans="1:10" x14ac:dyDescent="0.2">
      <c r="A199" t="s">
        <v>118</v>
      </c>
      <c r="B199" t="s">
        <v>92</v>
      </c>
      <c r="C199" t="s">
        <v>92</v>
      </c>
      <c r="D199" t="s">
        <v>93</v>
      </c>
      <c r="E199" t="s">
        <v>352</v>
      </c>
      <c r="F199" t="s">
        <v>353</v>
      </c>
      <c r="G199">
        <v>1</v>
      </c>
      <c r="H199" t="s">
        <v>43</v>
      </c>
      <c r="I199">
        <v>224</v>
      </c>
      <c r="J199">
        <v>224</v>
      </c>
    </row>
    <row r="200" spans="1:10" x14ac:dyDescent="0.2">
      <c r="A200" t="s">
        <v>155</v>
      </c>
      <c r="B200" t="s">
        <v>154</v>
      </c>
      <c r="C200" t="s">
        <v>92</v>
      </c>
      <c r="D200" t="s">
        <v>93</v>
      </c>
      <c r="E200" t="s">
        <v>293</v>
      </c>
      <c r="F200" t="s">
        <v>294</v>
      </c>
      <c r="G200">
        <v>1</v>
      </c>
      <c r="H200" t="s">
        <v>43</v>
      </c>
      <c r="I200">
        <v>570</v>
      </c>
      <c r="J200">
        <v>570</v>
      </c>
    </row>
    <row r="201" spans="1:10" x14ac:dyDescent="0.2">
      <c r="A201" t="s">
        <v>142</v>
      </c>
      <c r="B201" t="s">
        <v>136</v>
      </c>
      <c r="C201" t="s">
        <v>92</v>
      </c>
      <c r="D201" t="s">
        <v>93</v>
      </c>
      <c r="E201" t="s">
        <v>215</v>
      </c>
      <c r="F201" t="s">
        <v>216</v>
      </c>
      <c r="G201">
        <v>2</v>
      </c>
      <c r="H201" t="s">
        <v>43</v>
      </c>
      <c r="I201">
        <v>13</v>
      </c>
      <c r="J201">
        <v>26</v>
      </c>
    </row>
    <row r="202" spans="1:10" x14ac:dyDescent="0.2">
      <c r="A202" t="s">
        <v>142</v>
      </c>
      <c r="B202" t="s">
        <v>136</v>
      </c>
      <c r="C202" t="s">
        <v>92</v>
      </c>
      <c r="D202" t="s">
        <v>93</v>
      </c>
      <c r="E202" t="s">
        <v>411</v>
      </c>
      <c r="F202" t="s">
        <v>372</v>
      </c>
      <c r="G202">
        <v>1</v>
      </c>
      <c r="H202" t="s">
        <v>43</v>
      </c>
      <c r="I202">
        <v>11</v>
      </c>
      <c r="J202">
        <v>11</v>
      </c>
    </row>
    <row r="203" spans="1:10" x14ac:dyDescent="0.2">
      <c r="A203" t="s">
        <v>142</v>
      </c>
      <c r="B203" t="s">
        <v>136</v>
      </c>
      <c r="C203" t="s">
        <v>92</v>
      </c>
      <c r="D203" t="s">
        <v>93</v>
      </c>
      <c r="E203" t="s">
        <v>412</v>
      </c>
      <c r="F203" t="s">
        <v>230</v>
      </c>
      <c r="G203">
        <v>1</v>
      </c>
      <c r="H203" t="s">
        <v>43</v>
      </c>
      <c r="I203">
        <v>11</v>
      </c>
      <c r="J203">
        <v>11</v>
      </c>
    </row>
    <row r="204" spans="1:10" x14ac:dyDescent="0.2">
      <c r="A204" t="s">
        <v>142</v>
      </c>
      <c r="B204" t="s">
        <v>136</v>
      </c>
      <c r="C204" t="s">
        <v>92</v>
      </c>
      <c r="D204" t="s">
        <v>93</v>
      </c>
      <c r="E204" t="s">
        <v>217</v>
      </c>
      <c r="F204" t="s">
        <v>218</v>
      </c>
      <c r="G204">
        <v>1</v>
      </c>
      <c r="H204" t="s">
        <v>43</v>
      </c>
      <c r="I204">
        <v>11</v>
      </c>
      <c r="J204">
        <v>11</v>
      </c>
    </row>
    <row r="205" spans="1:10" x14ac:dyDescent="0.2">
      <c r="A205" t="s">
        <v>142</v>
      </c>
      <c r="B205" t="s">
        <v>136</v>
      </c>
      <c r="C205" t="s">
        <v>92</v>
      </c>
      <c r="D205" t="s">
        <v>93</v>
      </c>
      <c r="E205" t="s">
        <v>239</v>
      </c>
      <c r="F205" t="s">
        <v>240</v>
      </c>
      <c r="G205">
        <v>1</v>
      </c>
      <c r="H205" t="s">
        <v>43</v>
      </c>
      <c r="I205">
        <v>11</v>
      </c>
      <c r="J205">
        <v>11</v>
      </c>
    </row>
    <row r="206" spans="1:10" x14ac:dyDescent="0.2">
      <c r="A206" t="s">
        <v>142</v>
      </c>
      <c r="B206" t="s">
        <v>136</v>
      </c>
      <c r="C206" t="s">
        <v>92</v>
      </c>
      <c r="D206" t="s">
        <v>93</v>
      </c>
      <c r="E206" t="s">
        <v>342</v>
      </c>
      <c r="F206" t="s">
        <v>343</v>
      </c>
      <c r="G206">
        <v>2</v>
      </c>
      <c r="H206" t="s">
        <v>43</v>
      </c>
      <c r="I206">
        <v>11</v>
      </c>
      <c r="J206">
        <v>22</v>
      </c>
    </row>
    <row r="207" spans="1:10" x14ac:dyDescent="0.2">
      <c r="A207" t="s">
        <v>142</v>
      </c>
      <c r="B207" t="s">
        <v>136</v>
      </c>
      <c r="C207" t="s">
        <v>92</v>
      </c>
      <c r="D207" t="s">
        <v>93</v>
      </c>
      <c r="E207" t="s">
        <v>289</v>
      </c>
      <c r="F207" t="s">
        <v>290</v>
      </c>
      <c r="G207">
        <v>2</v>
      </c>
      <c r="H207" t="s">
        <v>43</v>
      </c>
      <c r="I207">
        <v>11</v>
      </c>
      <c r="J207">
        <v>22</v>
      </c>
    </row>
    <row r="208" spans="1:10" x14ac:dyDescent="0.2">
      <c r="A208" t="s">
        <v>117</v>
      </c>
      <c r="B208" t="s">
        <v>92</v>
      </c>
      <c r="C208" t="s">
        <v>92</v>
      </c>
      <c r="D208" t="s">
        <v>93</v>
      </c>
      <c r="E208" t="s">
        <v>352</v>
      </c>
      <c r="F208" t="s">
        <v>353</v>
      </c>
      <c r="G208">
        <v>1</v>
      </c>
      <c r="H208" t="s">
        <v>43</v>
      </c>
      <c r="I208">
        <v>224</v>
      </c>
      <c r="J208">
        <v>224</v>
      </c>
    </row>
    <row r="209" spans="1:10" x14ac:dyDescent="0.2">
      <c r="A209" t="s">
        <v>141</v>
      </c>
      <c r="B209" t="s">
        <v>136</v>
      </c>
      <c r="C209" t="s">
        <v>92</v>
      </c>
      <c r="D209" t="s">
        <v>93</v>
      </c>
      <c r="E209" t="s">
        <v>245</v>
      </c>
      <c r="F209" t="s">
        <v>246</v>
      </c>
      <c r="G209">
        <v>1</v>
      </c>
      <c r="H209" t="s">
        <v>43</v>
      </c>
      <c r="I209">
        <v>149</v>
      </c>
      <c r="J209">
        <v>149</v>
      </c>
    </row>
    <row r="210" spans="1:10" x14ac:dyDescent="0.2">
      <c r="A210" t="s">
        <v>102</v>
      </c>
      <c r="B210" t="s">
        <v>101</v>
      </c>
      <c r="C210" t="s">
        <v>92</v>
      </c>
      <c r="D210" t="s">
        <v>93</v>
      </c>
      <c r="E210" t="s">
        <v>293</v>
      </c>
      <c r="F210" t="s">
        <v>294</v>
      </c>
      <c r="G210">
        <v>1</v>
      </c>
      <c r="H210" t="s">
        <v>43</v>
      </c>
      <c r="I210">
        <v>570</v>
      </c>
      <c r="J210">
        <v>570</v>
      </c>
    </row>
    <row r="211" spans="1:10" x14ac:dyDescent="0.2">
      <c r="A211" t="s">
        <v>102</v>
      </c>
      <c r="B211" t="s">
        <v>101</v>
      </c>
      <c r="C211" t="s">
        <v>92</v>
      </c>
      <c r="D211" t="s">
        <v>93</v>
      </c>
      <c r="E211" t="s">
        <v>235</v>
      </c>
      <c r="F211" t="s">
        <v>236</v>
      </c>
      <c r="G211">
        <v>1</v>
      </c>
      <c r="H211" t="s">
        <v>43</v>
      </c>
      <c r="I211">
        <v>501</v>
      </c>
      <c r="J211">
        <v>501</v>
      </c>
    </row>
    <row r="212" spans="1:10" x14ac:dyDescent="0.2">
      <c r="A212" t="s">
        <v>108</v>
      </c>
      <c r="B212" t="s">
        <v>107</v>
      </c>
      <c r="C212" t="s">
        <v>92</v>
      </c>
      <c r="D212" t="s">
        <v>93</v>
      </c>
      <c r="E212" t="s">
        <v>209</v>
      </c>
      <c r="F212" t="s">
        <v>210</v>
      </c>
      <c r="G212">
        <v>2</v>
      </c>
      <c r="H212" t="s">
        <v>43</v>
      </c>
      <c r="I212">
        <v>27</v>
      </c>
      <c r="J212">
        <v>54</v>
      </c>
    </row>
    <row r="213" spans="1:10" x14ac:dyDescent="0.2">
      <c r="A213" t="s">
        <v>108</v>
      </c>
      <c r="B213" t="s">
        <v>107</v>
      </c>
      <c r="C213" t="s">
        <v>92</v>
      </c>
      <c r="D213" t="s">
        <v>93</v>
      </c>
      <c r="E213" t="s">
        <v>293</v>
      </c>
      <c r="F213" t="s">
        <v>294</v>
      </c>
      <c r="G213">
        <v>1</v>
      </c>
      <c r="H213" t="s">
        <v>43</v>
      </c>
      <c r="I213">
        <v>570</v>
      </c>
      <c r="J213">
        <v>570</v>
      </c>
    </row>
    <row r="214" spans="1:10" x14ac:dyDescent="0.2">
      <c r="A214" t="s">
        <v>108</v>
      </c>
      <c r="B214" t="s">
        <v>107</v>
      </c>
      <c r="C214" t="s">
        <v>92</v>
      </c>
      <c r="D214" t="s">
        <v>93</v>
      </c>
      <c r="E214" t="s">
        <v>400</v>
      </c>
      <c r="F214" t="s">
        <v>401</v>
      </c>
      <c r="G214">
        <v>1</v>
      </c>
      <c r="H214" t="s">
        <v>43</v>
      </c>
      <c r="I214">
        <v>90</v>
      </c>
      <c r="J214">
        <v>90</v>
      </c>
    </row>
    <row r="215" spans="1:10" x14ac:dyDescent="0.2">
      <c r="A215" t="s">
        <v>170</v>
      </c>
      <c r="B215" t="s">
        <v>169</v>
      </c>
      <c r="C215" t="s">
        <v>92</v>
      </c>
      <c r="D215" t="s">
        <v>93</v>
      </c>
      <c r="E215" t="s">
        <v>358</v>
      </c>
      <c r="F215" t="s">
        <v>359</v>
      </c>
      <c r="G215">
        <v>1</v>
      </c>
      <c r="H215" t="s">
        <v>43</v>
      </c>
      <c r="I215">
        <v>141.56</v>
      </c>
      <c r="J215">
        <v>141.56</v>
      </c>
    </row>
    <row r="216" spans="1:10" x14ac:dyDescent="0.2">
      <c r="A216" t="s">
        <v>140</v>
      </c>
      <c r="B216" t="s">
        <v>136</v>
      </c>
      <c r="C216" t="s">
        <v>92</v>
      </c>
      <c r="D216" t="s">
        <v>93</v>
      </c>
      <c r="E216" t="s">
        <v>245</v>
      </c>
      <c r="F216" t="s">
        <v>246</v>
      </c>
      <c r="G216">
        <v>1</v>
      </c>
      <c r="H216" t="s">
        <v>43</v>
      </c>
      <c r="I216">
        <v>149</v>
      </c>
      <c r="J216">
        <v>149</v>
      </c>
    </row>
    <row r="217" spans="1:10" x14ac:dyDescent="0.2">
      <c r="A217" t="s">
        <v>139</v>
      </c>
      <c r="B217" t="s">
        <v>136</v>
      </c>
      <c r="C217" t="s">
        <v>92</v>
      </c>
      <c r="D217" t="s">
        <v>93</v>
      </c>
      <c r="E217" t="s">
        <v>336</v>
      </c>
      <c r="F217" t="s">
        <v>337</v>
      </c>
      <c r="G217">
        <v>1</v>
      </c>
      <c r="H217" t="s">
        <v>43</v>
      </c>
      <c r="I217">
        <v>72.8</v>
      </c>
      <c r="J217">
        <v>72.8</v>
      </c>
    </row>
    <row r="218" spans="1:10" x14ac:dyDescent="0.2">
      <c r="A218" t="s">
        <v>100</v>
      </c>
      <c r="B218" t="s">
        <v>99</v>
      </c>
      <c r="C218" t="s">
        <v>92</v>
      </c>
      <c r="D218" t="s">
        <v>93</v>
      </c>
      <c r="E218" t="s">
        <v>235</v>
      </c>
      <c r="F218" t="s">
        <v>236</v>
      </c>
      <c r="G218">
        <v>1</v>
      </c>
      <c r="H218" t="s">
        <v>43</v>
      </c>
      <c r="I218">
        <v>501</v>
      </c>
      <c r="J218">
        <v>501</v>
      </c>
    </row>
    <row r="219" spans="1:10" x14ac:dyDescent="0.2">
      <c r="A219" t="s">
        <v>138</v>
      </c>
      <c r="B219" t="s">
        <v>136</v>
      </c>
      <c r="C219" t="s">
        <v>92</v>
      </c>
      <c r="D219" t="s">
        <v>93</v>
      </c>
      <c r="E219" t="s">
        <v>336</v>
      </c>
      <c r="F219" t="s">
        <v>337</v>
      </c>
      <c r="G219">
        <v>1</v>
      </c>
      <c r="H219" t="s">
        <v>43</v>
      </c>
      <c r="I219">
        <v>72.8</v>
      </c>
      <c r="J219">
        <v>72.8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6AAA9-6A5B-4950-965E-6CB940D9C47E}">
  <sheetPr codeName="Sheet2"/>
  <dimension ref="A1:Q3"/>
  <sheetViews>
    <sheetView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4.5" style="27" customWidth="1"/>
    <col min="2" max="2" width="9" style="27"/>
    <col min="3" max="3" width="13.625" style="27" customWidth="1"/>
    <col min="4" max="16384" width="9" style="27"/>
  </cols>
  <sheetData>
    <row r="1" spans="1:17" ht="15" x14ac:dyDescent="0.2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36</v>
      </c>
      <c r="N1" s="23" t="s">
        <v>37</v>
      </c>
      <c r="O1" s="23" t="s">
        <v>38</v>
      </c>
      <c r="P1" s="23" t="s">
        <v>7</v>
      </c>
      <c r="Q1" s="30" t="s">
        <v>39</v>
      </c>
    </row>
    <row r="3" spans="1:17" x14ac:dyDescent="0.2">
      <c r="A3" s="27" t="s">
        <v>95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93791-E9A2-4007-B77D-FB89C707B547}">
  <sheetPr codeName="Sheet12"/>
  <dimension ref="A1:Q3"/>
  <sheetViews>
    <sheetView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2" max="13" width="9.125" customWidth="1"/>
    <col min="14" max="14" width="10.5" customWidth="1"/>
    <col min="17" max="17" width="9.125" customWidth="1"/>
  </cols>
  <sheetData>
    <row r="1" spans="1:17" s="27" customFormat="1" ht="15" x14ac:dyDescent="0.2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36</v>
      </c>
      <c r="N1" s="23" t="s">
        <v>37</v>
      </c>
      <c r="O1" s="23" t="s">
        <v>38</v>
      </c>
      <c r="P1" s="23" t="s">
        <v>7</v>
      </c>
      <c r="Q1" s="30" t="s">
        <v>39</v>
      </c>
    </row>
    <row r="3" spans="1:17" x14ac:dyDescent="0.2">
      <c r="A3" t="s">
        <v>95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76FE2-6336-4641-820F-A8F893EF991F}">
  <sheetPr codeName="Sheet7"/>
  <dimension ref="A1:Q3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6.5" x14ac:dyDescent="0.35"/>
  <cols>
    <col min="1" max="1" width="9" style="31"/>
    <col min="2" max="2" width="15.375" style="31" customWidth="1"/>
    <col min="3" max="3" width="17.75" style="31" customWidth="1"/>
    <col min="4" max="11" width="9" style="31"/>
    <col min="12" max="12" width="10.625" style="31" customWidth="1"/>
    <col min="13" max="13" width="11.375" style="31" customWidth="1"/>
    <col min="14" max="14" width="10.5" style="31" customWidth="1"/>
    <col min="15" max="15" width="9" style="31"/>
    <col min="16" max="16" width="16.625" style="31" customWidth="1"/>
    <col min="17" max="17" width="9.375" style="31" customWidth="1"/>
    <col min="18" max="16384" width="9" style="31"/>
  </cols>
  <sheetData>
    <row r="1" spans="1:17" x14ac:dyDescent="0.3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36</v>
      </c>
      <c r="N1" s="23" t="s">
        <v>37</v>
      </c>
      <c r="O1" s="23" t="s">
        <v>38</v>
      </c>
      <c r="P1" s="23" t="s">
        <v>7</v>
      </c>
      <c r="Q1" s="30" t="s">
        <v>39</v>
      </c>
    </row>
    <row r="3" spans="1:17" x14ac:dyDescent="0.35">
      <c r="A3" s="31" t="s">
        <v>95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4509F-3F45-404F-89FE-9D45E8FFA2B2}">
  <sheetPr codeName="Sheet8"/>
  <dimension ref="A1:P12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5.875" customWidth="1"/>
    <col min="2" max="2" width="11" style="39" customWidth="1"/>
    <col min="3" max="3" width="5.625" customWidth="1"/>
    <col min="4" max="4" width="12.875" customWidth="1"/>
    <col min="5" max="5" width="11.625" customWidth="1"/>
    <col min="6" max="7" width="21.375" customWidth="1"/>
    <col min="8" max="8" width="30.375" customWidth="1"/>
    <col min="9" max="9" width="18.5" customWidth="1"/>
    <col min="10" max="10" width="19.5" customWidth="1"/>
    <col min="11" max="11" width="20.25" customWidth="1"/>
    <col min="12" max="12" width="19.125" customWidth="1"/>
    <col min="13" max="13" width="5.25" customWidth="1"/>
    <col min="14" max="14" width="7.875" customWidth="1"/>
    <col min="15" max="15" width="15.375" style="40" customWidth="1"/>
    <col min="16" max="16" width="18.125" customWidth="1"/>
  </cols>
  <sheetData>
    <row r="1" spans="1:16" s="38" customFormat="1" ht="43.5" customHeight="1" x14ac:dyDescent="0.2">
      <c r="A1" s="32" t="s">
        <v>61</v>
      </c>
      <c r="B1" s="33" t="s">
        <v>62</v>
      </c>
      <c r="C1" s="32" t="s">
        <v>63</v>
      </c>
      <c r="D1" s="32" t="s">
        <v>64</v>
      </c>
      <c r="E1" s="32" t="s">
        <v>65</v>
      </c>
      <c r="F1" s="34" t="s">
        <v>66</v>
      </c>
      <c r="G1" s="34" t="s">
        <v>67</v>
      </c>
      <c r="H1" s="34" t="s">
        <v>68</v>
      </c>
      <c r="I1" s="35" t="s">
        <v>69</v>
      </c>
      <c r="J1" s="35" t="s">
        <v>70</v>
      </c>
      <c r="K1" s="34" t="s">
        <v>71</v>
      </c>
      <c r="L1" s="34" t="s">
        <v>72</v>
      </c>
      <c r="M1" s="34" t="s">
        <v>73</v>
      </c>
      <c r="N1" s="36" t="s">
        <v>74</v>
      </c>
      <c r="O1" s="37" t="s">
        <v>75</v>
      </c>
      <c r="P1" s="34" t="s">
        <v>76</v>
      </c>
    </row>
    <row r="2" spans="1:16" x14ac:dyDescent="0.2">
      <c r="A2" t="s">
        <v>77</v>
      </c>
      <c r="B2" s="39">
        <v>1069</v>
      </c>
      <c r="C2" t="s">
        <v>43</v>
      </c>
      <c r="D2" t="s">
        <v>413</v>
      </c>
      <c r="F2" t="s">
        <v>414</v>
      </c>
      <c r="G2" t="s">
        <v>415</v>
      </c>
      <c r="H2" t="s">
        <v>92</v>
      </c>
      <c r="I2" t="s">
        <v>92</v>
      </c>
      <c r="J2" t="s">
        <v>93</v>
      </c>
      <c r="K2" t="s">
        <v>78</v>
      </c>
      <c r="L2" t="s">
        <v>79</v>
      </c>
      <c r="M2">
        <v>1</v>
      </c>
      <c r="N2">
        <v>202601</v>
      </c>
      <c r="O2" s="40">
        <v>46037.781840277778</v>
      </c>
      <c r="P2" t="s">
        <v>416</v>
      </c>
    </row>
    <row r="3" spans="1:16" x14ac:dyDescent="0.2">
      <c r="A3" t="s">
        <v>77</v>
      </c>
      <c r="B3" s="39">
        <v>1069</v>
      </c>
      <c r="C3" t="s">
        <v>43</v>
      </c>
      <c r="D3" t="s">
        <v>413</v>
      </c>
      <c r="F3" t="s">
        <v>417</v>
      </c>
      <c r="G3" t="s">
        <v>418</v>
      </c>
      <c r="H3" t="s">
        <v>92</v>
      </c>
      <c r="I3" t="s">
        <v>92</v>
      </c>
      <c r="J3" t="s">
        <v>93</v>
      </c>
      <c r="K3" t="s">
        <v>78</v>
      </c>
      <c r="L3" t="s">
        <v>79</v>
      </c>
      <c r="M3">
        <v>1</v>
      </c>
      <c r="N3">
        <v>202601</v>
      </c>
      <c r="O3" s="40">
        <v>46042.835520833331</v>
      </c>
      <c r="P3" t="s">
        <v>419</v>
      </c>
    </row>
    <row r="4" spans="1:16" x14ac:dyDescent="0.2">
      <c r="A4" t="s">
        <v>77</v>
      </c>
      <c r="B4" s="39">
        <v>1069</v>
      </c>
      <c r="C4" t="s">
        <v>43</v>
      </c>
      <c r="D4" t="s">
        <v>413</v>
      </c>
      <c r="F4" t="s">
        <v>420</v>
      </c>
      <c r="G4" t="s">
        <v>421</v>
      </c>
      <c r="H4" t="s">
        <v>92</v>
      </c>
      <c r="I4" t="s">
        <v>92</v>
      </c>
      <c r="J4" t="s">
        <v>93</v>
      </c>
      <c r="K4" t="s">
        <v>78</v>
      </c>
      <c r="L4" t="s">
        <v>79</v>
      </c>
      <c r="M4">
        <v>1</v>
      </c>
      <c r="N4">
        <v>202601</v>
      </c>
      <c r="O4" s="40">
        <v>46043.440752314818</v>
      </c>
      <c r="P4" t="s">
        <v>422</v>
      </c>
    </row>
    <row r="5" spans="1:16" x14ac:dyDescent="0.2">
      <c r="A5" t="s">
        <v>77</v>
      </c>
      <c r="B5" s="39">
        <v>1090</v>
      </c>
      <c r="C5" t="s">
        <v>43</v>
      </c>
      <c r="D5" t="s">
        <v>413</v>
      </c>
      <c r="F5" t="s">
        <v>423</v>
      </c>
      <c r="G5" t="s">
        <v>424</v>
      </c>
      <c r="H5" t="s">
        <v>92</v>
      </c>
      <c r="I5" t="s">
        <v>92</v>
      </c>
      <c r="J5" t="s">
        <v>93</v>
      </c>
      <c r="K5" t="s">
        <v>78</v>
      </c>
      <c r="L5" t="s">
        <v>79</v>
      </c>
      <c r="M5">
        <v>1</v>
      </c>
      <c r="N5">
        <v>202601</v>
      </c>
      <c r="O5" s="40">
        <v>46045.623229166667</v>
      </c>
      <c r="P5" t="s">
        <v>425</v>
      </c>
    </row>
    <row r="6" spans="1:16" x14ac:dyDescent="0.2">
      <c r="A6" t="s">
        <v>77</v>
      </c>
      <c r="B6" s="39">
        <v>1069</v>
      </c>
      <c r="C6" t="s">
        <v>43</v>
      </c>
      <c r="D6" t="s">
        <v>413</v>
      </c>
      <c r="F6" t="s">
        <v>426</v>
      </c>
      <c r="G6" t="s">
        <v>427</v>
      </c>
      <c r="H6" t="s">
        <v>92</v>
      </c>
      <c r="I6" t="s">
        <v>92</v>
      </c>
      <c r="J6" t="s">
        <v>93</v>
      </c>
      <c r="K6" t="s">
        <v>78</v>
      </c>
      <c r="L6" t="s">
        <v>79</v>
      </c>
      <c r="M6">
        <v>1</v>
      </c>
      <c r="N6">
        <v>202601</v>
      </c>
      <c r="O6" s="40">
        <v>46049.574976851851</v>
      </c>
      <c r="P6" t="s">
        <v>428</v>
      </c>
    </row>
    <row r="7" spans="1:16" x14ac:dyDescent="0.2">
      <c r="A7" t="s">
        <v>77</v>
      </c>
      <c r="B7" s="39">
        <v>627</v>
      </c>
      <c r="C7" t="s">
        <v>43</v>
      </c>
      <c r="D7" t="s">
        <v>413</v>
      </c>
      <c r="F7" t="s">
        <v>429</v>
      </c>
      <c r="G7" t="s">
        <v>430</v>
      </c>
      <c r="H7" t="s">
        <v>92</v>
      </c>
      <c r="I7" t="s">
        <v>92</v>
      </c>
      <c r="J7" t="s">
        <v>93</v>
      </c>
      <c r="K7" t="s">
        <v>431</v>
      </c>
      <c r="L7" t="s">
        <v>432</v>
      </c>
      <c r="M7">
        <v>1</v>
      </c>
      <c r="N7">
        <v>202601</v>
      </c>
      <c r="O7" s="40">
        <v>46044.560150462959</v>
      </c>
      <c r="P7" t="s">
        <v>433</v>
      </c>
    </row>
    <row r="8" spans="1:16" x14ac:dyDescent="0.2">
      <c r="A8" t="s">
        <v>77</v>
      </c>
      <c r="B8" s="39">
        <v>627</v>
      </c>
      <c r="C8" t="s">
        <v>43</v>
      </c>
      <c r="D8" t="s">
        <v>413</v>
      </c>
      <c r="F8" t="s">
        <v>434</v>
      </c>
      <c r="G8" t="s">
        <v>435</v>
      </c>
      <c r="H8" t="s">
        <v>92</v>
      </c>
      <c r="I8" t="s">
        <v>92</v>
      </c>
      <c r="J8" t="s">
        <v>93</v>
      </c>
      <c r="K8" t="s">
        <v>431</v>
      </c>
      <c r="L8" t="s">
        <v>432</v>
      </c>
      <c r="M8">
        <v>1</v>
      </c>
      <c r="N8">
        <v>202601</v>
      </c>
      <c r="O8" s="40">
        <v>46044.768831018519</v>
      </c>
      <c r="P8" t="s">
        <v>436</v>
      </c>
    </row>
    <row r="9" spans="1:16" x14ac:dyDescent="0.2">
      <c r="A9" t="s">
        <v>77</v>
      </c>
      <c r="B9" s="39">
        <v>703</v>
      </c>
      <c r="C9" t="s">
        <v>43</v>
      </c>
      <c r="D9" t="s">
        <v>413</v>
      </c>
      <c r="F9" t="s">
        <v>437</v>
      </c>
      <c r="G9" t="s">
        <v>438</v>
      </c>
      <c r="H9" t="s">
        <v>92</v>
      </c>
      <c r="I9" t="s">
        <v>92</v>
      </c>
      <c r="J9" t="s">
        <v>93</v>
      </c>
      <c r="K9" t="s">
        <v>431</v>
      </c>
      <c r="L9" t="s">
        <v>432</v>
      </c>
      <c r="M9">
        <v>1</v>
      </c>
      <c r="N9">
        <v>202601</v>
      </c>
      <c r="O9" s="40">
        <v>46044.776921296296</v>
      </c>
      <c r="P9" t="s">
        <v>439</v>
      </c>
    </row>
    <row r="10" spans="1:16" x14ac:dyDescent="0.2">
      <c r="A10" t="s">
        <v>77</v>
      </c>
      <c r="B10" s="39">
        <v>654</v>
      </c>
      <c r="C10" t="s">
        <v>43</v>
      </c>
      <c r="D10" t="s">
        <v>413</v>
      </c>
      <c r="F10" t="s">
        <v>440</v>
      </c>
      <c r="G10" t="s">
        <v>441</v>
      </c>
      <c r="H10" t="s">
        <v>92</v>
      </c>
      <c r="I10" t="s">
        <v>92</v>
      </c>
      <c r="J10" t="s">
        <v>93</v>
      </c>
      <c r="K10" t="s">
        <v>442</v>
      </c>
      <c r="L10" t="s">
        <v>443</v>
      </c>
      <c r="M10">
        <v>1</v>
      </c>
      <c r="N10">
        <v>202601</v>
      </c>
      <c r="O10" s="40">
        <v>46045.640914351854</v>
      </c>
      <c r="P10" t="s">
        <v>444</v>
      </c>
    </row>
    <row r="11" spans="1:16" x14ac:dyDescent="0.2">
      <c r="A11" t="s">
        <v>77</v>
      </c>
      <c r="B11" s="39">
        <v>1127</v>
      </c>
      <c r="C11" t="s">
        <v>43</v>
      </c>
      <c r="D11" t="s">
        <v>413</v>
      </c>
      <c r="F11" t="s">
        <v>445</v>
      </c>
      <c r="G11" t="s">
        <v>446</v>
      </c>
      <c r="H11" t="s">
        <v>92</v>
      </c>
      <c r="I11" t="s">
        <v>92</v>
      </c>
      <c r="J11" t="s">
        <v>93</v>
      </c>
      <c r="K11" t="s">
        <v>447</v>
      </c>
      <c r="L11" t="s">
        <v>448</v>
      </c>
      <c r="M11">
        <v>1</v>
      </c>
      <c r="N11">
        <v>202601</v>
      </c>
      <c r="O11" s="40">
        <v>46038.804814814815</v>
      </c>
      <c r="P11" t="s">
        <v>449</v>
      </c>
    </row>
    <row r="12" spans="1:16" x14ac:dyDescent="0.2">
      <c r="A12" t="s">
        <v>77</v>
      </c>
      <c r="B12" s="39">
        <v>1127</v>
      </c>
      <c r="C12" t="s">
        <v>43</v>
      </c>
      <c r="D12" t="s">
        <v>413</v>
      </c>
      <c r="F12" t="s">
        <v>450</v>
      </c>
      <c r="G12" t="s">
        <v>451</v>
      </c>
      <c r="H12" t="s">
        <v>92</v>
      </c>
      <c r="I12" t="s">
        <v>92</v>
      </c>
      <c r="J12" t="s">
        <v>93</v>
      </c>
      <c r="K12" t="s">
        <v>447</v>
      </c>
      <c r="L12" t="s">
        <v>448</v>
      </c>
      <c r="M12">
        <v>1</v>
      </c>
      <c r="N12">
        <v>202601</v>
      </c>
      <c r="O12" s="40">
        <v>46039.648761574077</v>
      </c>
      <c r="P12" t="s">
        <v>452</v>
      </c>
    </row>
  </sheetData>
  <phoneticPr fontId="2" type="noConversion"/>
  <conditionalFormatting sqref="F1">
    <cfRule type="duplicateValues" dxfId="3" priority="1"/>
    <cfRule type="duplicateValues" dxfId="2" priority="2"/>
  </conditionalFormatting>
  <conditionalFormatting sqref="G1"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C0512-F0B0-4A2F-AE76-309CA3338882}">
  <sheetPr codeName="Sheet9"/>
  <dimension ref="A1:L3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0.5" customWidth="1"/>
    <col min="2" max="2" width="23.625" customWidth="1"/>
    <col min="3" max="3" width="24.5" customWidth="1"/>
    <col min="4" max="4" width="19.25" customWidth="1"/>
    <col min="5" max="6" width="18.125" customWidth="1"/>
    <col min="7" max="9" width="11.625" customWidth="1"/>
    <col min="10" max="10" width="13.375" customWidth="1"/>
    <col min="11" max="12" width="11.625" customWidth="1"/>
  </cols>
  <sheetData>
    <row r="1" spans="1:12" ht="63.75" customHeight="1" x14ac:dyDescent="0.2">
      <c r="A1" s="28" t="s">
        <v>80</v>
      </c>
      <c r="B1" s="28" t="s">
        <v>81</v>
      </c>
      <c r="C1" s="35" t="s">
        <v>82</v>
      </c>
      <c r="D1" s="35" t="s">
        <v>83</v>
      </c>
      <c r="E1" s="28" t="s">
        <v>84</v>
      </c>
      <c r="F1" s="28" t="s">
        <v>85</v>
      </c>
      <c r="G1" s="28" t="s">
        <v>86</v>
      </c>
      <c r="H1" s="28" t="s">
        <v>87</v>
      </c>
      <c r="I1" s="28" t="s">
        <v>88</v>
      </c>
      <c r="J1" s="28" t="s">
        <v>89</v>
      </c>
      <c r="K1" s="28" t="s">
        <v>90</v>
      </c>
      <c r="L1" s="28" t="s">
        <v>91</v>
      </c>
    </row>
    <row r="3" spans="1:12" x14ac:dyDescent="0.2">
      <c r="A3" t="s">
        <v>95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monthly bill</vt:lpstr>
      <vt:lpstr>Accessories discount</vt:lpstr>
      <vt:lpstr>spare parts fee</vt:lpstr>
      <vt:lpstr>service fee</vt:lpstr>
      <vt:lpstr>tariff compensation</vt:lpstr>
      <vt:lpstr>Maintenance list</vt:lpstr>
      <vt:lpstr>service red-line deduction</vt:lpstr>
      <vt:lpstr>bad parts deduction</vt:lpstr>
      <vt:lpstr>other compensation</vt:lpstr>
      <vt:lpstr>DOA to CM</vt:lpstr>
      <vt:lpstr>pre-payment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o-mandi.yang</dc:creator>
  <cp:lastModifiedBy>o-mandi.yang</cp:lastModifiedBy>
  <dcterms:created xsi:type="dcterms:W3CDTF">2026-03-04T07:21:23Z</dcterms:created>
  <dcterms:modified xsi:type="dcterms:W3CDTF">2026-03-04T07:22:03Z</dcterms:modified>
</cp:coreProperties>
</file>