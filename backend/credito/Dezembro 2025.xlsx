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农机-海外\账单\单位月结账单\"/>
    </mc:Choice>
  </mc:AlternateContent>
  <xr:revisionPtr revIDLastSave="0" documentId="8_{9318ED50-1DD8-4314-AAC0-539C9D070D19}" xr6:coauthVersionLast="36" xr6:coauthVersionMax="36" xr10:uidLastSave="{00000000-0000-0000-0000-000000000000}"/>
  <bookViews>
    <workbookView xWindow="0" yWindow="0" windowWidth="28800" windowHeight="12135" xr2:uid="{3788BE9E-868D-4C68-8B1F-F380BEE9F9A5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tariff compensation" sheetId="8" r:id="rId6"/>
    <sheet name="Maintenance list" sheetId="9" r:id="rId7"/>
    <sheet name="service red-line deduction" sheetId="10" r:id="rId8"/>
    <sheet name="bad parts deduction" sheetId="11" r:id="rId9"/>
    <sheet name="other compensation" sheetId="12" r:id="rId10"/>
    <sheet name="DOA to CM" sheetId="13" r:id="rId11"/>
    <sheet name="pre-payment balance" sheetId="14" r:id="rId12"/>
  </sheets>
  <definedNames>
    <definedName name="_xlnm._FilterDatabase" localSheetId="1" hidden="1">'Accessories discount'!$A$1:$Q$1</definedName>
    <definedName name="_xlnm._FilterDatabase" localSheetId="10" hidden="1">'DOA to CM'!$A$1:$P$1</definedName>
    <definedName name="_xlnm._FilterDatabase" localSheetId="4" hidden="1">'incentive labor fee'!$A$1:$Q$1</definedName>
    <definedName name="_xlnm._FilterDatabase" localSheetId="6" hidden="1">'Maintenance list'!$A$1:$J$1</definedName>
    <definedName name="_xlnm._FilterDatabase" localSheetId="11" hidden="1">'pre-payment balance'!$A$1:$L$1</definedName>
    <definedName name="_xlnm._FilterDatabase" localSheetId="3" hidden="1">'service fee'!$A$1:$Q$1</definedName>
    <definedName name="_xlnm._FilterDatabase" localSheetId="2" hidden="1">'spare parts fee'!$A$1:$Q$1</definedName>
    <definedName name="_xlnm._FilterDatabase" localSheetId="5" hidden="1">'tariff compensation'!$A$1:$Q$1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3" l="1"/>
  <c r="E18" i="3" s="1"/>
  <c r="E14" i="3"/>
  <c r="E13" i="3"/>
  <c r="E12" i="3"/>
  <c r="E11" i="3"/>
  <c r="E10" i="3"/>
  <c r="E9" i="3"/>
  <c r="E8" i="3"/>
  <c r="E7" i="3"/>
  <c r="E5" i="3"/>
  <c r="E6" i="3" s="1"/>
  <c r="E15" i="3" l="1"/>
  <c r="E16" i="3" s="1"/>
</calcChain>
</file>

<file path=xl/sharedStrings.xml><?xml version="1.0" encoding="utf-8"?>
<sst xmlns="http://schemas.openxmlformats.org/spreadsheetml/2006/main" count="5452" uniqueCount="656">
  <si>
    <t>Distributor Name</t>
  </si>
  <si>
    <t>Distributor Account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</si>
  <si>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Dec</t>
    </r>
    <phoneticPr fontId="2" type="noConversion"/>
  </si>
  <si>
    <t>Dealer</t>
  </si>
  <si>
    <t>Dealer Account：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</si>
  <si>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</si>
  <si>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</si>
  <si>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</si>
  <si>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</si>
  <si>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</si>
  <si>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</si>
  <si>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</si>
  <si>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</si>
  <si>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service fee of warranty cases</t>
  </si>
  <si>
    <t>incentive labor fee</t>
  </si>
  <si>
    <t>tariff compensation</t>
  </si>
  <si>
    <t>service red-line deduction</t>
  </si>
  <si>
    <t>bad parts deduction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</si>
  <si>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</si>
  <si>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</si>
  <si>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</si>
  <si>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</si>
  <si>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</si>
  <si>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</si>
  <si>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</si>
  <si>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</si>
  <si>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</si>
  <si>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</si>
  <si>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</si>
  <si>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</si>
  <si>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</si>
  <si>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</si>
  <si>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</si>
  <si>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</si>
  <si>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</si>
  <si>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</si>
  <si>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</si>
  <si>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</si>
  <si>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</si>
  <si>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</si>
  <si>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</si>
  <si>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Quota adjustment</t>
  </si>
  <si>
    <t>Increase</t>
  </si>
  <si>
    <t>Manual adjustment</t>
  </si>
  <si>
    <t>USD</t>
  </si>
  <si>
    <t>deduction</t>
  </si>
  <si>
    <t>Local repair-in warranty</t>
  </si>
  <si>
    <t>Repair spare parts fee</t>
  </si>
  <si>
    <t>Automatically generate</t>
  </si>
  <si>
    <t>Repair service fee</t>
  </si>
  <si>
    <t>FQAO260123000008</t>
  </si>
  <si>
    <t>FQAO260119000003</t>
  </si>
  <si>
    <t>other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</si>
  <si>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</si>
  <si>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</si>
  <si>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</si>
  <si>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</si>
  <si>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</si>
  <si>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</si>
  <si>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</si>
  <si>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</si>
  <si>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</si>
  <si>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</si>
  <si>
    <t>FQAO251212000011</t>
  </si>
  <si>
    <t>Abnormal case of bad parts scrapping，S-25-12-12-01</t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</si>
  <si>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</si>
  <si>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</si>
  <si>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</si>
  <si>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t>CM单号
Credit number</t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</si>
  <si>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</si>
  <si>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</si>
  <si>
    <r>
      <rPr>
        <b/>
        <sz val="11"/>
        <color rgb="FFFFFFFF"/>
        <rFont val="Arial"/>
        <family val="2"/>
      </rP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</si>
  <si>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</si>
  <si>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</si>
  <si>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</si>
  <si>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</si>
  <si>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</si>
  <si>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</si>
  <si>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</si>
  <si>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</si>
  <si>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</si>
  <si>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t>售后credit（After-sale credit）</t>
  </si>
  <si>
    <t>FQAO260119000011</t>
  </si>
  <si>
    <t>CP.AG.00000782.01</t>
  </si>
  <si>
    <t>DB1560 智能飞行电池</t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</si>
  <si>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</si>
  <si>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</si>
  <si>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</si>
  <si>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</si>
  <si>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</si>
  <si>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</si>
  <si>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</si>
  <si>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</si>
  <si>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</si>
  <si>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</si>
  <si>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</si>
  <si>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</si>
  <si>
    <t>DronePro Comercio e Assistencia Tecnica Ltda</t>
  </si>
  <si>
    <t>HUADA-agras</t>
  </si>
  <si>
    <t>HUADA-agras</t>
    <phoneticPr fontId="2" type="noConversion"/>
  </si>
  <si>
    <t>This item is not involved this time</t>
  </si>
  <si>
    <t>FQFO251215000527</t>
  </si>
  <si>
    <t>Alto Giro Drones - Porto Nacional</t>
  </si>
  <si>
    <t>FWRC251213000082</t>
  </si>
  <si>
    <t>FQFO251212000382</t>
  </si>
  <si>
    <t>FWRC251211000152</t>
  </si>
  <si>
    <t>FQFO251212000343</t>
  </si>
  <si>
    <t>Horizont Drones</t>
  </si>
  <si>
    <t>FWRC251211000155</t>
  </si>
  <si>
    <t>FQFO251212000195</t>
  </si>
  <si>
    <t>FWRC251212000188</t>
  </si>
  <si>
    <t>FQFO251212000181</t>
  </si>
  <si>
    <t>FWRC251212000189</t>
  </si>
  <si>
    <t>FQFO251212000173</t>
  </si>
  <si>
    <t>FWRC251212000191</t>
  </si>
  <si>
    <t>FQFO251211000236</t>
  </si>
  <si>
    <t>FWRC251210000280</t>
  </si>
  <si>
    <t>FQFO251210000217</t>
  </si>
  <si>
    <t>DRONE NORTE</t>
  </si>
  <si>
    <t>FWRC251210000245</t>
  </si>
  <si>
    <t>FQFO251209000279</t>
  </si>
  <si>
    <t>FWRC251208000183</t>
  </si>
  <si>
    <t>FQFO251208000353</t>
  </si>
  <si>
    <t>FWRC251206000081</t>
  </si>
  <si>
    <t>FQFO251208000351</t>
  </si>
  <si>
    <t>DNT - Drone Norte -Uruara</t>
  </si>
  <si>
    <t>FWRC251206000082</t>
  </si>
  <si>
    <t>FQFO251208000218</t>
  </si>
  <si>
    <t>FWRC251205000113</t>
  </si>
  <si>
    <t>FQFO251208000212</t>
  </si>
  <si>
    <t>FWRC251205000109</t>
  </si>
  <si>
    <t>FQFO251208000208</t>
  </si>
  <si>
    <t>FWRC251205000114</t>
  </si>
  <si>
    <t>FQFO251208000178</t>
  </si>
  <si>
    <t>FWRC251205000119</t>
  </si>
  <si>
    <t>FQFO251208000073</t>
  </si>
  <si>
    <t>FWRC251206000146</t>
  </si>
  <si>
    <t>FQFO251208000026</t>
  </si>
  <si>
    <t>FWRC251204000129</t>
  </si>
  <si>
    <t>FQFO251205000190</t>
  </si>
  <si>
    <t>FWRC251202000252</t>
  </si>
  <si>
    <t>FQFO251204000331</t>
  </si>
  <si>
    <t>AGROVETE-NOVO REPARTIMENTO-PA</t>
  </si>
  <si>
    <t>FWRC251203000177</t>
  </si>
  <si>
    <t>FQFO251204000325</t>
  </si>
  <si>
    <t>FWRC251128000144</t>
  </si>
  <si>
    <t>FQFO251204000088</t>
  </si>
  <si>
    <t>FWRC251203000232</t>
  </si>
  <si>
    <t>FQFO251203000379</t>
  </si>
  <si>
    <t>FWRC251203000187</t>
  </si>
  <si>
    <t>FQFO251203000059</t>
  </si>
  <si>
    <t>Agrominas - Colinas do Tocantins</t>
  </si>
  <si>
    <t>FWRC251203000203</t>
  </si>
  <si>
    <t>FQFO251202000227</t>
  </si>
  <si>
    <t>PARAÍSO DOS DRONES</t>
  </si>
  <si>
    <t>FWRC251117000137</t>
  </si>
  <si>
    <t>FQFO251202000212</t>
  </si>
  <si>
    <t>FWRC251126000275</t>
  </si>
  <si>
    <t>FQFO251201000077</t>
  </si>
  <si>
    <t>FWRC251129000161</t>
  </si>
  <si>
    <t>FQAO260119000001</t>
  </si>
  <si>
    <t>AgroTerra</t>
  </si>
  <si>
    <t>FWRC251218000222</t>
  </si>
  <si>
    <t>FWRC251227000203</t>
  </si>
  <si>
    <t>FWRC251217000245</t>
  </si>
  <si>
    <t>FWRC251216000238</t>
  </si>
  <si>
    <t>FWRC251226000167</t>
  </si>
  <si>
    <t>FWRC251222000219</t>
  </si>
  <si>
    <t>FWRC251218000187</t>
  </si>
  <si>
    <t>FWRC251217000163</t>
  </si>
  <si>
    <t>FWRC251217000161</t>
  </si>
  <si>
    <t>FWRC251217000159</t>
  </si>
  <si>
    <t>FWRC251217000261</t>
  </si>
  <si>
    <t>FWRC251217000250</t>
  </si>
  <si>
    <t>FWRC251216000210</t>
  </si>
  <si>
    <t>FWRC251216000180</t>
  </si>
  <si>
    <t>FWRC251216000166</t>
  </si>
  <si>
    <t>FWRC251206000137</t>
  </si>
  <si>
    <t>FWRC251206000131</t>
  </si>
  <si>
    <t>FWRC251216000214</t>
  </si>
  <si>
    <t>FWRC251216000175</t>
  </si>
  <si>
    <t>FWRC251211000166</t>
  </si>
  <si>
    <t>RURAL DRONE</t>
  </si>
  <si>
    <t>FWRC251231000156</t>
  </si>
  <si>
    <t>FWRC251231000155</t>
  </si>
  <si>
    <t>FWRC251224000220</t>
  </si>
  <si>
    <t>VRJ COMERCIO DE DRONES</t>
  </si>
  <si>
    <t>FWRC251223000249</t>
  </si>
  <si>
    <t>FWRC251222000177</t>
  </si>
  <si>
    <t>FWRC251218000166</t>
  </si>
  <si>
    <t>FWRC251208000178</t>
  </si>
  <si>
    <t>FWRC251231000157</t>
  </si>
  <si>
    <t>FWRC251224000210</t>
  </si>
  <si>
    <t>FWRC251230000183</t>
  </si>
  <si>
    <t>FWRC251219000165</t>
  </si>
  <si>
    <t>PRECILIANO &amp; LOPES LTDA</t>
  </si>
  <si>
    <t>FWRC251010000157</t>
  </si>
  <si>
    <t>Solutec Agro</t>
  </si>
  <si>
    <t>FWRC250716000186</t>
  </si>
  <si>
    <t>调整结算上级</t>
  </si>
  <si>
    <t>FQFO251212000383</t>
  </si>
  <si>
    <t>FQFO251212000344</t>
  </si>
  <si>
    <t>FQFO251212000196</t>
  </si>
  <si>
    <t>FQFO251212000182</t>
  </si>
  <si>
    <t>FQFO251212000174</t>
  </si>
  <si>
    <t>FQFO251211000237</t>
  </si>
  <si>
    <t>FQFO251210000218</t>
  </si>
  <si>
    <t>FQFO251209000280</t>
  </si>
  <si>
    <t>FQFO251208000354</t>
  </si>
  <si>
    <t>FQFO251208000352</t>
  </si>
  <si>
    <t>FQFO251208000219</t>
  </si>
  <si>
    <t>FQFO251208000213</t>
  </si>
  <si>
    <t>FQFO251208000209</t>
  </si>
  <si>
    <t>FQFO251208000179</t>
  </si>
  <si>
    <t>FQFO251208000074</t>
  </si>
  <si>
    <t>FQFO251208000027</t>
  </si>
  <si>
    <t>FQFO251205000191</t>
  </si>
  <si>
    <t>FQFO251204000332</t>
  </si>
  <si>
    <t>FQFO251204000326</t>
  </si>
  <si>
    <t>FQFO251204000089</t>
  </si>
  <si>
    <t>FQFO251203000380</t>
  </si>
  <si>
    <t>FQFO251203000060</t>
  </si>
  <si>
    <t>FQFO251202000228</t>
  </si>
  <si>
    <t>FQFO251202000213</t>
  </si>
  <si>
    <t>FQFO251201000078</t>
  </si>
  <si>
    <t>FQAO260119000002</t>
  </si>
  <si>
    <t>VETTORIZE DRONES</t>
  </si>
  <si>
    <t>FWRC250611000215</t>
  </si>
  <si>
    <t>FWRC250618000314</t>
  </si>
  <si>
    <t>FWRC250925000163</t>
  </si>
  <si>
    <t>FWRC251017000245</t>
  </si>
  <si>
    <t>FWRC251021000213</t>
  </si>
  <si>
    <t>FWRC251031000215</t>
  </si>
  <si>
    <t>AGROGEO COMERCIO E SERVICOS DE ENG E CONSULT FLORESTAL LTDA</t>
  </si>
  <si>
    <t>FWRC251101000192</t>
  </si>
  <si>
    <t>FWRC251104000154</t>
  </si>
  <si>
    <t>FWRC251104000156</t>
  </si>
  <si>
    <t>FWRC251104000159</t>
  </si>
  <si>
    <t>FWRC251104000164</t>
  </si>
  <si>
    <t>FWRC251104000165</t>
  </si>
  <si>
    <t>FWRC251104000169</t>
  </si>
  <si>
    <t>FWRC251104000190</t>
  </si>
  <si>
    <t>FWRC251104000192</t>
  </si>
  <si>
    <t>FWRC251105000222</t>
  </si>
  <si>
    <t>FWRC251105000224</t>
  </si>
  <si>
    <t>FWRC251105000239</t>
  </si>
  <si>
    <t>FWRC251105000247</t>
  </si>
  <si>
    <t>FWRC251105000255</t>
  </si>
  <si>
    <t>FWRC251105000257</t>
  </si>
  <si>
    <t>FWRC251105000264</t>
  </si>
  <si>
    <t>FWRC251105000279</t>
  </si>
  <si>
    <t>FWRC251105000292</t>
  </si>
  <si>
    <t>FWRC251105000306</t>
  </si>
  <si>
    <t>FWRC251107000171</t>
  </si>
  <si>
    <t>FWRC251107000185</t>
  </si>
  <si>
    <t>FWRC251107000193</t>
  </si>
  <si>
    <t>FWRC251108000003</t>
  </si>
  <si>
    <t>FWRC251108000217</t>
  </si>
  <si>
    <t>FWRC251111000178</t>
  </si>
  <si>
    <t>FWRC251111000182</t>
  </si>
  <si>
    <t>FWRC251112000219</t>
  </si>
  <si>
    <t>FWRC251114000212</t>
  </si>
  <si>
    <t>FWRC251117000176</t>
  </si>
  <si>
    <t>FWRC251118000190</t>
  </si>
  <si>
    <t>FWRC251118000191</t>
  </si>
  <si>
    <t>FWRC251118000198</t>
  </si>
  <si>
    <t>FWRC251119000139</t>
  </si>
  <si>
    <t>FWRC251119000242</t>
  </si>
  <si>
    <t>FWRC251119000243</t>
  </si>
  <si>
    <t>FWRC251120000186</t>
  </si>
  <si>
    <t>FWRC251120000189</t>
  </si>
  <si>
    <t>FWRC251120000196</t>
  </si>
  <si>
    <t>FWRC251124000174</t>
  </si>
  <si>
    <t>FWRC251124000186</t>
  </si>
  <si>
    <t>FWRC251125000201</t>
  </si>
  <si>
    <t>FWRC251125000245</t>
  </si>
  <si>
    <t>FWRC251125000247</t>
  </si>
  <si>
    <t>FWRC251125000249</t>
  </si>
  <si>
    <t>FWRC251126000253</t>
  </si>
  <si>
    <t>FWRC251126000287</t>
  </si>
  <si>
    <t>FWRC251126000297</t>
  </si>
  <si>
    <t>FWRC251127000169</t>
  </si>
  <si>
    <t>FWRC251127000251</t>
  </si>
  <si>
    <t>FWRC251127000268</t>
  </si>
  <si>
    <t>FWRC251128000220</t>
  </si>
  <si>
    <t>FWRC251128000222</t>
  </si>
  <si>
    <t>FWRC251128000228</t>
  </si>
  <si>
    <t>FWRC251030000287</t>
  </si>
  <si>
    <t>FWRC251030000285</t>
  </si>
  <si>
    <t>FWRC251029000167</t>
  </si>
  <si>
    <t>FWRC251028000200</t>
  </si>
  <si>
    <t>FWRC251027000173</t>
  </si>
  <si>
    <t>FWRC251027000159</t>
  </si>
  <si>
    <t>FWRC251025000225</t>
  </si>
  <si>
    <t>FWRC251023000153</t>
  </si>
  <si>
    <t>FWRC251020000222</t>
  </si>
  <si>
    <t>FWRC251020000200</t>
  </si>
  <si>
    <t>FWRC251017000135</t>
  </si>
  <si>
    <t>FWRC251016000168</t>
  </si>
  <si>
    <t>FWRC251014000219</t>
  </si>
  <si>
    <t>FWRC251014000218</t>
  </si>
  <si>
    <t>FWRC251014000217</t>
  </si>
  <si>
    <t>FWRC251014000216</t>
  </si>
  <si>
    <t>FWRC251014000214</t>
  </si>
  <si>
    <t>FWRC251014000213</t>
  </si>
  <si>
    <t>FWRC251014000211</t>
  </si>
  <si>
    <t>FWRC251014000209</t>
  </si>
  <si>
    <t>FWRC251014000207</t>
  </si>
  <si>
    <t>FWRC251014000206</t>
  </si>
  <si>
    <t>FWRC251014000204</t>
  </si>
  <si>
    <t>FWRC251014000203</t>
  </si>
  <si>
    <t>FWRC251003000130</t>
  </si>
  <si>
    <t>FWRC251003000117</t>
  </si>
  <si>
    <t>FWRC251002000187</t>
  </si>
  <si>
    <t>FWRC251001000270</t>
  </si>
  <si>
    <t>FWRC250930000173</t>
  </si>
  <si>
    <t>FWRC250930000172</t>
  </si>
  <si>
    <t>FWRC250930000171</t>
  </si>
  <si>
    <t>FWRC250930000170</t>
  </si>
  <si>
    <t>FWRC250930000169</t>
  </si>
  <si>
    <t>FWRC250930000168</t>
  </si>
  <si>
    <t>FWRC250930000167</t>
  </si>
  <si>
    <t>FWRC250930000166</t>
  </si>
  <si>
    <t>FWRC250930000165</t>
  </si>
  <si>
    <t>FWRC250930000164</t>
  </si>
  <si>
    <t>FWRC250929000231</t>
  </si>
  <si>
    <t>FWRC250929000230</t>
  </si>
  <si>
    <t>FWRC250929000228</t>
  </si>
  <si>
    <t>FWRC250924000228</t>
  </si>
  <si>
    <t>FWRC251028000143</t>
  </si>
  <si>
    <t>FWRC251021000239</t>
  </si>
  <si>
    <t>FWRC251018000108</t>
  </si>
  <si>
    <t>FWRC251017000262</t>
  </si>
  <si>
    <t>FWRC251017000258</t>
  </si>
  <si>
    <t>FWRC251013000171</t>
  </si>
  <si>
    <t>FWRC251009000299</t>
  </si>
  <si>
    <t>FWRC251008000188</t>
  </si>
  <si>
    <t>FWRC251030000301</t>
  </si>
  <si>
    <t>FWRC251025000103</t>
  </si>
  <si>
    <t>FWRC251016000222</t>
  </si>
  <si>
    <t>FWRC251014000200</t>
  </si>
  <si>
    <t>FWRC251006000237</t>
  </si>
  <si>
    <t>FWRC251003000228</t>
  </si>
  <si>
    <t>FWRC251021000220</t>
  </si>
  <si>
    <t>FWRC251011000210</t>
  </si>
  <si>
    <t>FWRC251003000226</t>
  </si>
  <si>
    <t>FWRC251027000140</t>
  </si>
  <si>
    <t>FWRC251024000195</t>
  </si>
  <si>
    <t>FWRC251014000159</t>
  </si>
  <si>
    <t>FWRC251002000281</t>
  </si>
  <si>
    <t>FWRC251027000152</t>
  </si>
  <si>
    <t>FWRC250605000308</t>
  </si>
  <si>
    <t>FWRC251020000187</t>
  </si>
  <si>
    <t>FWRC251013000173</t>
  </si>
  <si>
    <t>FWRC251010000195</t>
  </si>
  <si>
    <t>DNT pacaja</t>
  </si>
  <si>
    <t>FWRC251001000177</t>
  </si>
  <si>
    <t>FWRC250924000221</t>
  </si>
  <si>
    <t>FWRC250919000124</t>
  </si>
  <si>
    <t>FWRC250830000176</t>
  </si>
  <si>
    <t>FWRC250903000180</t>
  </si>
  <si>
    <t>FWRC250903000184</t>
  </si>
  <si>
    <t>FWRC250904000291</t>
  </si>
  <si>
    <t>FWRC250910000176</t>
  </si>
  <si>
    <t>FWRC250918000244</t>
  </si>
  <si>
    <t>FWRC250913000194</t>
  </si>
  <si>
    <t>FWRC250829000146</t>
  </si>
  <si>
    <t>FWRC250829000223</t>
  </si>
  <si>
    <t>FWRC250902000109</t>
  </si>
  <si>
    <t>FWRC250904000143</t>
  </si>
  <si>
    <t>FWRC250915000161</t>
  </si>
  <si>
    <t>FWRC250916000261</t>
  </si>
  <si>
    <t>FWRC250916000290</t>
  </si>
  <si>
    <t>FWRC250920000163</t>
  </si>
  <si>
    <t>FWRC250924000207</t>
  </si>
  <si>
    <t>FWRC250924000227</t>
  </si>
  <si>
    <t>FWRC250929000169</t>
  </si>
  <si>
    <t>FWRC250830000082</t>
  </si>
  <si>
    <t>FWRC250911000206</t>
  </si>
  <si>
    <t>FWRC250917000305</t>
  </si>
  <si>
    <t>FWRC250827000168</t>
  </si>
  <si>
    <t>FWRC250904000154</t>
  </si>
  <si>
    <t>FWRC250909000182</t>
  </si>
  <si>
    <t>FWRC250919000145</t>
  </si>
  <si>
    <t>FWRC250813000198</t>
  </si>
  <si>
    <t>FWRC250813000195</t>
  </si>
  <si>
    <t>FWRC250806000179</t>
  </si>
  <si>
    <t>FWRC250804000257</t>
  </si>
  <si>
    <t>FWRC250730000176</t>
  </si>
  <si>
    <t>FWRC250726000209</t>
  </si>
  <si>
    <t>FWRC250812000251</t>
  </si>
  <si>
    <t>FWRC250823000091</t>
  </si>
  <si>
    <t>FWRC250711000215</t>
  </si>
  <si>
    <t>FWRC250721000228</t>
  </si>
  <si>
    <t>FWRC250718000260</t>
  </si>
  <si>
    <t>FWRC250819000168</t>
  </si>
  <si>
    <t>FWRC250806000221</t>
  </si>
  <si>
    <t>FWRC250729000291</t>
  </si>
  <si>
    <t>FWRC250611000223</t>
  </si>
  <si>
    <t>FWRC250826000196</t>
  </si>
  <si>
    <t>FWRC250804000251</t>
  </si>
  <si>
    <t>FWRC250827000181</t>
  </si>
  <si>
    <t>FWRC250806000170</t>
  </si>
  <si>
    <t>FWRC250731000155</t>
  </si>
  <si>
    <t>FWRC250729000295</t>
  </si>
  <si>
    <t>FWRC250728000205</t>
  </si>
  <si>
    <t>FWRC250725000305</t>
  </si>
  <si>
    <t>FWRC250721000225</t>
  </si>
  <si>
    <t>FWRC250718000269</t>
  </si>
  <si>
    <t>FWRC250702000228</t>
  </si>
  <si>
    <t>FWRC250628000185</t>
  </si>
  <si>
    <t>FWRC250627000132</t>
  </si>
  <si>
    <t>FWRC250726000206</t>
  </si>
  <si>
    <t>FWRC250723000191</t>
  </si>
  <si>
    <t>FWRC250701000151</t>
  </si>
  <si>
    <t>FWRC250703000167</t>
  </si>
  <si>
    <t>FWRC250628000177</t>
  </si>
  <si>
    <t>FWRC250704000188</t>
  </si>
  <si>
    <t>FWRC250723000215</t>
  </si>
  <si>
    <t>FWRC250723000172</t>
  </si>
  <si>
    <t>FWRC250712000253</t>
  </si>
  <si>
    <t>SAD SAGA AGRO DRONES TECNOLOGIA E P. A LIMITADA</t>
  </si>
  <si>
    <t>FWRC250714000273</t>
  </si>
  <si>
    <t>FWRC250728000170</t>
  </si>
  <si>
    <t>FWRC250722000261</t>
  </si>
  <si>
    <t>FWRC250717000243</t>
  </si>
  <si>
    <t>FWRC250716000228</t>
  </si>
  <si>
    <t>FWRC250710000271</t>
  </si>
  <si>
    <t>FWRC250709000252</t>
  </si>
  <si>
    <t>FWRC250709000321</t>
  </si>
  <si>
    <t>FWRC250628000183</t>
  </si>
  <si>
    <t>FWRC250628000181</t>
  </si>
  <si>
    <t>FWRC250628000178</t>
  </si>
  <si>
    <t>FWRC250628000173</t>
  </si>
  <si>
    <t>FWRC250627000346</t>
  </si>
  <si>
    <t>FWRC250627000342</t>
  </si>
  <si>
    <t>FWRC250626000257</t>
  </si>
  <si>
    <t>FWRC250626000248</t>
  </si>
  <si>
    <t>FWRC250625000238</t>
  </si>
  <si>
    <t>FWRC250625000229</t>
  </si>
  <si>
    <t>FWRC250625000220</t>
  </si>
  <si>
    <t>FWRC250625000214</t>
  </si>
  <si>
    <t>FWRC250625000206</t>
  </si>
  <si>
    <t>FWRC250624000264</t>
  </si>
  <si>
    <t>FWRC250624000258</t>
  </si>
  <si>
    <t>FWRC250624000247</t>
  </si>
  <si>
    <t>FWRC250617000197</t>
  </si>
  <si>
    <t>FWRC250603000182</t>
  </si>
  <si>
    <t>FWRC250129000151</t>
  </si>
  <si>
    <t>FWRC250627000150</t>
  </si>
  <si>
    <t>FWRC250618000311</t>
  </si>
  <si>
    <t>FWRC250618000310</t>
  </si>
  <si>
    <t>FWRC250613000223</t>
  </si>
  <si>
    <t>FWRC250606000223</t>
  </si>
  <si>
    <t>FWRC250604000218</t>
  </si>
  <si>
    <t>FWRC250627000341</t>
  </si>
  <si>
    <t>FWRC250626000287</t>
  </si>
  <si>
    <t>FWRC250625000222</t>
  </si>
  <si>
    <t>FWRC250610000232</t>
  </si>
  <si>
    <t>FWRC250517000267</t>
  </si>
  <si>
    <t>FWRC250627000344</t>
  </si>
  <si>
    <t>FWRC250531000116</t>
  </si>
  <si>
    <t>FWRC250424000239</t>
  </si>
  <si>
    <t>FWRC250417000154</t>
  </si>
  <si>
    <t>FWRC250614000084</t>
  </si>
  <si>
    <t>FWRC250331000175</t>
  </si>
  <si>
    <t>调整上级，取消结算</t>
  </si>
  <si>
    <t>BC.AG.SS000838.01</t>
  </si>
  <si>
    <t>【T50/T25】航电模块L</t>
  </si>
  <si>
    <t>YC.XC.DD000676.07</t>
  </si>
  <si>
    <t>M1&amp;M2机臂电调复合线</t>
  </si>
  <si>
    <t>BC.AG.SS000700.01</t>
  </si>
  <si>
    <t>【T50/T25】电调模块</t>
  </si>
  <si>
    <t>BC.AG.SS000706.01</t>
  </si>
  <si>
    <t>【T25】10028动力电机</t>
  </si>
  <si>
    <t>BC.AG.SS000690.01</t>
  </si>
  <si>
    <t>【T50/T25】喷洒电源模块</t>
  </si>
  <si>
    <t>BC.AG.SS000939.02.F</t>
  </si>
  <si>
    <t>【T50/T25】前雷达模块</t>
  </si>
  <si>
    <t>BC.AG.SS000860.01</t>
  </si>
  <si>
    <t>称重模块</t>
  </si>
  <si>
    <t>YC.JG.ZS003553.02</t>
  </si>
  <si>
    <t>【T25】反桨（CW）</t>
  </si>
  <si>
    <t>YC.JG.ZS003552.02</t>
  </si>
  <si>
    <t>【T25】正桨（CCW）</t>
  </si>
  <si>
    <t>BC.AG.SS001026.01</t>
  </si>
  <si>
    <t>双目鱼眼视觉（含信号线）</t>
  </si>
  <si>
    <t>CP.AG.00000608.01</t>
  </si>
  <si>
    <t>【T40充电器】T40充电器交流模块（不含输入线）</t>
  </si>
  <si>
    <t>BC.AG.SS000835.01</t>
  </si>
  <si>
    <t>DB1560 智能飞行电池上盖组件</t>
  </si>
  <si>
    <t>BC.AG.SS000724.01</t>
  </si>
  <si>
    <t>C10000 P2智能充电器 AC-DC电源模块</t>
  </si>
  <si>
    <t>BC.AG.SS000677.01</t>
  </si>
  <si>
    <t>【T50/T25】补光灯组件</t>
  </si>
  <si>
    <t>BC.AG.SS000940.02.F</t>
  </si>
  <si>
    <t>【T50/T25】后雷达模块</t>
  </si>
  <si>
    <t>YC.XC.DD000579.05</t>
  </si>
  <si>
    <t>【T25】M1&amp;M2机臂电调复合线A</t>
  </si>
  <si>
    <t>CP.AG.00000277.01</t>
  </si>
  <si>
    <t>T30/T10充电器电源模块（HJ）</t>
  </si>
  <si>
    <t>YC.XC.XX001420.04</t>
  </si>
  <si>
    <t>双目信号线</t>
  </si>
  <si>
    <t>YC.DZ.BC000062.01</t>
  </si>
  <si>
    <t>T30/T10充电器电源模块</t>
  </si>
  <si>
    <t>BC.AG.SS000728.01</t>
  </si>
  <si>
    <t>DB800 智能飞行电池上盖组件</t>
  </si>
  <si>
    <t>YC.XC.XX001002.04</t>
  </si>
  <si>
    <t>【T50/T25】喷洒一分四信号线</t>
  </si>
  <si>
    <t>YC.JG.BJ001760.06</t>
  </si>
  <si>
    <t>【T25】脚架铝管</t>
  </si>
  <si>
    <t>YC.JG.ZS003465.07</t>
  </si>
  <si>
    <t>【T50/T25】脚架固定件（左前）</t>
  </si>
  <si>
    <t>YC.JG.ZS002250.02</t>
  </si>
  <si>
    <t>【T50/T25】水箱盖防水透气盖</t>
  </si>
  <si>
    <t>YC.JG.ZS002389.07</t>
  </si>
  <si>
    <t>【T50/T25】叶轮泵保护罩</t>
  </si>
  <si>
    <t>YC.JG.ZS003467.07</t>
  </si>
  <si>
    <t>【T50/T25】脚架固定件（右后）</t>
  </si>
  <si>
    <t>YC.JG.MY000679.02</t>
  </si>
  <si>
    <t>【T50/T25】水箱盖密封圈</t>
  </si>
  <si>
    <t>YC.XC.DD000574.05</t>
  </si>
  <si>
    <t>【T25】M3&amp;M4机臂电调复合线</t>
  </si>
  <si>
    <t>BC.AG.SS000543.01</t>
  </si>
  <si>
    <t>【T50/T25】叶轮泵电机</t>
  </si>
  <si>
    <t>YC.JG.ZS003452.04</t>
  </si>
  <si>
    <t>【T50/T25】外壳侧盖</t>
  </si>
  <si>
    <t>YC.JG.ZS003400.09</t>
  </si>
  <si>
    <t>【T25】喷杆外壳</t>
  </si>
  <si>
    <t>YC.ST.LL000017.01</t>
  </si>
  <si>
    <t>【T50/T25】螺丝 M30-HC02800070-055030-0003-Y</t>
  </si>
  <si>
    <t>YC.JG.ZS002291.09</t>
  </si>
  <si>
    <t>【T25】喷杆固定座</t>
  </si>
  <si>
    <t>YC.JG.ZS003392.02</t>
  </si>
  <si>
    <t>【T50/T25】叶轮泵支架</t>
  </si>
  <si>
    <t>YC.JG.CS000017.08</t>
  </si>
  <si>
    <t>【T25】水箱（20L）</t>
  </si>
  <si>
    <t>BC.AG.SS000703.01</t>
  </si>
  <si>
    <t>【T25】M2机臂（左前）</t>
  </si>
  <si>
    <t>YC.JG.MQ001280.03</t>
  </si>
  <si>
    <t>【T25】橡胶垫片</t>
  </si>
  <si>
    <t>YC.JG.ZS003466.07</t>
  </si>
  <si>
    <t>【T50/T25】脚架固定件（左后）</t>
  </si>
  <si>
    <t>BC.AG.SS000706.02</t>
  </si>
  <si>
    <t>YC.JG.MQ001292.03</t>
  </si>
  <si>
    <t>【T25】特氟龙垫片</t>
  </si>
  <si>
    <t>YC.JG.ZS003464.07</t>
  </si>
  <si>
    <t>【T50/T25】脚架固定件（右前）</t>
  </si>
  <si>
    <t>YC.XC.XX001109.02</t>
  </si>
  <si>
    <t>【T50/T25】离心喷头转接线</t>
  </si>
  <si>
    <t>BC.AG.SS000861.01</t>
  </si>
  <si>
    <t>负载控制板</t>
  </si>
  <si>
    <t>YC.JG.ZS000984.04</t>
  </si>
  <si>
    <t>【T50/T25】流量计支架</t>
  </si>
  <si>
    <t>YC.JG.ZS003464.04</t>
  </si>
  <si>
    <t>YC.JG.CS000017.05</t>
  </si>
  <si>
    <t>YC.JG.LD000045.02</t>
  </si>
  <si>
    <t>【T25】机臂固定螺栓</t>
  </si>
  <si>
    <t>YC.JG.FP000027.03</t>
  </si>
  <si>
    <t>【T25】电机保护罩</t>
  </si>
  <si>
    <t>YC.XC.DD000575.03</t>
  </si>
  <si>
    <t>【T25】M1&amp;M2机臂电调复合线</t>
  </si>
  <si>
    <t>YC.JG.ZS003397.05</t>
  </si>
  <si>
    <t>【T50/T25】后壳主体</t>
  </si>
  <si>
    <t>YC.JG.ZS003396.06</t>
  </si>
  <si>
    <t>【T50/T25】后壳后盖</t>
  </si>
  <si>
    <t>BC.AG.SS000701.01</t>
  </si>
  <si>
    <t>【T50/T25】锁紧卡扣组件</t>
  </si>
  <si>
    <t>YC.JG.JS000032.02</t>
  </si>
  <si>
    <t>【T50/T25】流量计入水口管</t>
  </si>
  <si>
    <t>BC.AG.SS000702.01</t>
  </si>
  <si>
    <t>【T25】M1机臂（右前）</t>
  </si>
  <si>
    <t>BC.AG.SS000671.03</t>
  </si>
  <si>
    <t>【T50/T25】前视觉组件</t>
  </si>
  <si>
    <t>YC.JG.XW000110.02</t>
  </si>
  <si>
    <t>【T50/T25】脚架横杆（后）</t>
  </si>
  <si>
    <t>YC.XC.XX001012.07</t>
  </si>
  <si>
    <t>【T50/T25】后雷达信号线</t>
  </si>
  <si>
    <t>BC.AG.SS000695.02</t>
  </si>
  <si>
    <t>【T25】分电板模块</t>
  </si>
  <si>
    <t>YC.JG.LD000041.02</t>
  </si>
  <si>
    <t>【T50/T25】锁紧扣固定螺栓</t>
  </si>
  <si>
    <t>YC.JG.QX003012.03</t>
  </si>
  <si>
    <t>【T50/T25】锁紧扣手柄</t>
  </si>
  <si>
    <t>YC.JG.ZS003488.01</t>
  </si>
  <si>
    <t>【T25】电机上盖</t>
  </si>
  <si>
    <t>BC.AG.SS000707.01</t>
  </si>
  <si>
    <t>【T50/T25】电磁阀组件</t>
  </si>
  <si>
    <t>YC.JG.ZS003468.06</t>
  </si>
  <si>
    <t>【T50/T25】脚架三通</t>
  </si>
  <si>
    <t>BC.AG.SS000668.02</t>
  </si>
  <si>
    <t>【T50】10033动力电机</t>
  </si>
  <si>
    <t>BC.AG.SS001093.01</t>
  </si>
  <si>
    <t>四目鱼眼视觉</t>
  </si>
  <si>
    <t>BC.AG.SS000681.02</t>
  </si>
  <si>
    <t>【T50/T25】FPV模块</t>
  </si>
  <si>
    <t>YC.ST.LL000541.01</t>
  </si>
  <si>
    <t>螺丝 M30-HC02380080-094020-5103-Y</t>
  </si>
  <si>
    <t>BC.AG.SS001138.01</t>
  </si>
  <si>
    <t>航电模块（海外）</t>
  </si>
  <si>
    <t>BC.AG.SS000704.01</t>
  </si>
  <si>
    <t>【T25】M3机臂（左后）</t>
  </si>
  <si>
    <t>YC.JG.ZS003412.03</t>
  </si>
  <si>
    <t>【T25】机臂固定件（左）</t>
  </si>
  <si>
    <t>YC.JG.ZS003399.09</t>
  </si>
  <si>
    <t>【T50】喷杆外壳（后）</t>
  </si>
  <si>
    <t>YC.JG.ZS003788.01</t>
  </si>
  <si>
    <t>【T50】下反桨（L-CW）（黑）</t>
  </si>
  <si>
    <t>YC.JG.BJ001821.06</t>
  </si>
  <si>
    <t>【T50】脚架铝管</t>
  </si>
  <si>
    <t>YC.JG.JS000031.05</t>
  </si>
  <si>
    <t>【T50】喷杆波纹管（后）</t>
  </si>
  <si>
    <t>BC.AG.SS000752.01</t>
  </si>
  <si>
    <t>【T50/T25】喷杆螺母</t>
  </si>
  <si>
    <t>YC.JG.ZS003787.01</t>
  </si>
  <si>
    <t>【T50】下正桨（L-CCW）（黑）</t>
  </si>
  <si>
    <t>YC.JG.ZS001964.04</t>
  </si>
  <si>
    <t>上反桨（U-CW）</t>
  </si>
  <si>
    <t>FQFO251216000007</t>
  </si>
  <si>
    <t>CAS-28184541-K5C1L5</t>
  </si>
  <si>
    <t>CAS-28639535-K8G2H1</t>
  </si>
  <si>
    <t>65VPM8MDA56DB9</t>
  </si>
  <si>
    <t>CAS-28183779-C1P1T1</t>
  </si>
  <si>
    <t>CAS-28681373-J0K6H8</t>
  </si>
  <si>
    <t>65VPMCBDA50FKB</t>
  </si>
  <si>
    <t>CAS-27193753-W3Q2P6</t>
  </si>
  <si>
    <t>CAS-28809232-B4S2N3</t>
  </si>
  <si>
    <t>65VPM5LDA55H8M</t>
  </si>
  <si>
    <t>CAS-26315954-H1H7T7</t>
  </si>
  <si>
    <t>CAS-28857157-J3B7J2</t>
  </si>
  <si>
    <t>65VPM8LDA56D24</t>
  </si>
  <si>
    <t>CAS-24996461-M0C4W0</t>
  </si>
  <si>
    <t>CAS-28603987-V4Q2Q0</t>
  </si>
  <si>
    <t>CP.AG.00000784.02</t>
  </si>
  <si>
    <t>DB800 智能飞行电池</t>
  </si>
  <si>
    <t>65UPL3UDA004K1</t>
  </si>
  <si>
    <t>CAS-26634382-J0P2V6</t>
  </si>
  <si>
    <t>CAS-28605194-G8Y3G5</t>
  </si>
  <si>
    <t>65UPM53DA10CXR</t>
  </si>
  <si>
    <t>CAS-26164126-M7P3G3</t>
  </si>
  <si>
    <t>CAS-28604302-K0R9R9</t>
  </si>
  <si>
    <t>65UPM76DA20AY8</t>
  </si>
  <si>
    <t>CAS-26164003-Z2P5M9</t>
  </si>
  <si>
    <t>CAS-28639387-C8M2S6</t>
  </si>
  <si>
    <t>65UPM75DA20A3J</t>
  </si>
  <si>
    <t>CAS-26820662-V5F8D0</t>
  </si>
  <si>
    <t>CAS-28639662-L5X0J6</t>
  </si>
  <si>
    <t>65UPL3TDA004BS</t>
  </si>
  <si>
    <t>CAS-27187053-Z9Z5R0</t>
  </si>
  <si>
    <t>CAS-28681280-Y5F8Q2</t>
  </si>
  <si>
    <t>65UPM5XDA2025D</t>
  </si>
  <si>
    <t>CAS-26817864-R8B5Z2</t>
  </si>
  <si>
    <t>CAS-28809381-B8B3D8</t>
  </si>
  <si>
    <t>CP.AG.00000571.01</t>
  </si>
  <si>
    <t>T20P智能飞行电池</t>
  </si>
  <si>
    <t>57QPLCKDA100HY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</si>
</sst>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\-mm"/>
    <numFmt numFmtId="178" formatCode="0.00_);[Red]\(0.00\)"/>
    <numFmt numFmtId="179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4" fontId="6" fillId="0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7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8" fontId="21" fillId="9" borderId="0" xfId="0" applyNumberFormat="1" applyFont="1" applyFill="1" applyBorder="1" applyAlignment="1">
      <alignment horizontal="right" vertical="center" wrapText="1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179" fontId="21" fillId="10" borderId="0" xfId="0" applyNumberFormat="1" applyFont="1" applyFill="1" applyBorder="1" applyAlignment="1">
      <alignment horizontal="center" vertical="center" wrapText="1"/>
    </xf>
    <xf numFmtId="14" fontId="21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8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D2984947-DEF0-40FC-8BA8-47B33FEF2C43}"/>
    <cellStyle name="常规 4 2 2" xfId="2" xr:uid="{82F8690F-BFBF-4592-A9A2-1BC2F9CC143C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5202-7A1A-4E4E-A889-30B36BE7F297}">
  <sheetPr codeName="Sheet4"/>
  <dimension ref="B1:F18"/>
  <sheetViews>
    <sheetView showGridLines="0" tabSelected="1" zoomScale="85" zoomScaleNormal="85" workbookViewId="0">
      <selection activeCell="E9" sqref="E9"/>
    </sheetView>
  </sheetViews>
  <sheetFormatPr defaultColWidth="9" defaultRowHeight="14.25" x14ac:dyDescent="0.2"/>
  <cols>
    <col min="1" max="1" width="3.375" style="2" customWidth="1"/>
    <col min="2" max="2" width="20.375" style="2" customWidth="1"/>
    <col min="3" max="3" width="8.875" style="2" customWidth="1"/>
    <col min="4" max="4" width="32.875" style="2" customWidth="1"/>
    <col min="5" max="5" width="16.875" style="2" customWidth="1"/>
    <col min="6" max="6" width="54.375" style="2" customWidth="1"/>
    <col min="7" max="7" width="17.75" style="2" customWidth="1"/>
    <col min="8" max="16384" width="9" style="2"/>
  </cols>
  <sheetData>
    <row r="1" spans="2:6" ht="13.5" customHeight="1" x14ac:dyDescent="0.2"/>
    <row r="2" spans="2:6" ht="46.5" customHeight="1" x14ac:dyDescent="0.2">
      <c r="B2" s="47" t="s">
        <v>2</v>
      </c>
      <c r="C2" s="48"/>
      <c r="D2" s="48"/>
      <c r="E2" s="48"/>
      <c r="F2" s="49"/>
    </row>
    <row r="3" spans="2:6" ht="18.75" customHeight="1" x14ac:dyDescent="0.2">
      <c r="B3" s="3" t="s">
        <v>3</v>
      </c>
      <c r="C3" s="50" t="s">
        <v>97</v>
      </c>
      <c r="D3" s="51"/>
      <c r="E3" s="3" t="s">
        <v>4</v>
      </c>
      <c r="F3" s="4" t="s">
        <v>99</v>
      </c>
    </row>
    <row r="4" spans="2:6" ht="18" x14ac:dyDescent="0.2">
      <c r="B4" s="52" t="s">
        <v>5</v>
      </c>
      <c r="C4" s="53"/>
      <c r="D4" s="54"/>
      <c r="E4" s="5" t="s">
        <v>6</v>
      </c>
      <c r="F4" s="6" t="s">
        <v>7</v>
      </c>
    </row>
    <row r="5" spans="2:6" ht="16.899999999999999" customHeight="1" x14ac:dyDescent="0.2">
      <c r="B5" s="7" t="s">
        <v>8</v>
      </c>
      <c r="C5" s="8">
        <v>1</v>
      </c>
      <c r="D5" s="9" t="s">
        <v>9</v>
      </c>
      <c r="E5" s="10">
        <f>SUMIF('Accessories discount'!C:C,F3,'Accessories discount'!M:M)</f>
        <v>0</v>
      </c>
      <c r="F5" s="11"/>
    </row>
    <row r="6" spans="2:6" ht="16.899999999999999" customHeight="1" x14ac:dyDescent="0.2">
      <c r="B6" s="55" t="s">
        <v>10</v>
      </c>
      <c r="C6" s="56"/>
      <c r="D6" s="57"/>
      <c r="E6" s="10">
        <f>E5</f>
        <v>0</v>
      </c>
      <c r="F6" s="12"/>
    </row>
    <row r="7" spans="2:6" ht="16.899999999999999" customHeight="1" x14ac:dyDescent="0.2">
      <c r="B7" s="58" t="s">
        <v>11</v>
      </c>
      <c r="C7" s="13">
        <v>1</v>
      </c>
      <c r="D7" s="9" t="s">
        <v>12</v>
      </c>
      <c r="E7" s="10">
        <f>SUMIF('spare parts fee'!C:C,'monthly bill'!F3,'spare parts fee'!M:M)</f>
        <v>19648.859999999997</v>
      </c>
      <c r="F7" s="12"/>
    </row>
    <row r="8" spans="2:6" ht="16.899999999999999" customHeight="1" x14ac:dyDescent="0.2">
      <c r="B8" s="58"/>
      <c r="C8" s="13">
        <v>2</v>
      </c>
      <c r="D8" s="9" t="s">
        <v>13</v>
      </c>
      <c r="E8" s="14">
        <f>SUMIF('service fee'!C:C,'monthly bill'!F3,'service fee'!M:M)</f>
        <v>672</v>
      </c>
      <c r="F8" s="12"/>
    </row>
    <row r="9" spans="2:6" ht="16.899999999999999" customHeight="1" x14ac:dyDescent="0.2">
      <c r="B9" s="58"/>
      <c r="C9" s="13">
        <v>3</v>
      </c>
      <c r="D9" s="9" t="s">
        <v>14</v>
      </c>
      <c r="E9" s="14">
        <f>SUMIF('incentive labor fee'!C:C,'monthly bill'!F3,'incentive labor fee'!M:M)</f>
        <v>2274.1999999999998</v>
      </c>
      <c r="F9" s="12"/>
    </row>
    <row r="10" spans="2:6" ht="16.899999999999999" customHeight="1" x14ac:dyDescent="0.2">
      <c r="B10" s="58"/>
      <c r="C10" s="13">
        <v>4</v>
      </c>
      <c r="D10" s="9" t="s">
        <v>15</v>
      </c>
      <c r="E10" s="14">
        <f>SUMIF('tariff compensation'!C:C,'monthly bill'!F3,'tariff compensation'!M:M)</f>
        <v>9234.989999999998</v>
      </c>
      <c r="F10" s="12"/>
    </row>
    <row r="11" spans="2:6" ht="16.899999999999999" customHeight="1" x14ac:dyDescent="0.2">
      <c r="B11" s="58"/>
      <c r="C11" s="13">
        <v>5</v>
      </c>
      <c r="D11" s="9" t="s">
        <v>16</v>
      </c>
      <c r="E11" s="14">
        <f>SUMIF('service red-line deduction'!C:C,'monthly bill'!F3,'service red-line deduction'!M:M)</f>
        <v>0</v>
      </c>
      <c r="F11" s="12"/>
    </row>
    <row r="12" spans="2:6" ht="16.899999999999999" customHeight="1" x14ac:dyDescent="0.2">
      <c r="B12" s="58"/>
      <c r="C12" s="13">
        <v>6</v>
      </c>
      <c r="D12" s="9" t="s">
        <v>17</v>
      </c>
      <c r="E12" s="14">
        <f>SUMIF('bad parts deduction'!C:C,'monthly bill'!F3,'bad parts deduction'!M:M)</f>
        <v>-20420.37</v>
      </c>
      <c r="F12" s="12"/>
    </row>
    <row r="13" spans="2:6" ht="16.899999999999999" customHeight="1" x14ac:dyDescent="0.2">
      <c r="B13" s="58"/>
      <c r="C13" s="13">
        <v>7</v>
      </c>
      <c r="D13" s="9" t="s">
        <v>18</v>
      </c>
      <c r="E13" s="14">
        <f>SUMIF('other compensation'!C:C,'monthly bill'!F3,'other compensation'!M:M)</f>
        <v>0</v>
      </c>
      <c r="F13" s="12"/>
    </row>
    <row r="14" spans="2:6" ht="16.899999999999999" customHeight="1" x14ac:dyDescent="0.2">
      <c r="B14" s="58"/>
      <c r="C14" s="13">
        <v>8</v>
      </c>
      <c r="D14" s="9" t="s">
        <v>19</v>
      </c>
      <c r="E14" s="14">
        <f>SUMIF('DOA to CM'!J:J,'monthly bill'!F3,'DOA to CM'!B:B)</f>
        <v>8870</v>
      </c>
      <c r="F14" s="12"/>
    </row>
    <row r="15" spans="2:6" ht="16.899999999999999" customHeight="1" x14ac:dyDescent="0.2">
      <c r="B15" s="55" t="s">
        <v>20</v>
      </c>
      <c r="C15" s="56"/>
      <c r="D15" s="57"/>
      <c r="E15" s="14">
        <f>E7+E8+E11+E12+E13+E14+E10+E9</f>
        <v>20279.679999999997</v>
      </c>
      <c r="F15" s="12"/>
    </row>
    <row r="16" spans="2:6" ht="16.5" x14ac:dyDescent="0.2">
      <c r="B16" s="41" t="s">
        <v>21</v>
      </c>
      <c r="C16" s="42"/>
      <c r="D16" s="43"/>
      <c r="E16" s="15">
        <f>E15+E6</f>
        <v>20279.679999999997</v>
      </c>
      <c r="F16" s="12" t="s">
        <v>22</v>
      </c>
    </row>
    <row r="17" spans="2:6" s="21" customFormat="1" ht="16.5" x14ac:dyDescent="0.2">
      <c r="B17" s="16" t="s">
        <v>23</v>
      </c>
      <c r="C17" s="17">
        <v>1</v>
      </c>
      <c r="D17" s="18" t="s">
        <v>24</v>
      </c>
      <c r="E17" s="19">
        <f>SUMIF('pre-payment balance'!D:D,F3,'pre-payment balance'!K:K)</f>
        <v>0</v>
      </c>
      <c r="F17" s="20"/>
    </row>
    <row r="18" spans="2:6" s="21" customFormat="1" ht="16.5" x14ac:dyDescent="0.2">
      <c r="B18" s="44" t="s">
        <v>25</v>
      </c>
      <c r="C18" s="45"/>
      <c r="D18" s="46"/>
      <c r="E18" s="22">
        <f>E17</f>
        <v>0</v>
      </c>
      <c r="F18" s="1" t="s">
        <v>26</v>
      </c>
    </row>
  </sheetData>
  <mergeCells count="8">
    <mergeCell ref="B16:D16"/>
    <mergeCell ref="B18:D18"/>
    <mergeCell ref="B2:F2"/>
    <mergeCell ref="C3:D3"/>
    <mergeCell ref="B4:D4"/>
    <mergeCell ref="B6:D6"/>
    <mergeCell ref="B7:B14"/>
    <mergeCell ref="B15:D15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213B-144A-4CD4-A304-762BC4E84A60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25" t="s">
        <v>40</v>
      </c>
    </row>
    <row r="3" spans="1:17" x14ac:dyDescent="0.2">
      <c r="A3" t="s">
        <v>100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8515-B52B-4ECB-8620-FDF49FE92EEE}">
  <sheetPr codeName="Sheet6"/>
  <dimension ref="A1:Q60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7.375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customWidth="1"/>
    <col min="8" max="8" width="21.25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customWidth="1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25" t="s">
        <v>40</v>
      </c>
    </row>
    <row r="2" spans="1:17" x14ac:dyDescent="0.2">
      <c r="A2" t="s">
        <v>101</v>
      </c>
      <c r="B2" s="59">
        <v>46006.64984953704</v>
      </c>
      <c r="C2" t="s">
        <v>98</v>
      </c>
      <c r="D2" t="s">
        <v>97</v>
      </c>
      <c r="E2" t="s">
        <v>102</v>
      </c>
      <c r="F2" t="s">
        <v>46</v>
      </c>
      <c r="G2" t="s">
        <v>103</v>
      </c>
      <c r="H2" t="s">
        <v>47</v>
      </c>
      <c r="I2" t="s">
        <v>42</v>
      </c>
      <c r="J2" t="s">
        <v>48</v>
      </c>
      <c r="K2" t="s">
        <v>44</v>
      </c>
      <c r="L2">
        <v>10.08</v>
      </c>
      <c r="M2">
        <v>10.08</v>
      </c>
      <c r="N2">
        <v>55375.8</v>
      </c>
      <c r="Q2">
        <v>202512</v>
      </c>
    </row>
    <row r="3" spans="1:17" x14ac:dyDescent="0.2">
      <c r="A3" t="s">
        <v>104</v>
      </c>
      <c r="B3" s="59">
        <v>46003.807997685188</v>
      </c>
      <c r="C3" t="s">
        <v>98</v>
      </c>
      <c r="D3" t="s">
        <v>97</v>
      </c>
      <c r="F3" t="s">
        <v>46</v>
      </c>
      <c r="G3" t="s">
        <v>105</v>
      </c>
      <c r="H3" t="s">
        <v>47</v>
      </c>
      <c r="I3" t="s">
        <v>42</v>
      </c>
      <c r="J3" t="s">
        <v>48</v>
      </c>
      <c r="K3" t="s">
        <v>44</v>
      </c>
      <c r="L3">
        <v>72.8</v>
      </c>
      <c r="M3">
        <v>72.8</v>
      </c>
      <c r="N3">
        <v>55358.720000000001</v>
      </c>
      <c r="Q3">
        <v>202512</v>
      </c>
    </row>
    <row r="4" spans="1:17" x14ac:dyDescent="0.2">
      <c r="A4" t="s">
        <v>106</v>
      </c>
      <c r="B4" s="59">
        <v>46003.807384259257</v>
      </c>
      <c r="C4" t="s">
        <v>98</v>
      </c>
      <c r="D4" t="s">
        <v>97</v>
      </c>
      <c r="E4" t="s">
        <v>107</v>
      </c>
      <c r="F4" t="s">
        <v>46</v>
      </c>
      <c r="G4" t="s">
        <v>108</v>
      </c>
      <c r="H4" t="s">
        <v>47</v>
      </c>
      <c r="I4" t="s">
        <v>42</v>
      </c>
      <c r="J4" t="s">
        <v>48</v>
      </c>
      <c r="K4" t="s">
        <v>44</v>
      </c>
      <c r="L4">
        <v>86.24</v>
      </c>
      <c r="M4">
        <v>86.24</v>
      </c>
      <c r="N4">
        <v>55278.92</v>
      </c>
      <c r="Q4">
        <v>202512</v>
      </c>
    </row>
    <row r="5" spans="1:17" x14ac:dyDescent="0.2">
      <c r="A5" t="s">
        <v>109</v>
      </c>
      <c r="B5" s="59">
        <v>46003.805300925924</v>
      </c>
      <c r="C5" t="s">
        <v>98</v>
      </c>
      <c r="D5" t="s">
        <v>97</v>
      </c>
      <c r="F5" t="s">
        <v>46</v>
      </c>
      <c r="G5" t="s">
        <v>110</v>
      </c>
      <c r="H5" t="s">
        <v>47</v>
      </c>
      <c r="I5" t="s">
        <v>42</v>
      </c>
      <c r="J5" t="s">
        <v>48</v>
      </c>
      <c r="K5" t="s">
        <v>44</v>
      </c>
      <c r="L5">
        <v>224</v>
      </c>
      <c r="M5">
        <v>224</v>
      </c>
      <c r="N5">
        <v>55185.68</v>
      </c>
      <c r="Q5">
        <v>202512</v>
      </c>
    </row>
    <row r="6" spans="1:17" x14ac:dyDescent="0.2">
      <c r="A6" t="s">
        <v>111</v>
      </c>
      <c r="B6" s="59">
        <v>46003.805162037039</v>
      </c>
      <c r="C6" t="s">
        <v>98</v>
      </c>
      <c r="D6" t="s">
        <v>97</v>
      </c>
      <c r="F6" t="s">
        <v>46</v>
      </c>
      <c r="G6" t="s">
        <v>112</v>
      </c>
      <c r="H6" t="s">
        <v>47</v>
      </c>
      <c r="I6" t="s">
        <v>42</v>
      </c>
      <c r="J6" t="s">
        <v>48</v>
      </c>
      <c r="K6" t="s">
        <v>44</v>
      </c>
      <c r="L6">
        <v>261.25</v>
      </c>
      <c r="M6">
        <v>261.25</v>
      </c>
      <c r="N6">
        <v>54954.68</v>
      </c>
      <c r="Q6">
        <v>202512</v>
      </c>
    </row>
    <row r="7" spans="1:17" x14ac:dyDescent="0.2">
      <c r="A7" t="s">
        <v>113</v>
      </c>
      <c r="B7" s="59">
        <v>46003.805046296293</v>
      </c>
      <c r="C7" t="s">
        <v>98</v>
      </c>
      <c r="D7" t="s">
        <v>97</v>
      </c>
      <c r="F7" t="s">
        <v>46</v>
      </c>
      <c r="G7" t="s">
        <v>114</v>
      </c>
      <c r="H7" t="s">
        <v>47</v>
      </c>
      <c r="I7" t="s">
        <v>42</v>
      </c>
      <c r="J7" t="s">
        <v>48</v>
      </c>
      <c r="K7" t="s">
        <v>44</v>
      </c>
      <c r="L7">
        <v>358</v>
      </c>
      <c r="M7">
        <v>358</v>
      </c>
      <c r="N7">
        <v>54686.43</v>
      </c>
      <c r="Q7">
        <v>202512</v>
      </c>
    </row>
    <row r="8" spans="1:17" x14ac:dyDescent="0.2">
      <c r="A8" t="s">
        <v>115</v>
      </c>
      <c r="B8" s="59">
        <v>46002.820011574076</v>
      </c>
      <c r="C8" t="s">
        <v>98</v>
      </c>
      <c r="D8" t="s">
        <v>97</v>
      </c>
      <c r="F8" t="s">
        <v>46</v>
      </c>
      <c r="G8" t="s">
        <v>116</v>
      </c>
      <c r="H8" t="s">
        <v>47</v>
      </c>
      <c r="I8" t="s">
        <v>42</v>
      </c>
      <c r="J8" t="s">
        <v>48</v>
      </c>
      <c r="K8" t="s">
        <v>44</v>
      </c>
      <c r="L8">
        <v>432</v>
      </c>
      <c r="M8">
        <v>432</v>
      </c>
      <c r="N8">
        <v>54301.43</v>
      </c>
      <c r="Q8">
        <v>202512</v>
      </c>
    </row>
    <row r="9" spans="1:17" x14ac:dyDescent="0.2">
      <c r="A9" t="s">
        <v>117</v>
      </c>
      <c r="B9" s="59">
        <v>46001.794733796298</v>
      </c>
      <c r="C9" t="s">
        <v>98</v>
      </c>
      <c r="D9" t="s">
        <v>97</v>
      </c>
      <c r="E9" t="s">
        <v>118</v>
      </c>
      <c r="F9" t="s">
        <v>46</v>
      </c>
      <c r="G9" t="s">
        <v>119</v>
      </c>
      <c r="H9" t="s">
        <v>47</v>
      </c>
      <c r="I9" t="s">
        <v>42</v>
      </c>
      <c r="J9" t="s">
        <v>48</v>
      </c>
      <c r="K9" t="s">
        <v>44</v>
      </c>
      <c r="L9">
        <v>570</v>
      </c>
      <c r="M9">
        <v>570</v>
      </c>
      <c r="N9">
        <v>53862.43</v>
      </c>
      <c r="Q9">
        <v>202512</v>
      </c>
    </row>
    <row r="10" spans="1:17" x14ac:dyDescent="0.2">
      <c r="A10" t="s">
        <v>120</v>
      </c>
      <c r="B10" s="59">
        <v>46000.869571759256</v>
      </c>
      <c r="C10" t="s">
        <v>98</v>
      </c>
      <c r="D10" t="s">
        <v>97</v>
      </c>
      <c r="F10" t="s">
        <v>46</v>
      </c>
      <c r="G10" t="s">
        <v>121</v>
      </c>
      <c r="H10" t="s">
        <v>47</v>
      </c>
      <c r="I10" t="s">
        <v>42</v>
      </c>
      <c r="J10" t="s">
        <v>48</v>
      </c>
      <c r="K10" t="s">
        <v>44</v>
      </c>
      <c r="L10">
        <v>27</v>
      </c>
      <c r="M10">
        <v>27</v>
      </c>
      <c r="N10">
        <v>53285.43</v>
      </c>
      <c r="Q10">
        <v>202512</v>
      </c>
    </row>
    <row r="11" spans="1:17" x14ac:dyDescent="0.2">
      <c r="A11" t="s">
        <v>122</v>
      </c>
      <c r="B11" s="59">
        <v>45999.666539351849</v>
      </c>
      <c r="C11" t="s">
        <v>98</v>
      </c>
      <c r="D11" t="s">
        <v>97</v>
      </c>
      <c r="E11" t="s">
        <v>118</v>
      </c>
      <c r="F11" t="s">
        <v>46</v>
      </c>
      <c r="G11" t="s">
        <v>123</v>
      </c>
      <c r="H11" t="s">
        <v>47</v>
      </c>
      <c r="I11" t="s">
        <v>42</v>
      </c>
      <c r="J11" t="s">
        <v>48</v>
      </c>
      <c r="K11" t="s">
        <v>44</v>
      </c>
      <c r="L11">
        <v>432</v>
      </c>
      <c r="M11">
        <v>432</v>
      </c>
      <c r="N11">
        <v>53231.43</v>
      </c>
      <c r="Q11">
        <v>202512</v>
      </c>
    </row>
    <row r="12" spans="1:17" x14ac:dyDescent="0.2">
      <c r="A12" t="s">
        <v>124</v>
      </c>
      <c r="B12" s="59">
        <v>45999.66646990741</v>
      </c>
      <c r="C12" t="s">
        <v>98</v>
      </c>
      <c r="D12" t="s">
        <v>97</v>
      </c>
      <c r="E12" t="s">
        <v>125</v>
      </c>
      <c r="F12" t="s">
        <v>46</v>
      </c>
      <c r="G12" t="s">
        <v>126</v>
      </c>
      <c r="H12" t="s">
        <v>47</v>
      </c>
      <c r="I12" t="s">
        <v>42</v>
      </c>
      <c r="J12" t="s">
        <v>48</v>
      </c>
      <c r="K12" t="s">
        <v>44</v>
      </c>
      <c r="L12">
        <v>570</v>
      </c>
      <c r="M12">
        <v>570</v>
      </c>
      <c r="N12">
        <v>52792.43</v>
      </c>
      <c r="Q12">
        <v>202512</v>
      </c>
    </row>
    <row r="13" spans="1:17" x14ac:dyDescent="0.2">
      <c r="A13" t="s">
        <v>127</v>
      </c>
      <c r="B13" s="59">
        <v>45999.66138888889</v>
      </c>
      <c r="C13" t="s">
        <v>98</v>
      </c>
      <c r="D13" t="s">
        <v>97</v>
      </c>
      <c r="F13" t="s">
        <v>46</v>
      </c>
      <c r="G13" t="s">
        <v>128</v>
      </c>
      <c r="H13" t="s">
        <v>47</v>
      </c>
      <c r="I13" t="s">
        <v>42</v>
      </c>
      <c r="J13" t="s">
        <v>48</v>
      </c>
      <c r="K13" t="s">
        <v>44</v>
      </c>
      <c r="L13">
        <v>224</v>
      </c>
      <c r="M13">
        <v>224</v>
      </c>
      <c r="N13">
        <v>52215.43</v>
      </c>
      <c r="Q13">
        <v>202512</v>
      </c>
    </row>
    <row r="14" spans="1:17" x14ac:dyDescent="0.2">
      <c r="A14" t="s">
        <v>129</v>
      </c>
      <c r="B14" s="59">
        <v>45999.661296296297</v>
      </c>
      <c r="C14" t="s">
        <v>98</v>
      </c>
      <c r="D14" t="s">
        <v>97</v>
      </c>
      <c r="E14" t="s">
        <v>118</v>
      </c>
      <c r="F14" t="s">
        <v>46</v>
      </c>
      <c r="G14" t="s">
        <v>130</v>
      </c>
      <c r="H14" t="s">
        <v>47</v>
      </c>
      <c r="I14" t="s">
        <v>42</v>
      </c>
      <c r="J14" t="s">
        <v>48</v>
      </c>
      <c r="K14" t="s">
        <v>44</v>
      </c>
      <c r="L14">
        <v>432</v>
      </c>
      <c r="M14">
        <v>432</v>
      </c>
      <c r="N14">
        <v>51964.43</v>
      </c>
      <c r="Q14">
        <v>202512</v>
      </c>
    </row>
    <row r="15" spans="1:17" x14ac:dyDescent="0.2">
      <c r="A15" t="s">
        <v>131</v>
      </c>
      <c r="B15" s="59">
        <v>45999.661226851851</v>
      </c>
      <c r="C15" t="s">
        <v>98</v>
      </c>
      <c r="D15" t="s">
        <v>97</v>
      </c>
      <c r="F15" t="s">
        <v>46</v>
      </c>
      <c r="G15" t="s">
        <v>132</v>
      </c>
      <c r="H15" t="s">
        <v>47</v>
      </c>
      <c r="I15" t="s">
        <v>42</v>
      </c>
      <c r="J15" t="s">
        <v>48</v>
      </c>
      <c r="K15" t="s">
        <v>44</v>
      </c>
      <c r="L15">
        <v>224</v>
      </c>
      <c r="M15">
        <v>224</v>
      </c>
      <c r="N15">
        <v>51525.43</v>
      </c>
      <c r="Q15">
        <v>202512</v>
      </c>
    </row>
    <row r="16" spans="1:17" x14ac:dyDescent="0.2">
      <c r="A16" t="s">
        <v>133</v>
      </c>
      <c r="B16" s="59">
        <v>45999.660486111112</v>
      </c>
      <c r="C16" t="s">
        <v>98</v>
      </c>
      <c r="D16" t="s">
        <v>97</v>
      </c>
      <c r="F16" t="s">
        <v>46</v>
      </c>
      <c r="G16" t="s">
        <v>134</v>
      </c>
      <c r="H16" t="s">
        <v>47</v>
      </c>
      <c r="I16" t="s">
        <v>42</v>
      </c>
      <c r="J16" t="s">
        <v>48</v>
      </c>
      <c r="K16" t="s">
        <v>44</v>
      </c>
      <c r="L16">
        <v>181.44</v>
      </c>
      <c r="M16">
        <v>181.44</v>
      </c>
      <c r="N16">
        <v>51294.43</v>
      </c>
      <c r="Q16">
        <v>202512</v>
      </c>
    </row>
    <row r="17" spans="1:17" x14ac:dyDescent="0.2">
      <c r="A17" t="s">
        <v>135</v>
      </c>
      <c r="B17" s="59">
        <v>45999.657453703701</v>
      </c>
      <c r="C17" t="s">
        <v>98</v>
      </c>
      <c r="D17" t="s">
        <v>97</v>
      </c>
      <c r="E17" t="s">
        <v>125</v>
      </c>
      <c r="F17" t="s">
        <v>46</v>
      </c>
      <c r="G17" t="s">
        <v>136</v>
      </c>
      <c r="H17" t="s">
        <v>47</v>
      </c>
      <c r="I17" t="s">
        <v>42</v>
      </c>
      <c r="J17" t="s">
        <v>48</v>
      </c>
      <c r="K17" t="s">
        <v>44</v>
      </c>
      <c r="L17">
        <v>1049.17</v>
      </c>
      <c r="M17">
        <v>1049.17</v>
      </c>
      <c r="N17">
        <v>51105.99</v>
      </c>
      <c r="Q17">
        <v>202512</v>
      </c>
    </row>
    <row r="18" spans="1:17" x14ac:dyDescent="0.2">
      <c r="A18" t="s">
        <v>137</v>
      </c>
      <c r="B18" s="59">
        <v>45999.654247685183</v>
      </c>
      <c r="C18" t="s">
        <v>98</v>
      </c>
      <c r="D18" t="s">
        <v>97</v>
      </c>
      <c r="F18" t="s">
        <v>46</v>
      </c>
      <c r="G18" t="s">
        <v>138</v>
      </c>
      <c r="H18" t="s">
        <v>47</v>
      </c>
      <c r="I18" t="s">
        <v>42</v>
      </c>
      <c r="J18" t="s">
        <v>48</v>
      </c>
      <c r="K18" t="s">
        <v>44</v>
      </c>
      <c r="L18">
        <v>261.25</v>
      </c>
      <c r="M18">
        <v>261.25</v>
      </c>
      <c r="N18">
        <v>50049.82</v>
      </c>
      <c r="Q18">
        <v>202512</v>
      </c>
    </row>
    <row r="19" spans="1:17" x14ac:dyDescent="0.2">
      <c r="A19" t="s">
        <v>139</v>
      </c>
      <c r="B19" s="59">
        <v>45996.7965625</v>
      </c>
      <c r="C19" t="s">
        <v>98</v>
      </c>
      <c r="D19" t="s">
        <v>97</v>
      </c>
      <c r="E19" t="s">
        <v>125</v>
      </c>
      <c r="F19" t="s">
        <v>46</v>
      </c>
      <c r="G19" t="s">
        <v>140</v>
      </c>
      <c r="H19" t="s">
        <v>47</v>
      </c>
      <c r="I19" t="s">
        <v>42</v>
      </c>
      <c r="J19" t="s">
        <v>48</v>
      </c>
      <c r="K19" t="s">
        <v>44</v>
      </c>
      <c r="L19">
        <v>90</v>
      </c>
      <c r="M19">
        <v>90</v>
      </c>
      <c r="N19">
        <v>49781.57</v>
      </c>
      <c r="Q19">
        <v>202512</v>
      </c>
    </row>
    <row r="20" spans="1:17" x14ac:dyDescent="0.2">
      <c r="A20" t="s">
        <v>141</v>
      </c>
      <c r="B20" s="59">
        <v>45995.864918981482</v>
      </c>
      <c r="C20" t="s">
        <v>98</v>
      </c>
      <c r="D20" t="s">
        <v>97</v>
      </c>
      <c r="E20" t="s">
        <v>142</v>
      </c>
      <c r="F20" t="s">
        <v>46</v>
      </c>
      <c r="G20" t="s">
        <v>143</v>
      </c>
      <c r="H20" t="s">
        <v>47</v>
      </c>
      <c r="I20" t="s">
        <v>42</v>
      </c>
      <c r="J20" t="s">
        <v>48</v>
      </c>
      <c r="K20" t="s">
        <v>44</v>
      </c>
      <c r="L20">
        <v>570</v>
      </c>
      <c r="M20">
        <v>570</v>
      </c>
      <c r="N20">
        <v>49684.57</v>
      </c>
      <c r="Q20">
        <v>202512</v>
      </c>
    </row>
    <row r="21" spans="1:17" x14ac:dyDescent="0.2">
      <c r="A21" t="s">
        <v>144</v>
      </c>
      <c r="B21" s="59">
        <v>45995.864849537036</v>
      </c>
      <c r="C21" t="s">
        <v>98</v>
      </c>
      <c r="D21" t="s">
        <v>97</v>
      </c>
      <c r="F21" t="s">
        <v>46</v>
      </c>
      <c r="G21" t="s">
        <v>145</v>
      </c>
      <c r="H21" t="s">
        <v>47</v>
      </c>
      <c r="I21" t="s">
        <v>42</v>
      </c>
      <c r="J21" t="s">
        <v>48</v>
      </c>
      <c r="K21" t="s">
        <v>44</v>
      </c>
      <c r="L21">
        <v>317</v>
      </c>
      <c r="M21">
        <v>317</v>
      </c>
      <c r="N21">
        <v>49107.57</v>
      </c>
      <c r="Q21">
        <v>202512</v>
      </c>
    </row>
    <row r="22" spans="1:17" x14ac:dyDescent="0.2">
      <c r="A22" t="s">
        <v>146</v>
      </c>
      <c r="B22" s="59">
        <v>45995.860046296293</v>
      </c>
      <c r="C22" t="s">
        <v>98</v>
      </c>
      <c r="D22" t="s">
        <v>97</v>
      </c>
      <c r="E22" t="s">
        <v>118</v>
      </c>
      <c r="F22" t="s">
        <v>46</v>
      </c>
      <c r="G22" t="s">
        <v>147</v>
      </c>
      <c r="H22" t="s">
        <v>47</v>
      </c>
      <c r="I22" t="s">
        <v>42</v>
      </c>
      <c r="J22" t="s">
        <v>48</v>
      </c>
      <c r="K22" t="s">
        <v>44</v>
      </c>
      <c r="L22">
        <v>117</v>
      </c>
      <c r="M22">
        <v>117</v>
      </c>
      <c r="N22">
        <v>48783.57</v>
      </c>
      <c r="Q22">
        <v>202512</v>
      </c>
    </row>
    <row r="23" spans="1:17" x14ac:dyDescent="0.2">
      <c r="A23" t="s">
        <v>148</v>
      </c>
      <c r="B23" s="59">
        <v>45994.826608796298</v>
      </c>
      <c r="C23" t="s">
        <v>98</v>
      </c>
      <c r="D23" t="s">
        <v>97</v>
      </c>
      <c r="E23" t="s">
        <v>107</v>
      </c>
      <c r="F23" t="s">
        <v>46</v>
      </c>
      <c r="G23" t="s">
        <v>149</v>
      </c>
      <c r="H23" t="s">
        <v>47</v>
      </c>
      <c r="I23" t="s">
        <v>42</v>
      </c>
      <c r="J23" t="s">
        <v>48</v>
      </c>
      <c r="K23" t="s">
        <v>44</v>
      </c>
      <c r="L23">
        <v>422.24</v>
      </c>
      <c r="M23">
        <v>422.24</v>
      </c>
      <c r="N23">
        <v>48639.57</v>
      </c>
      <c r="Q23">
        <v>202512</v>
      </c>
    </row>
    <row r="24" spans="1:17" x14ac:dyDescent="0.2">
      <c r="A24" t="s">
        <v>150</v>
      </c>
      <c r="B24" s="59">
        <v>45994.816921296297</v>
      </c>
      <c r="C24" t="s">
        <v>98</v>
      </c>
      <c r="D24" t="s">
        <v>97</v>
      </c>
      <c r="E24" t="s">
        <v>151</v>
      </c>
      <c r="F24" t="s">
        <v>46</v>
      </c>
      <c r="G24" t="s">
        <v>152</v>
      </c>
      <c r="H24" t="s">
        <v>47</v>
      </c>
      <c r="I24" t="s">
        <v>42</v>
      </c>
      <c r="J24" t="s">
        <v>48</v>
      </c>
      <c r="K24" t="s">
        <v>44</v>
      </c>
      <c r="L24">
        <v>83.32</v>
      </c>
      <c r="M24">
        <v>83.32</v>
      </c>
      <c r="N24">
        <v>48210.33</v>
      </c>
      <c r="Q24">
        <v>202512</v>
      </c>
    </row>
    <row r="25" spans="1:17" x14ac:dyDescent="0.2">
      <c r="A25" t="s">
        <v>153</v>
      </c>
      <c r="B25" s="59">
        <v>45993.881307870368</v>
      </c>
      <c r="C25" t="s">
        <v>98</v>
      </c>
      <c r="D25" t="s">
        <v>97</v>
      </c>
      <c r="E25" t="s">
        <v>154</v>
      </c>
      <c r="F25" t="s">
        <v>46</v>
      </c>
      <c r="G25" t="s">
        <v>155</v>
      </c>
      <c r="H25" t="s">
        <v>47</v>
      </c>
      <c r="I25" t="s">
        <v>42</v>
      </c>
      <c r="J25" t="s">
        <v>48</v>
      </c>
      <c r="K25" t="s">
        <v>44</v>
      </c>
      <c r="L25">
        <v>415.34</v>
      </c>
      <c r="M25">
        <v>415.34</v>
      </c>
      <c r="N25">
        <v>48120.01</v>
      </c>
      <c r="Q25">
        <v>202512</v>
      </c>
    </row>
    <row r="26" spans="1:17" x14ac:dyDescent="0.2">
      <c r="A26" t="s">
        <v>156</v>
      </c>
      <c r="B26" s="59">
        <v>45993.88108796296</v>
      </c>
      <c r="C26" t="s">
        <v>98</v>
      </c>
      <c r="D26" t="s">
        <v>97</v>
      </c>
      <c r="F26" t="s">
        <v>46</v>
      </c>
      <c r="G26" t="s">
        <v>157</v>
      </c>
      <c r="H26" t="s">
        <v>47</v>
      </c>
      <c r="I26" t="s">
        <v>42</v>
      </c>
      <c r="J26" t="s">
        <v>48</v>
      </c>
      <c r="K26" t="s">
        <v>44</v>
      </c>
      <c r="L26">
        <v>317</v>
      </c>
      <c r="M26">
        <v>317</v>
      </c>
      <c r="N26">
        <v>47697.67</v>
      </c>
      <c r="Q26">
        <v>202512</v>
      </c>
    </row>
    <row r="27" spans="1:17" x14ac:dyDescent="0.2">
      <c r="A27" t="s">
        <v>158</v>
      </c>
      <c r="B27" s="59">
        <v>45992.683530092596</v>
      </c>
      <c r="C27" t="s">
        <v>98</v>
      </c>
      <c r="D27" t="s">
        <v>97</v>
      </c>
      <c r="F27" t="s">
        <v>46</v>
      </c>
      <c r="G27" t="s">
        <v>159</v>
      </c>
      <c r="H27" t="s">
        <v>47</v>
      </c>
      <c r="I27" t="s">
        <v>42</v>
      </c>
      <c r="J27" t="s">
        <v>48</v>
      </c>
      <c r="K27" t="s">
        <v>44</v>
      </c>
      <c r="L27">
        <v>624</v>
      </c>
      <c r="M27">
        <v>624</v>
      </c>
      <c r="N27">
        <v>47364.67</v>
      </c>
      <c r="Q27">
        <v>202512</v>
      </c>
    </row>
    <row r="28" spans="1:17" x14ac:dyDescent="0.2">
      <c r="A28" t="s">
        <v>160</v>
      </c>
      <c r="C28" t="s">
        <v>98</v>
      </c>
      <c r="D28" t="s">
        <v>97</v>
      </c>
      <c r="E28" t="s">
        <v>161</v>
      </c>
      <c r="F28" t="s">
        <v>46</v>
      </c>
      <c r="G28" t="s">
        <v>162</v>
      </c>
      <c r="H28" t="s">
        <v>47</v>
      </c>
      <c r="I28" t="s">
        <v>42</v>
      </c>
      <c r="J28" t="s">
        <v>48</v>
      </c>
      <c r="K28" t="s">
        <v>44</v>
      </c>
      <c r="L28">
        <v>72.8</v>
      </c>
      <c r="M28">
        <v>72.8</v>
      </c>
      <c r="Q28">
        <v>202512</v>
      </c>
    </row>
    <row r="29" spans="1:17" x14ac:dyDescent="0.2">
      <c r="A29" t="s">
        <v>160</v>
      </c>
      <c r="C29" t="s">
        <v>98</v>
      </c>
      <c r="D29" t="s">
        <v>97</v>
      </c>
      <c r="E29" t="s">
        <v>125</v>
      </c>
      <c r="F29" t="s">
        <v>46</v>
      </c>
      <c r="G29" t="s">
        <v>163</v>
      </c>
      <c r="H29" t="s">
        <v>47</v>
      </c>
      <c r="I29" t="s">
        <v>42</v>
      </c>
      <c r="J29" t="s">
        <v>48</v>
      </c>
      <c r="K29" t="s">
        <v>44</v>
      </c>
      <c r="L29">
        <v>149</v>
      </c>
      <c r="M29">
        <v>149</v>
      </c>
      <c r="Q29">
        <v>202512</v>
      </c>
    </row>
    <row r="30" spans="1:17" x14ac:dyDescent="0.2">
      <c r="A30" t="s">
        <v>160</v>
      </c>
      <c r="C30" t="s">
        <v>98</v>
      </c>
      <c r="D30" t="s">
        <v>97</v>
      </c>
      <c r="E30" t="s">
        <v>125</v>
      </c>
      <c r="F30" t="s">
        <v>46</v>
      </c>
      <c r="G30" t="s">
        <v>164</v>
      </c>
      <c r="H30" t="s">
        <v>47</v>
      </c>
      <c r="I30" t="s">
        <v>42</v>
      </c>
      <c r="J30" t="s">
        <v>48</v>
      </c>
      <c r="K30" t="s">
        <v>44</v>
      </c>
      <c r="L30">
        <v>149</v>
      </c>
      <c r="M30">
        <v>149</v>
      </c>
      <c r="Q30">
        <v>202512</v>
      </c>
    </row>
    <row r="31" spans="1:17" x14ac:dyDescent="0.2">
      <c r="A31" t="s">
        <v>160</v>
      </c>
      <c r="C31" t="s">
        <v>98</v>
      </c>
      <c r="D31" t="s">
        <v>97</v>
      </c>
      <c r="E31" t="s">
        <v>125</v>
      </c>
      <c r="F31" t="s">
        <v>46</v>
      </c>
      <c r="G31" t="s">
        <v>165</v>
      </c>
      <c r="H31" t="s">
        <v>47</v>
      </c>
      <c r="I31" t="s">
        <v>42</v>
      </c>
      <c r="J31" t="s">
        <v>48</v>
      </c>
      <c r="K31" t="s">
        <v>44</v>
      </c>
      <c r="L31">
        <v>27</v>
      </c>
      <c r="M31">
        <v>27</v>
      </c>
      <c r="Q31">
        <v>202512</v>
      </c>
    </row>
    <row r="32" spans="1:17" x14ac:dyDescent="0.2">
      <c r="A32" t="s">
        <v>160</v>
      </c>
      <c r="C32" t="s">
        <v>98</v>
      </c>
      <c r="D32" t="s">
        <v>97</v>
      </c>
      <c r="E32" t="s">
        <v>97</v>
      </c>
      <c r="F32" t="s">
        <v>46</v>
      </c>
      <c r="G32" t="s">
        <v>166</v>
      </c>
      <c r="H32" t="s">
        <v>47</v>
      </c>
      <c r="I32" t="s">
        <v>42</v>
      </c>
      <c r="J32" t="s">
        <v>48</v>
      </c>
      <c r="K32" t="s">
        <v>44</v>
      </c>
      <c r="L32">
        <v>432</v>
      </c>
      <c r="M32">
        <v>432</v>
      </c>
      <c r="Q32">
        <v>202512</v>
      </c>
    </row>
    <row r="33" spans="1:17" x14ac:dyDescent="0.2">
      <c r="A33" t="s">
        <v>160</v>
      </c>
      <c r="C33" t="s">
        <v>98</v>
      </c>
      <c r="D33" t="s">
        <v>97</v>
      </c>
      <c r="E33" t="s">
        <v>97</v>
      </c>
      <c r="F33" t="s">
        <v>46</v>
      </c>
      <c r="G33" t="s">
        <v>167</v>
      </c>
      <c r="H33" t="s">
        <v>47</v>
      </c>
      <c r="I33" t="s">
        <v>42</v>
      </c>
      <c r="J33" t="s">
        <v>48</v>
      </c>
      <c r="K33" t="s">
        <v>44</v>
      </c>
      <c r="L33">
        <v>432</v>
      </c>
      <c r="M33">
        <v>432</v>
      </c>
      <c r="Q33">
        <v>202512</v>
      </c>
    </row>
    <row r="34" spans="1:17" x14ac:dyDescent="0.2">
      <c r="A34" t="s">
        <v>160</v>
      </c>
      <c r="C34" t="s">
        <v>98</v>
      </c>
      <c r="D34" t="s">
        <v>97</v>
      </c>
      <c r="E34" t="s">
        <v>97</v>
      </c>
      <c r="F34" t="s">
        <v>46</v>
      </c>
      <c r="G34" t="s">
        <v>168</v>
      </c>
      <c r="H34" t="s">
        <v>47</v>
      </c>
      <c r="I34" t="s">
        <v>42</v>
      </c>
      <c r="J34" t="s">
        <v>48</v>
      </c>
      <c r="K34" t="s">
        <v>44</v>
      </c>
      <c r="L34">
        <v>72.8</v>
      </c>
      <c r="M34">
        <v>72.8</v>
      </c>
      <c r="Q34">
        <v>202512</v>
      </c>
    </row>
    <row r="35" spans="1:17" x14ac:dyDescent="0.2">
      <c r="A35" t="s">
        <v>160</v>
      </c>
      <c r="C35" t="s">
        <v>98</v>
      </c>
      <c r="D35" t="s">
        <v>97</v>
      </c>
      <c r="E35" t="s">
        <v>97</v>
      </c>
      <c r="F35" t="s">
        <v>46</v>
      </c>
      <c r="G35" t="s">
        <v>169</v>
      </c>
      <c r="H35" t="s">
        <v>47</v>
      </c>
      <c r="I35" t="s">
        <v>42</v>
      </c>
      <c r="J35" t="s">
        <v>48</v>
      </c>
      <c r="K35" t="s">
        <v>44</v>
      </c>
      <c r="L35">
        <v>358</v>
      </c>
      <c r="M35">
        <v>358</v>
      </c>
      <c r="Q35">
        <v>202512</v>
      </c>
    </row>
    <row r="36" spans="1:17" x14ac:dyDescent="0.2">
      <c r="A36" t="s">
        <v>160</v>
      </c>
      <c r="C36" t="s">
        <v>98</v>
      </c>
      <c r="D36" t="s">
        <v>97</v>
      </c>
      <c r="E36" t="s">
        <v>97</v>
      </c>
      <c r="F36" t="s">
        <v>46</v>
      </c>
      <c r="G36" t="s">
        <v>170</v>
      </c>
      <c r="H36" t="s">
        <v>47</v>
      </c>
      <c r="I36" t="s">
        <v>42</v>
      </c>
      <c r="J36" t="s">
        <v>48</v>
      </c>
      <c r="K36" t="s">
        <v>44</v>
      </c>
      <c r="L36">
        <v>358</v>
      </c>
      <c r="M36">
        <v>358</v>
      </c>
      <c r="Q36">
        <v>202512</v>
      </c>
    </row>
    <row r="37" spans="1:17" x14ac:dyDescent="0.2">
      <c r="A37" t="s">
        <v>160</v>
      </c>
      <c r="C37" t="s">
        <v>98</v>
      </c>
      <c r="D37" t="s">
        <v>97</v>
      </c>
      <c r="E37" t="s">
        <v>97</v>
      </c>
      <c r="F37" t="s">
        <v>46</v>
      </c>
      <c r="G37" t="s">
        <v>171</v>
      </c>
      <c r="H37" t="s">
        <v>47</v>
      </c>
      <c r="I37" t="s">
        <v>42</v>
      </c>
      <c r="J37" t="s">
        <v>48</v>
      </c>
      <c r="K37" t="s">
        <v>44</v>
      </c>
      <c r="L37">
        <v>432</v>
      </c>
      <c r="M37">
        <v>432</v>
      </c>
      <c r="Q37">
        <v>202512</v>
      </c>
    </row>
    <row r="38" spans="1:17" x14ac:dyDescent="0.2">
      <c r="A38" t="s">
        <v>160</v>
      </c>
      <c r="C38" t="s">
        <v>98</v>
      </c>
      <c r="D38" t="s">
        <v>97</v>
      </c>
      <c r="E38" t="s">
        <v>97</v>
      </c>
      <c r="F38" t="s">
        <v>46</v>
      </c>
      <c r="G38" t="s">
        <v>172</v>
      </c>
      <c r="H38" t="s">
        <v>47</v>
      </c>
      <c r="I38" t="s">
        <v>42</v>
      </c>
      <c r="J38" t="s">
        <v>48</v>
      </c>
      <c r="K38" t="s">
        <v>44</v>
      </c>
      <c r="L38">
        <v>432</v>
      </c>
      <c r="M38">
        <v>432</v>
      </c>
      <c r="Q38">
        <v>202512</v>
      </c>
    </row>
    <row r="39" spans="1:17" x14ac:dyDescent="0.2">
      <c r="A39" t="s">
        <v>160</v>
      </c>
      <c r="C39" t="s">
        <v>98</v>
      </c>
      <c r="D39" t="s">
        <v>97</v>
      </c>
      <c r="E39" t="s">
        <v>97</v>
      </c>
      <c r="F39" t="s">
        <v>46</v>
      </c>
      <c r="G39" t="s">
        <v>173</v>
      </c>
      <c r="H39" t="s">
        <v>47</v>
      </c>
      <c r="I39" t="s">
        <v>42</v>
      </c>
      <c r="J39" t="s">
        <v>48</v>
      </c>
      <c r="K39" t="s">
        <v>44</v>
      </c>
      <c r="L39">
        <v>317</v>
      </c>
      <c r="M39">
        <v>317</v>
      </c>
      <c r="Q39">
        <v>202512</v>
      </c>
    </row>
    <row r="40" spans="1:17" x14ac:dyDescent="0.2">
      <c r="A40" t="s">
        <v>160</v>
      </c>
      <c r="C40" t="s">
        <v>98</v>
      </c>
      <c r="D40" t="s">
        <v>97</v>
      </c>
      <c r="E40" t="s">
        <v>97</v>
      </c>
      <c r="F40" t="s">
        <v>46</v>
      </c>
      <c r="G40" t="s">
        <v>174</v>
      </c>
      <c r="H40" t="s">
        <v>47</v>
      </c>
      <c r="I40" t="s">
        <v>42</v>
      </c>
      <c r="J40" t="s">
        <v>48</v>
      </c>
      <c r="K40" t="s">
        <v>44</v>
      </c>
      <c r="L40">
        <v>501</v>
      </c>
      <c r="M40">
        <v>501</v>
      </c>
      <c r="Q40">
        <v>202512</v>
      </c>
    </row>
    <row r="41" spans="1:17" x14ac:dyDescent="0.2">
      <c r="A41" t="s">
        <v>160</v>
      </c>
      <c r="C41" t="s">
        <v>98</v>
      </c>
      <c r="D41" t="s">
        <v>97</v>
      </c>
      <c r="E41" t="s">
        <v>97</v>
      </c>
      <c r="F41" t="s">
        <v>46</v>
      </c>
      <c r="G41" t="s">
        <v>175</v>
      </c>
      <c r="H41" t="s">
        <v>47</v>
      </c>
      <c r="I41" t="s">
        <v>42</v>
      </c>
      <c r="J41" t="s">
        <v>48</v>
      </c>
      <c r="K41" t="s">
        <v>44</v>
      </c>
      <c r="L41">
        <v>303</v>
      </c>
      <c r="M41">
        <v>303</v>
      </c>
      <c r="Q41">
        <v>202512</v>
      </c>
    </row>
    <row r="42" spans="1:17" x14ac:dyDescent="0.2">
      <c r="A42" t="s">
        <v>160</v>
      </c>
      <c r="C42" t="s">
        <v>98</v>
      </c>
      <c r="D42" t="s">
        <v>97</v>
      </c>
      <c r="E42" t="s">
        <v>97</v>
      </c>
      <c r="F42" t="s">
        <v>46</v>
      </c>
      <c r="G42" t="s">
        <v>176</v>
      </c>
      <c r="H42" t="s">
        <v>47</v>
      </c>
      <c r="I42" t="s">
        <v>42</v>
      </c>
      <c r="J42" t="s">
        <v>48</v>
      </c>
      <c r="K42" t="s">
        <v>44</v>
      </c>
      <c r="L42">
        <v>261.25</v>
      </c>
      <c r="M42">
        <v>261.25</v>
      </c>
      <c r="Q42">
        <v>202512</v>
      </c>
    </row>
    <row r="43" spans="1:17" x14ac:dyDescent="0.2">
      <c r="A43" t="s">
        <v>160</v>
      </c>
      <c r="C43" t="s">
        <v>98</v>
      </c>
      <c r="D43" t="s">
        <v>97</v>
      </c>
      <c r="E43" t="s">
        <v>97</v>
      </c>
      <c r="F43" t="s">
        <v>46</v>
      </c>
      <c r="G43" t="s">
        <v>177</v>
      </c>
      <c r="H43" t="s">
        <v>47</v>
      </c>
      <c r="I43" t="s">
        <v>42</v>
      </c>
      <c r="J43" t="s">
        <v>48</v>
      </c>
      <c r="K43" t="s">
        <v>44</v>
      </c>
      <c r="L43">
        <v>525</v>
      </c>
      <c r="M43">
        <v>525</v>
      </c>
      <c r="Q43">
        <v>202512</v>
      </c>
    </row>
    <row r="44" spans="1:17" x14ac:dyDescent="0.2">
      <c r="A44" t="s">
        <v>160</v>
      </c>
      <c r="C44" t="s">
        <v>98</v>
      </c>
      <c r="D44" t="s">
        <v>97</v>
      </c>
      <c r="E44" t="s">
        <v>97</v>
      </c>
      <c r="F44" t="s">
        <v>46</v>
      </c>
      <c r="G44" t="s">
        <v>178</v>
      </c>
      <c r="H44" t="s">
        <v>47</v>
      </c>
      <c r="I44" t="s">
        <v>42</v>
      </c>
      <c r="J44" t="s">
        <v>48</v>
      </c>
      <c r="K44" t="s">
        <v>44</v>
      </c>
      <c r="L44">
        <v>1132.48</v>
      </c>
      <c r="M44">
        <v>1132.48</v>
      </c>
      <c r="Q44">
        <v>202512</v>
      </c>
    </row>
    <row r="45" spans="1:17" x14ac:dyDescent="0.2">
      <c r="A45" t="s">
        <v>160</v>
      </c>
      <c r="C45" t="s">
        <v>98</v>
      </c>
      <c r="D45" t="s">
        <v>97</v>
      </c>
      <c r="E45" t="s">
        <v>107</v>
      </c>
      <c r="F45" t="s">
        <v>46</v>
      </c>
      <c r="G45" t="s">
        <v>179</v>
      </c>
      <c r="H45" t="s">
        <v>47</v>
      </c>
      <c r="I45" t="s">
        <v>42</v>
      </c>
      <c r="J45" t="s">
        <v>48</v>
      </c>
      <c r="K45" t="s">
        <v>44</v>
      </c>
      <c r="L45">
        <v>432</v>
      </c>
      <c r="M45">
        <v>432</v>
      </c>
      <c r="Q45">
        <v>202512</v>
      </c>
    </row>
    <row r="46" spans="1:17" x14ac:dyDescent="0.2">
      <c r="A46" t="s">
        <v>160</v>
      </c>
      <c r="C46" t="s">
        <v>98</v>
      </c>
      <c r="D46" t="s">
        <v>97</v>
      </c>
      <c r="E46" t="s">
        <v>107</v>
      </c>
      <c r="F46" t="s">
        <v>46</v>
      </c>
      <c r="G46" t="s">
        <v>180</v>
      </c>
      <c r="H46" t="s">
        <v>47</v>
      </c>
      <c r="I46" t="s">
        <v>42</v>
      </c>
      <c r="J46" t="s">
        <v>48</v>
      </c>
      <c r="K46" t="s">
        <v>44</v>
      </c>
      <c r="L46">
        <v>501</v>
      </c>
      <c r="M46">
        <v>501</v>
      </c>
      <c r="Q46">
        <v>202512</v>
      </c>
    </row>
    <row r="47" spans="1:17" x14ac:dyDescent="0.2">
      <c r="A47" t="s">
        <v>160</v>
      </c>
      <c r="C47" t="s">
        <v>98</v>
      </c>
      <c r="D47" t="s">
        <v>97</v>
      </c>
      <c r="E47" t="s">
        <v>107</v>
      </c>
      <c r="F47" t="s">
        <v>46</v>
      </c>
      <c r="G47" t="s">
        <v>181</v>
      </c>
      <c r="H47" t="s">
        <v>47</v>
      </c>
      <c r="I47" t="s">
        <v>42</v>
      </c>
      <c r="J47" t="s">
        <v>48</v>
      </c>
      <c r="K47" t="s">
        <v>44</v>
      </c>
      <c r="L47">
        <v>628.89</v>
      </c>
      <c r="M47">
        <v>628.89</v>
      </c>
      <c r="Q47">
        <v>202512</v>
      </c>
    </row>
    <row r="48" spans="1:17" x14ac:dyDescent="0.2">
      <c r="A48" t="s">
        <v>160</v>
      </c>
      <c r="C48" t="s">
        <v>98</v>
      </c>
      <c r="D48" t="s">
        <v>97</v>
      </c>
      <c r="E48" t="s">
        <v>182</v>
      </c>
      <c r="F48" t="s">
        <v>46</v>
      </c>
      <c r="G48" t="s">
        <v>183</v>
      </c>
      <c r="H48" t="s">
        <v>47</v>
      </c>
      <c r="I48" t="s">
        <v>42</v>
      </c>
      <c r="J48" t="s">
        <v>48</v>
      </c>
      <c r="K48" t="s">
        <v>44</v>
      </c>
      <c r="L48">
        <v>14.56</v>
      </c>
      <c r="M48">
        <v>14.56</v>
      </c>
      <c r="Q48">
        <v>202512</v>
      </c>
    </row>
    <row r="49" spans="1:17" x14ac:dyDescent="0.2">
      <c r="A49" t="s">
        <v>160</v>
      </c>
      <c r="C49" t="s">
        <v>98</v>
      </c>
      <c r="D49" t="s">
        <v>97</v>
      </c>
      <c r="E49" t="s">
        <v>182</v>
      </c>
      <c r="F49" t="s">
        <v>46</v>
      </c>
      <c r="G49" t="s">
        <v>184</v>
      </c>
      <c r="H49" t="s">
        <v>47</v>
      </c>
      <c r="I49" t="s">
        <v>42</v>
      </c>
      <c r="J49" t="s">
        <v>48</v>
      </c>
      <c r="K49" t="s">
        <v>44</v>
      </c>
      <c r="L49">
        <v>432</v>
      </c>
      <c r="M49">
        <v>432</v>
      </c>
      <c r="Q49">
        <v>202512</v>
      </c>
    </row>
    <row r="50" spans="1:17" x14ac:dyDescent="0.2">
      <c r="A50" t="s">
        <v>160</v>
      </c>
      <c r="C50" t="s">
        <v>98</v>
      </c>
      <c r="D50" t="s">
        <v>97</v>
      </c>
      <c r="E50" t="s">
        <v>182</v>
      </c>
      <c r="F50" t="s">
        <v>46</v>
      </c>
      <c r="G50" t="s">
        <v>185</v>
      </c>
      <c r="H50" t="s">
        <v>47</v>
      </c>
      <c r="I50" t="s">
        <v>42</v>
      </c>
      <c r="J50" t="s">
        <v>48</v>
      </c>
      <c r="K50" t="s">
        <v>44</v>
      </c>
      <c r="L50">
        <v>432</v>
      </c>
      <c r="M50">
        <v>432</v>
      </c>
      <c r="Q50">
        <v>202512</v>
      </c>
    </row>
    <row r="51" spans="1:17" x14ac:dyDescent="0.2">
      <c r="A51" t="s">
        <v>160</v>
      </c>
      <c r="C51" t="s">
        <v>98</v>
      </c>
      <c r="D51" t="s">
        <v>97</v>
      </c>
      <c r="E51" t="s">
        <v>186</v>
      </c>
      <c r="F51" t="s">
        <v>46</v>
      </c>
      <c r="G51" t="s">
        <v>187</v>
      </c>
      <c r="H51" t="s">
        <v>47</v>
      </c>
      <c r="I51" t="s">
        <v>42</v>
      </c>
      <c r="J51" t="s">
        <v>48</v>
      </c>
      <c r="K51" t="s">
        <v>44</v>
      </c>
      <c r="L51">
        <v>32.479999999999997</v>
      </c>
      <c r="M51">
        <v>32.479999999999997</v>
      </c>
      <c r="Q51">
        <v>202512</v>
      </c>
    </row>
    <row r="52" spans="1:17" x14ac:dyDescent="0.2">
      <c r="A52" t="s">
        <v>160</v>
      </c>
      <c r="C52" t="s">
        <v>98</v>
      </c>
      <c r="D52" t="s">
        <v>97</v>
      </c>
      <c r="E52" t="s">
        <v>186</v>
      </c>
      <c r="F52" t="s">
        <v>46</v>
      </c>
      <c r="G52" t="s">
        <v>188</v>
      </c>
      <c r="H52" t="s">
        <v>47</v>
      </c>
      <c r="I52" t="s">
        <v>42</v>
      </c>
      <c r="J52" t="s">
        <v>48</v>
      </c>
      <c r="K52" t="s">
        <v>44</v>
      </c>
      <c r="L52">
        <v>44</v>
      </c>
      <c r="M52">
        <v>44</v>
      </c>
      <c r="Q52">
        <v>202512</v>
      </c>
    </row>
    <row r="53" spans="1:17" x14ac:dyDescent="0.2">
      <c r="A53" t="s">
        <v>160</v>
      </c>
      <c r="C53" t="s">
        <v>98</v>
      </c>
      <c r="D53" t="s">
        <v>97</v>
      </c>
      <c r="E53" t="s">
        <v>186</v>
      </c>
      <c r="F53" t="s">
        <v>46</v>
      </c>
      <c r="G53" t="s">
        <v>189</v>
      </c>
      <c r="H53" t="s">
        <v>47</v>
      </c>
      <c r="I53" t="s">
        <v>42</v>
      </c>
      <c r="J53" t="s">
        <v>48</v>
      </c>
      <c r="K53" t="s">
        <v>44</v>
      </c>
      <c r="L53">
        <v>476.12</v>
      </c>
      <c r="M53">
        <v>476.12</v>
      </c>
      <c r="Q53">
        <v>202512</v>
      </c>
    </row>
    <row r="54" spans="1:17" x14ac:dyDescent="0.2">
      <c r="A54" t="s">
        <v>160</v>
      </c>
      <c r="C54" t="s">
        <v>98</v>
      </c>
      <c r="D54" t="s">
        <v>97</v>
      </c>
      <c r="E54" t="s">
        <v>186</v>
      </c>
      <c r="F54" t="s">
        <v>46</v>
      </c>
      <c r="G54" t="s">
        <v>190</v>
      </c>
      <c r="H54" t="s">
        <v>47</v>
      </c>
      <c r="I54" t="s">
        <v>42</v>
      </c>
      <c r="J54" t="s">
        <v>48</v>
      </c>
      <c r="K54" t="s">
        <v>44</v>
      </c>
      <c r="L54">
        <v>363.79</v>
      </c>
      <c r="M54">
        <v>363.79</v>
      </c>
      <c r="Q54">
        <v>202512</v>
      </c>
    </row>
    <row r="55" spans="1:17" x14ac:dyDescent="0.2">
      <c r="A55" t="s">
        <v>160</v>
      </c>
      <c r="C55" t="s">
        <v>98</v>
      </c>
      <c r="D55" t="s">
        <v>97</v>
      </c>
      <c r="E55" t="s">
        <v>142</v>
      </c>
      <c r="F55" t="s">
        <v>46</v>
      </c>
      <c r="G55" t="s">
        <v>191</v>
      </c>
      <c r="H55" t="s">
        <v>47</v>
      </c>
      <c r="I55" t="s">
        <v>42</v>
      </c>
      <c r="J55" t="s">
        <v>48</v>
      </c>
      <c r="K55" t="s">
        <v>44</v>
      </c>
      <c r="L55">
        <v>432</v>
      </c>
      <c r="M55">
        <v>432</v>
      </c>
      <c r="Q55">
        <v>202512</v>
      </c>
    </row>
    <row r="56" spans="1:17" x14ac:dyDescent="0.2">
      <c r="A56" t="s">
        <v>160</v>
      </c>
      <c r="C56" t="s">
        <v>98</v>
      </c>
      <c r="D56" t="s">
        <v>97</v>
      </c>
      <c r="E56" t="s">
        <v>142</v>
      </c>
      <c r="F56" t="s">
        <v>46</v>
      </c>
      <c r="G56" t="s">
        <v>192</v>
      </c>
      <c r="H56" t="s">
        <v>47</v>
      </c>
      <c r="I56" t="s">
        <v>42</v>
      </c>
      <c r="J56" t="s">
        <v>48</v>
      </c>
      <c r="K56" t="s">
        <v>44</v>
      </c>
      <c r="L56">
        <v>570</v>
      </c>
      <c r="M56">
        <v>570</v>
      </c>
      <c r="Q56">
        <v>202512</v>
      </c>
    </row>
    <row r="57" spans="1:17" x14ac:dyDescent="0.2">
      <c r="A57" t="s">
        <v>160</v>
      </c>
      <c r="C57" t="s">
        <v>98</v>
      </c>
      <c r="D57" t="s">
        <v>97</v>
      </c>
      <c r="E57" t="s">
        <v>102</v>
      </c>
      <c r="F57" t="s">
        <v>46</v>
      </c>
      <c r="G57" t="s">
        <v>193</v>
      </c>
      <c r="H57" t="s">
        <v>47</v>
      </c>
      <c r="I57" t="s">
        <v>42</v>
      </c>
      <c r="J57" t="s">
        <v>48</v>
      </c>
      <c r="K57" t="s">
        <v>44</v>
      </c>
      <c r="L57">
        <v>227</v>
      </c>
      <c r="M57">
        <v>227</v>
      </c>
      <c r="Q57">
        <v>202512</v>
      </c>
    </row>
    <row r="58" spans="1:17" x14ac:dyDescent="0.2">
      <c r="A58" t="s">
        <v>160</v>
      </c>
      <c r="C58" t="s">
        <v>98</v>
      </c>
      <c r="D58" t="s">
        <v>97</v>
      </c>
      <c r="E58" t="s">
        <v>102</v>
      </c>
      <c r="F58" t="s">
        <v>46</v>
      </c>
      <c r="G58" t="s">
        <v>194</v>
      </c>
      <c r="H58" t="s">
        <v>47</v>
      </c>
      <c r="I58" t="s">
        <v>42</v>
      </c>
      <c r="J58" t="s">
        <v>48</v>
      </c>
      <c r="K58" t="s">
        <v>44</v>
      </c>
      <c r="L58">
        <v>149</v>
      </c>
      <c r="M58">
        <v>149</v>
      </c>
      <c r="Q58">
        <v>202512</v>
      </c>
    </row>
    <row r="59" spans="1:17" x14ac:dyDescent="0.2">
      <c r="A59" t="s">
        <v>160</v>
      </c>
      <c r="C59" t="s">
        <v>98</v>
      </c>
      <c r="D59" t="s">
        <v>97</v>
      </c>
      <c r="E59" t="s">
        <v>195</v>
      </c>
      <c r="F59" t="s">
        <v>46</v>
      </c>
      <c r="G59" t="s">
        <v>196</v>
      </c>
      <c r="H59" t="s">
        <v>47</v>
      </c>
      <c r="I59" t="s">
        <v>42</v>
      </c>
      <c r="J59" t="s">
        <v>48</v>
      </c>
      <c r="K59" t="s">
        <v>44</v>
      </c>
      <c r="L59">
        <v>678.56</v>
      </c>
      <c r="M59">
        <v>678.56</v>
      </c>
      <c r="Q59">
        <v>202512</v>
      </c>
    </row>
    <row r="60" spans="1:17" x14ac:dyDescent="0.2">
      <c r="A60" t="s">
        <v>160</v>
      </c>
      <c r="C60" t="s">
        <v>98</v>
      </c>
      <c r="D60" t="s">
        <v>97</v>
      </c>
      <c r="E60" t="s">
        <v>197</v>
      </c>
      <c r="F60" t="s">
        <v>46</v>
      </c>
      <c r="G60" t="s">
        <v>198</v>
      </c>
      <c r="H60" t="s">
        <v>47</v>
      </c>
      <c r="I60" t="s">
        <v>45</v>
      </c>
      <c r="J60" t="s">
        <v>48</v>
      </c>
      <c r="K60" t="s">
        <v>44</v>
      </c>
      <c r="L60">
        <v>-90</v>
      </c>
      <c r="M60">
        <v>-90</v>
      </c>
      <c r="P60" t="s">
        <v>199</v>
      </c>
      <c r="Q60">
        <v>202507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FF4E-8B9F-41B6-9A81-CFDF961E4426}">
  <sheetPr codeName="Sheet10"/>
  <dimension ref="A1:Q58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8.25" customWidth="1"/>
    <col min="2" max="2" width="14.5" customWidth="1"/>
    <col min="3" max="3" width="22.5" customWidth="1"/>
    <col min="4" max="4" width="26" customWidth="1"/>
    <col min="5" max="5" width="14.5" customWidth="1"/>
    <col min="6" max="6" width="13.5" customWidth="1"/>
    <col min="7" max="7" width="16" customWidth="1"/>
    <col min="12" max="12" width="9.375" customWidth="1"/>
    <col min="13" max="13" width="10.5" customWidth="1"/>
    <col min="14" max="14" width="10.625" customWidth="1"/>
    <col min="17" max="17" width="9.375" customWidth="1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25" t="s">
        <v>40</v>
      </c>
    </row>
    <row r="2" spans="1:17" x14ac:dyDescent="0.2">
      <c r="A2" t="s">
        <v>200</v>
      </c>
      <c r="B2" s="59">
        <v>46003.807997685188</v>
      </c>
      <c r="C2" t="s">
        <v>98</v>
      </c>
      <c r="D2" t="s">
        <v>97</v>
      </c>
      <c r="F2" t="s">
        <v>46</v>
      </c>
      <c r="G2" t="s">
        <v>105</v>
      </c>
      <c r="H2" t="s">
        <v>49</v>
      </c>
      <c r="I2" t="s">
        <v>42</v>
      </c>
      <c r="J2" t="s">
        <v>48</v>
      </c>
      <c r="K2" t="s">
        <v>44</v>
      </c>
      <c r="L2">
        <v>7</v>
      </c>
      <c r="M2">
        <v>7</v>
      </c>
      <c r="N2">
        <v>55365.72</v>
      </c>
      <c r="Q2">
        <v>202512</v>
      </c>
    </row>
    <row r="3" spans="1:17" x14ac:dyDescent="0.2">
      <c r="A3" t="s">
        <v>201</v>
      </c>
      <c r="B3" s="59">
        <v>46003.807384259257</v>
      </c>
      <c r="C3" t="s">
        <v>98</v>
      </c>
      <c r="D3" t="s">
        <v>97</v>
      </c>
      <c r="E3" t="s">
        <v>107</v>
      </c>
      <c r="F3" t="s">
        <v>46</v>
      </c>
      <c r="G3" t="s">
        <v>108</v>
      </c>
      <c r="H3" t="s">
        <v>49</v>
      </c>
      <c r="I3" t="s">
        <v>42</v>
      </c>
      <c r="J3" t="s">
        <v>48</v>
      </c>
      <c r="K3" t="s">
        <v>44</v>
      </c>
      <c r="L3">
        <v>7</v>
      </c>
      <c r="M3">
        <v>7</v>
      </c>
      <c r="N3">
        <v>55285.919999999998</v>
      </c>
      <c r="Q3">
        <v>202512</v>
      </c>
    </row>
    <row r="4" spans="1:17" x14ac:dyDescent="0.2">
      <c r="A4" t="s">
        <v>202</v>
      </c>
      <c r="B4" s="59">
        <v>46003.805300925924</v>
      </c>
      <c r="C4" t="s">
        <v>98</v>
      </c>
      <c r="D4" t="s">
        <v>97</v>
      </c>
      <c r="F4" t="s">
        <v>46</v>
      </c>
      <c r="G4" t="s">
        <v>110</v>
      </c>
      <c r="H4" t="s">
        <v>49</v>
      </c>
      <c r="I4" t="s">
        <v>42</v>
      </c>
      <c r="J4" t="s">
        <v>48</v>
      </c>
      <c r="K4" t="s">
        <v>44</v>
      </c>
      <c r="L4">
        <v>7</v>
      </c>
      <c r="M4">
        <v>7</v>
      </c>
      <c r="N4">
        <v>55192.68</v>
      </c>
      <c r="Q4">
        <v>202512</v>
      </c>
    </row>
    <row r="5" spans="1:17" x14ac:dyDescent="0.2">
      <c r="A5" t="s">
        <v>203</v>
      </c>
      <c r="B5" s="59">
        <v>46003.805162037039</v>
      </c>
      <c r="C5" t="s">
        <v>98</v>
      </c>
      <c r="D5" t="s">
        <v>97</v>
      </c>
      <c r="F5" t="s">
        <v>46</v>
      </c>
      <c r="G5" t="s">
        <v>112</v>
      </c>
      <c r="H5" t="s">
        <v>49</v>
      </c>
      <c r="I5" t="s">
        <v>42</v>
      </c>
      <c r="J5" t="s">
        <v>48</v>
      </c>
      <c r="K5" t="s">
        <v>44</v>
      </c>
      <c r="L5">
        <v>7</v>
      </c>
      <c r="M5">
        <v>7</v>
      </c>
      <c r="N5">
        <v>54961.68</v>
      </c>
      <c r="Q5">
        <v>202512</v>
      </c>
    </row>
    <row r="6" spans="1:17" x14ac:dyDescent="0.2">
      <c r="A6" t="s">
        <v>204</v>
      </c>
      <c r="B6" s="59">
        <v>46003.805046296293</v>
      </c>
      <c r="C6" t="s">
        <v>98</v>
      </c>
      <c r="D6" t="s">
        <v>97</v>
      </c>
      <c r="F6" t="s">
        <v>46</v>
      </c>
      <c r="G6" t="s">
        <v>114</v>
      </c>
      <c r="H6" t="s">
        <v>49</v>
      </c>
      <c r="I6" t="s">
        <v>42</v>
      </c>
      <c r="J6" t="s">
        <v>48</v>
      </c>
      <c r="K6" t="s">
        <v>44</v>
      </c>
      <c r="L6">
        <v>7</v>
      </c>
      <c r="M6">
        <v>7</v>
      </c>
      <c r="N6">
        <v>54693.43</v>
      </c>
      <c r="Q6">
        <v>202512</v>
      </c>
    </row>
    <row r="7" spans="1:17" x14ac:dyDescent="0.2">
      <c r="A7" t="s">
        <v>205</v>
      </c>
      <c r="B7" s="59">
        <v>46002.820011574076</v>
      </c>
      <c r="C7" t="s">
        <v>98</v>
      </c>
      <c r="D7" t="s">
        <v>97</v>
      </c>
      <c r="F7" t="s">
        <v>46</v>
      </c>
      <c r="G7" t="s">
        <v>116</v>
      </c>
      <c r="H7" t="s">
        <v>49</v>
      </c>
      <c r="I7" t="s">
        <v>42</v>
      </c>
      <c r="J7" t="s">
        <v>48</v>
      </c>
      <c r="K7" t="s">
        <v>44</v>
      </c>
      <c r="L7">
        <v>27</v>
      </c>
      <c r="M7">
        <v>27</v>
      </c>
      <c r="N7">
        <v>54328.43</v>
      </c>
      <c r="Q7">
        <v>202512</v>
      </c>
    </row>
    <row r="8" spans="1:17" x14ac:dyDescent="0.2">
      <c r="A8" t="s">
        <v>206</v>
      </c>
      <c r="B8" s="59">
        <v>46001.794733796298</v>
      </c>
      <c r="C8" t="s">
        <v>98</v>
      </c>
      <c r="D8" t="s">
        <v>97</v>
      </c>
      <c r="E8" t="s">
        <v>118</v>
      </c>
      <c r="F8" t="s">
        <v>46</v>
      </c>
      <c r="G8" t="s">
        <v>119</v>
      </c>
      <c r="H8" t="s">
        <v>49</v>
      </c>
      <c r="I8" t="s">
        <v>42</v>
      </c>
      <c r="J8" t="s">
        <v>48</v>
      </c>
      <c r="K8" t="s">
        <v>44</v>
      </c>
      <c r="L8">
        <v>7</v>
      </c>
      <c r="M8">
        <v>7</v>
      </c>
      <c r="N8">
        <v>53869.43</v>
      </c>
      <c r="Q8">
        <v>202512</v>
      </c>
    </row>
    <row r="9" spans="1:17" x14ac:dyDescent="0.2">
      <c r="A9" t="s">
        <v>207</v>
      </c>
      <c r="B9" s="59">
        <v>46000.869571759256</v>
      </c>
      <c r="C9" t="s">
        <v>98</v>
      </c>
      <c r="D9" t="s">
        <v>97</v>
      </c>
      <c r="F9" t="s">
        <v>46</v>
      </c>
      <c r="G9" t="s">
        <v>121</v>
      </c>
      <c r="H9" t="s">
        <v>49</v>
      </c>
      <c r="I9" t="s">
        <v>42</v>
      </c>
      <c r="J9" t="s">
        <v>48</v>
      </c>
      <c r="K9" t="s">
        <v>44</v>
      </c>
      <c r="L9">
        <v>7</v>
      </c>
      <c r="M9">
        <v>7</v>
      </c>
      <c r="N9">
        <v>53292.43</v>
      </c>
      <c r="Q9">
        <v>202512</v>
      </c>
    </row>
    <row r="10" spans="1:17" x14ac:dyDescent="0.2">
      <c r="A10" t="s">
        <v>208</v>
      </c>
      <c r="B10" s="59">
        <v>45999.666539351849</v>
      </c>
      <c r="C10" t="s">
        <v>98</v>
      </c>
      <c r="D10" t="s">
        <v>97</v>
      </c>
      <c r="E10" t="s">
        <v>118</v>
      </c>
      <c r="F10" t="s">
        <v>46</v>
      </c>
      <c r="G10" t="s">
        <v>123</v>
      </c>
      <c r="H10" t="s">
        <v>49</v>
      </c>
      <c r="I10" t="s">
        <v>42</v>
      </c>
      <c r="J10" t="s">
        <v>48</v>
      </c>
      <c r="K10" t="s">
        <v>44</v>
      </c>
      <c r="L10">
        <v>27</v>
      </c>
      <c r="M10">
        <v>27</v>
      </c>
      <c r="N10">
        <v>53258.43</v>
      </c>
      <c r="Q10">
        <v>202512</v>
      </c>
    </row>
    <row r="11" spans="1:17" x14ac:dyDescent="0.2">
      <c r="A11" t="s">
        <v>209</v>
      </c>
      <c r="B11" s="59">
        <v>45999.66646990741</v>
      </c>
      <c r="C11" t="s">
        <v>98</v>
      </c>
      <c r="D11" t="s">
        <v>97</v>
      </c>
      <c r="E11" t="s">
        <v>125</v>
      </c>
      <c r="F11" t="s">
        <v>46</v>
      </c>
      <c r="G11" t="s">
        <v>126</v>
      </c>
      <c r="H11" t="s">
        <v>49</v>
      </c>
      <c r="I11" t="s">
        <v>42</v>
      </c>
      <c r="J11" t="s">
        <v>48</v>
      </c>
      <c r="K11" t="s">
        <v>44</v>
      </c>
      <c r="L11">
        <v>7</v>
      </c>
      <c r="M11">
        <v>7</v>
      </c>
      <c r="N11">
        <v>52799.43</v>
      </c>
      <c r="Q11">
        <v>202512</v>
      </c>
    </row>
    <row r="12" spans="1:17" x14ac:dyDescent="0.2">
      <c r="A12" t="s">
        <v>210</v>
      </c>
      <c r="B12" s="59">
        <v>45999.66138888889</v>
      </c>
      <c r="C12" t="s">
        <v>98</v>
      </c>
      <c r="D12" t="s">
        <v>97</v>
      </c>
      <c r="F12" t="s">
        <v>46</v>
      </c>
      <c r="G12" t="s">
        <v>128</v>
      </c>
      <c r="H12" t="s">
        <v>49</v>
      </c>
      <c r="I12" t="s">
        <v>42</v>
      </c>
      <c r="J12" t="s">
        <v>48</v>
      </c>
      <c r="K12" t="s">
        <v>44</v>
      </c>
      <c r="L12">
        <v>7</v>
      </c>
      <c r="M12">
        <v>7</v>
      </c>
      <c r="N12">
        <v>52222.43</v>
      </c>
      <c r="Q12">
        <v>202512</v>
      </c>
    </row>
    <row r="13" spans="1:17" x14ac:dyDescent="0.2">
      <c r="A13" t="s">
        <v>211</v>
      </c>
      <c r="B13" s="59">
        <v>45999.661296296297</v>
      </c>
      <c r="C13" t="s">
        <v>98</v>
      </c>
      <c r="D13" t="s">
        <v>97</v>
      </c>
      <c r="E13" t="s">
        <v>118</v>
      </c>
      <c r="F13" t="s">
        <v>46</v>
      </c>
      <c r="G13" t="s">
        <v>130</v>
      </c>
      <c r="H13" t="s">
        <v>49</v>
      </c>
      <c r="I13" t="s">
        <v>42</v>
      </c>
      <c r="J13" t="s">
        <v>48</v>
      </c>
      <c r="K13" t="s">
        <v>44</v>
      </c>
      <c r="L13">
        <v>27</v>
      </c>
      <c r="M13">
        <v>27</v>
      </c>
      <c r="N13">
        <v>51991.43</v>
      </c>
      <c r="Q13">
        <v>202512</v>
      </c>
    </row>
    <row r="14" spans="1:17" x14ac:dyDescent="0.2">
      <c r="A14" t="s">
        <v>212</v>
      </c>
      <c r="B14" s="59">
        <v>45999.661226851851</v>
      </c>
      <c r="C14" t="s">
        <v>98</v>
      </c>
      <c r="D14" t="s">
        <v>97</v>
      </c>
      <c r="F14" t="s">
        <v>46</v>
      </c>
      <c r="G14" t="s">
        <v>132</v>
      </c>
      <c r="H14" t="s">
        <v>49</v>
      </c>
      <c r="I14" t="s">
        <v>42</v>
      </c>
      <c r="J14" t="s">
        <v>48</v>
      </c>
      <c r="K14" t="s">
        <v>44</v>
      </c>
      <c r="L14">
        <v>7</v>
      </c>
      <c r="M14">
        <v>7</v>
      </c>
      <c r="N14">
        <v>51532.43</v>
      </c>
      <c r="Q14">
        <v>202512</v>
      </c>
    </row>
    <row r="15" spans="1:17" x14ac:dyDescent="0.2">
      <c r="A15" t="s">
        <v>213</v>
      </c>
      <c r="B15" s="59">
        <v>45999.660486111112</v>
      </c>
      <c r="C15" t="s">
        <v>98</v>
      </c>
      <c r="D15" t="s">
        <v>97</v>
      </c>
      <c r="F15" t="s">
        <v>46</v>
      </c>
      <c r="G15" t="s">
        <v>134</v>
      </c>
      <c r="H15" t="s">
        <v>49</v>
      </c>
      <c r="I15" t="s">
        <v>42</v>
      </c>
      <c r="J15" t="s">
        <v>48</v>
      </c>
      <c r="K15" t="s">
        <v>44</v>
      </c>
      <c r="L15">
        <v>7</v>
      </c>
      <c r="M15">
        <v>7</v>
      </c>
      <c r="N15">
        <v>51301.43</v>
      </c>
      <c r="Q15">
        <v>202512</v>
      </c>
    </row>
    <row r="16" spans="1:17" x14ac:dyDescent="0.2">
      <c r="A16" t="s">
        <v>214</v>
      </c>
      <c r="B16" s="59">
        <v>45999.657453703701</v>
      </c>
      <c r="C16" t="s">
        <v>98</v>
      </c>
      <c r="D16" t="s">
        <v>97</v>
      </c>
      <c r="E16" t="s">
        <v>125</v>
      </c>
      <c r="F16" t="s">
        <v>46</v>
      </c>
      <c r="G16" t="s">
        <v>136</v>
      </c>
      <c r="H16" t="s">
        <v>49</v>
      </c>
      <c r="I16" t="s">
        <v>42</v>
      </c>
      <c r="J16" t="s">
        <v>48</v>
      </c>
      <c r="K16" t="s">
        <v>44</v>
      </c>
      <c r="L16">
        <v>7</v>
      </c>
      <c r="M16">
        <v>7</v>
      </c>
      <c r="N16">
        <v>51112.99</v>
      </c>
      <c r="Q16">
        <v>202512</v>
      </c>
    </row>
    <row r="17" spans="1:17" x14ac:dyDescent="0.2">
      <c r="A17" t="s">
        <v>215</v>
      </c>
      <c r="B17" s="59">
        <v>45999.654247685183</v>
      </c>
      <c r="C17" t="s">
        <v>98</v>
      </c>
      <c r="D17" t="s">
        <v>97</v>
      </c>
      <c r="F17" t="s">
        <v>46</v>
      </c>
      <c r="G17" t="s">
        <v>138</v>
      </c>
      <c r="H17" t="s">
        <v>49</v>
      </c>
      <c r="I17" t="s">
        <v>42</v>
      </c>
      <c r="J17" t="s">
        <v>48</v>
      </c>
      <c r="K17" t="s">
        <v>44</v>
      </c>
      <c r="L17">
        <v>7</v>
      </c>
      <c r="M17">
        <v>7</v>
      </c>
      <c r="N17">
        <v>50056.82</v>
      </c>
      <c r="Q17">
        <v>202512</v>
      </c>
    </row>
    <row r="18" spans="1:17" x14ac:dyDescent="0.2">
      <c r="A18" t="s">
        <v>216</v>
      </c>
      <c r="B18" s="59">
        <v>45996.7965625</v>
      </c>
      <c r="C18" t="s">
        <v>98</v>
      </c>
      <c r="D18" t="s">
        <v>97</v>
      </c>
      <c r="E18" t="s">
        <v>125</v>
      </c>
      <c r="F18" t="s">
        <v>46</v>
      </c>
      <c r="G18" t="s">
        <v>140</v>
      </c>
      <c r="H18" t="s">
        <v>49</v>
      </c>
      <c r="I18" t="s">
        <v>42</v>
      </c>
      <c r="J18" t="s">
        <v>48</v>
      </c>
      <c r="K18" t="s">
        <v>44</v>
      </c>
      <c r="L18">
        <v>7</v>
      </c>
      <c r="M18">
        <v>7</v>
      </c>
      <c r="N18">
        <v>49788.57</v>
      </c>
      <c r="Q18">
        <v>202512</v>
      </c>
    </row>
    <row r="19" spans="1:17" x14ac:dyDescent="0.2">
      <c r="A19" t="s">
        <v>217</v>
      </c>
      <c r="B19" s="59">
        <v>45995.864918981482</v>
      </c>
      <c r="C19" t="s">
        <v>98</v>
      </c>
      <c r="D19" t="s">
        <v>97</v>
      </c>
      <c r="E19" t="s">
        <v>142</v>
      </c>
      <c r="F19" t="s">
        <v>46</v>
      </c>
      <c r="G19" t="s">
        <v>143</v>
      </c>
      <c r="H19" t="s">
        <v>49</v>
      </c>
      <c r="I19" t="s">
        <v>42</v>
      </c>
      <c r="J19" t="s">
        <v>48</v>
      </c>
      <c r="K19" t="s">
        <v>44</v>
      </c>
      <c r="L19">
        <v>7</v>
      </c>
      <c r="M19">
        <v>7</v>
      </c>
      <c r="N19">
        <v>49691.57</v>
      </c>
      <c r="Q19">
        <v>202512</v>
      </c>
    </row>
    <row r="20" spans="1:17" x14ac:dyDescent="0.2">
      <c r="A20" t="s">
        <v>218</v>
      </c>
      <c r="B20" s="59">
        <v>45995.864849537036</v>
      </c>
      <c r="C20" t="s">
        <v>98</v>
      </c>
      <c r="D20" t="s">
        <v>97</v>
      </c>
      <c r="F20" t="s">
        <v>46</v>
      </c>
      <c r="G20" t="s">
        <v>145</v>
      </c>
      <c r="H20" t="s">
        <v>49</v>
      </c>
      <c r="I20" t="s">
        <v>42</v>
      </c>
      <c r="J20" t="s">
        <v>48</v>
      </c>
      <c r="K20" t="s">
        <v>44</v>
      </c>
      <c r="L20">
        <v>7</v>
      </c>
      <c r="M20">
        <v>7</v>
      </c>
      <c r="N20">
        <v>49114.57</v>
      </c>
      <c r="Q20">
        <v>202512</v>
      </c>
    </row>
    <row r="21" spans="1:17" x14ac:dyDescent="0.2">
      <c r="A21" t="s">
        <v>219</v>
      </c>
      <c r="B21" s="59">
        <v>45995.860046296293</v>
      </c>
      <c r="C21" t="s">
        <v>98</v>
      </c>
      <c r="D21" t="s">
        <v>97</v>
      </c>
      <c r="E21" t="s">
        <v>118</v>
      </c>
      <c r="F21" t="s">
        <v>46</v>
      </c>
      <c r="G21" t="s">
        <v>147</v>
      </c>
      <c r="H21" t="s">
        <v>49</v>
      </c>
      <c r="I21" t="s">
        <v>42</v>
      </c>
      <c r="J21" t="s">
        <v>48</v>
      </c>
      <c r="K21" t="s">
        <v>44</v>
      </c>
      <c r="L21">
        <v>7</v>
      </c>
      <c r="M21">
        <v>7</v>
      </c>
      <c r="N21">
        <v>48790.57</v>
      </c>
      <c r="Q21">
        <v>202512</v>
      </c>
    </row>
    <row r="22" spans="1:17" x14ac:dyDescent="0.2">
      <c r="A22" t="s">
        <v>220</v>
      </c>
      <c r="B22" s="59">
        <v>45994.826608796298</v>
      </c>
      <c r="C22" t="s">
        <v>98</v>
      </c>
      <c r="D22" t="s">
        <v>97</v>
      </c>
      <c r="E22" t="s">
        <v>107</v>
      </c>
      <c r="F22" t="s">
        <v>46</v>
      </c>
      <c r="G22" t="s">
        <v>149</v>
      </c>
      <c r="H22" t="s">
        <v>49</v>
      </c>
      <c r="I22" t="s">
        <v>42</v>
      </c>
      <c r="J22" t="s">
        <v>48</v>
      </c>
      <c r="K22" t="s">
        <v>44</v>
      </c>
      <c r="L22">
        <v>27</v>
      </c>
      <c r="M22">
        <v>27</v>
      </c>
      <c r="N22">
        <v>48666.57</v>
      </c>
      <c r="Q22">
        <v>202512</v>
      </c>
    </row>
    <row r="23" spans="1:17" x14ac:dyDescent="0.2">
      <c r="A23" t="s">
        <v>221</v>
      </c>
      <c r="B23" s="59">
        <v>45994.816921296297</v>
      </c>
      <c r="C23" t="s">
        <v>98</v>
      </c>
      <c r="D23" t="s">
        <v>97</v>
      </c>
      <c r="E23" t="s">
        <v>151</v>
      </c>
      <c r="F23" t="s">
        <v>46</v>
      </c>
      <c r="G23" t="s">
        <v>152</v>
      </c>
      <c r="H23" t="s">
        <v>49</v>
      </c>
      <c r="I23" t="s">
        <v>42</v>
      </c>
      <c r="J23" t="s">
        <v>48</v>
      </c>
      <c r="K23" t="s">
        <v>44</v>
      </c>
      <c r="L23">
        <v>7</v>
      </c>
      <c r="M23">
        <v>7</v>
      </c>
      <c r="N23">
        <v>48217.33</v>
      </c>
      <c r="Q23">
        <v>202512</v>
      </c>
    </row>
    <row r="24" spans="1:17" x14ac:dyDescent="0.2">
      <c r="A24" t="s">
        <v>222</v>
      </c>
      <c r="B24" s="59">
        <v>45993.881307870368</v>
      </c>
      <c r="C24" t="s">
        <v>98</v>
      </c>
      <c r="D24" t="s">
        <v>97</v>
      </c>
      <c r="E24" t="s">
        <v>154</v>
      </c>
      <c r="F24" t="s">
        <v>46</v>
      </c>
      <c r="G24" t="s">
        <v>155</v>
      </c>
      <c r="H24" t="s">
        <v>49</v>
      </c>
      <c r="I24" t="s">
        <v>42</v>
      </c>
      <c r="J24" t="s">
        <v>48</v>
      </c>
      <c r="K24" t="s">
        <v>44</v>
      </c>
      <c r="L24">
        <v>7</v>
      </c>
      <c r="M24">
        <v>7</v>
      </c>
      <c r="N24">
        <v>48127.01</v>
      </c>
      <c r="Q24">
        <v>202512</v>
      </c>
    </row>
    <row r="25" spans="1:17" x14ac:dyDescent="0.2">
      <c r="A25" t="s">
        <v>223</v>
      </c>
      <c r="B25" s="59">
        <v>45993.88108796296</v>
      </c>
      <c r="C25" t="s">
        <v>98</v>
      </c>
      <c r="D25" t="s">
        <v>97</v>
      </c>
      <c r="F25" t="s">
        <v>46</v>
      </c>
      <c r="G25" t="s">
        <v>157</v>
      </c>
      <c r="H25" t="s">
        <v>49</v>
      </c>
      <c r="I25" t="s">
        <v>42</v>
      </c>
      <c r="J25" t="s">
        <v>48</v>
      </c>
      <c r="K25" t="s">
        <v>44</v>
      </c>
      <c r="L25">
        <v>7</v>
      </c>
      <c r="M25">
        <v>7</v>
      </c>
      <c r="N25">
        <v>47704.67</v>
      </c>
      <c r="Q25">
        <v>202512</v>
      </c>
    </row>
    <row r="26" spans="1:17" x14ac:dyDescent="0.2">
      <c r="A26" t="s">
        <v>224</v>
      </c>
      <c r="B26" s="59">
        <v>45992.683530092596</v>
      </c>
      <c r="C26" t="s">
        <v>98</v>
      </c>
      <c r="D26" t="s">
        <v>97</v>
      </c>
      <c r="F26" t="s">
        <v>46</v>
      </c>
      <c r="G26" t="s">
        <v>159</v>
      </c>
      <c r="H26" t="s">
        <v>49</v>
      </c>
      <c r="I26" t="s">
        <v>42</v>
      </c>
      <c r="J26" t="s">
        <v>48</v>
      </c>
      <c r="K26" t="s">
        <v>44</v>
      </c>
      <c r="L26">
        <v>16</v>
      </c>
      <c r="M26">
        <v>16</v>
      </c>
      <c r="N26">
        <v>47380.67</v>
      </c>
      <c r="Q26">
        <v>202512</v>
      </c>
    </row>
    <row r="27" spans="1:17" x14ac:dyDescent="0.2">
      <c r="A27" t="s">
        <v>225</v>
      </c>
      <c r="C27" t="s">
        <v>98</v>
      </c>
      <c r="D27" t="s">
        <v>97</v>
      </c>
      <c r="E27" t="s">
        <v>161</v>
      </c>
      <c r="F27" t="s">
        <v>46</v>
      </c>
      <c r="G27" t="s">
        <v>162</v>
      </c>
      <c r="H27" t="s">
        <v>49</v>
      </c>
      <c r="I27" t="s">
        <v>42</v>
      </c>
      <c r="J27" t="s">
        <v>48</v>
      </c>
      <c r="K27" t="s">
        <v>44</v>
      </c>
      <c r="L27">
        <v>7</v>
      </c>
      <c r="M27">
        <v>7</v>
      </c>
      <c r="Q27">
        <v>202512</v>
      </c>
    </row>
    <row r="28" spans="1:17" x14ac:dyDescent="0.2">
      <c r="A28" t="s">
        <v>225</v>
      </c>
      <c r="C28" t="s">
        <v>98</v>
      </c>
      <c r="D28" t="s">
        <v>97</v>
      </c>
      <c r="E28" t="s">
        <v>125</v>
      </c>
      <c r="F28" t="s">
        <v>46</v>
      </c>
      <c r="G28" t="s">
        <v>163</v>
      </c>
      <c r="H28" t="s">
        <v>49</v>
      </c>
      <c r="I28" t="s">
        <v>42</v>
      </c>
      <c r="J28" t="s">
        <v>48</v>
      </c>
      <c r="K28" t="s">
        <v>44</v>
      </c>
      <c r="L28">
        <v>7</v>
      </c>
      <c r="M28">
        <v>7</v>
      </c>
      <c r="Q28">
        <v>202512</v>
      </c>
    </row>
    <row r="29" spans="1:17" x14ac:dyDescent="0.2">
      <c r="A29" t="s">
        <v>225</v>
      </c>
      <c r="C29" t="s">
        <v>98</v>
      </c>
      <c r="D29" t="s">
        <v>97</v>
      </c>
      <c r="E29" t="s">
        <v>125</v>
      </c>
      <c r="F29" t="s">
        <v>46</v>
      </c>
      <c r="G29" t="s">
        <v>164</v>
      </c>
      <c r="H29" t="s">
        <v>49</v>
      </c>
      <c r="I29" t="s">
        <v>42</v>
      </c>
      <c r="J29" t="s">
        <v>48</v>
      </c>
      <c r="K29" t="s">
        <v>44</v>
      </c>
      <c r="L29">
        <v>7</v>
      </c>
      <c r="M29">
        <v>7</v>
      </c>
      <c r="Q29">
        <v>202512</v>
      </c>
    </row>
    <row r="30" spans="1:17" x14ac:dyDescent="0.2">
      <c r="A30" t="s">
        <v>225</v>
      </c>
      <c r="C30" t="s">
        <v>98</v>
      </c>
      <c r="D30" t="s">
        <v>97</v>
      </c>
      <c r="E30" t="s">
        <v>125</v>
      </c>
      <c r="F30" t="s">
        <v>46</v>
      </c>
      <c r="G30" t="s">
        <v>165</v>
      </c>
      <c r="H30" t="s">
        <v>49</v>
      </c>
      <c r="I30" t="s">
        <v>42</v>
      </c>
      <c r="J30" t="s">
        <v>48</v>
      </c>
      <c r="K30" t="s">
        <v>44</v>
      </c>
      <c r="L30">
        <v>7</v>
      </c>
      <c r="M30">
        <v>7</v>
      </c>
      <c r="Q30">
        <v>202512</v>
      </c>
    </row>
    <row r="31" spans="1:17" x14ac:dyDescent="0.2">
      <c r="A31" t="s">
        <v>225</v>
      </c>
      <c r="C31" t="s">
        <v>98</v>
      </c>
      <c r="D31" t="s">
        <v>97</v>
      </c>
      <c r="E31" t="s">
        <v>97</v>
      </c>
      <c r="F31" t="s">
        <v>46</v>
      </c>
      <c r="G31" t="s">
        <v>166</v>
      </c>
      <c r="H31" t="s">
        <v>49</v>
      </c>
      <c r="I31" t="s">
        <v>42</v>
      </c>
      <c r="J31" t="s">
        <v>48</v>
      </c>
      <c r="K31" t="s">
        <v>44</v>
      </c>
      <c r="L31">
        <v>27</v>
      </c>
      <c r="M31">
        <v>27</v>
      </c>
      <c r="Q31">
        <v>202512</v>
      </c>
    </row>
    <row r="32" spans="1:17" x14ac:dyDescent="0.2">
      <c r="A32" t="s">
        <v>225</v>
      </c>
      <c r="C32" t="s">
        <v>98</v>
      </c>
      <c r="D32" t="s">
        <v>97</v>
      </c>
      <c r="E32" t="s">
        <v>97</v>
      </c>
      <c r="F32" t="s">
        <v>46</v>
      </c>
      <c r="G32" t="s">
        <v>167</v>
      </c>
      <c r="H32" t="s">
        <v>49</v>
      </c>
      <c r="I32" t="s">
        <v>42</v>
      </c>
      <c r="J32" t="s">
        <v>48</v>
      </c>
      <c r="K32" t="s">
        <v>44</v>
      </c>
      <c r="L32">
        <v>27</v>
      </c>
      <c r="M32">
        <v>27</v>
      </c>
      <c r="Q32">
        <v>202512</v>
      </c>
    </row>
    <row r="33" spans="1:17" x14ac:dyDescent="0.2">
      <c r="A33" t="s">
        <v>225</v>
      </c>
      <c r="C33" t="s">
        <v>98</v>
      </c>
      <c r="D33" t="s">
        <v>97</v>
      </c>
      <c r="E33" t="s">
        <v>97</v>
      </c>
      <c r="F33" t="s">
        <v>46</v>
      </c>
      <c r="G33" t="s">
        <v>168</v>
      </c>
      <c r="H33" t="s">
        <v>49</v>
      </c>
      <c r="I33" t="s">
        <v>42</v>
      </c>
      <c r="J33" t="s">
        <v>48</v>
      </c>
      <c r="K33" t="s">
        <v>44</v>
      </c>
      <c r="L33">
        <v>7</v>
      </c>
      <c r="M33">
        <v>7</v>
      </c>
      <c r="Q33">
        <v>202512</v>
      </c>
    </row>
    <row r="34" spans="1:17" x14ac:dyDescent="0.2">
      <c r="A34" t="s">
        <v>225</v>
      </c>
      <c r="C34" t="s">
        <v>98</v>
      </c>
      <c r="D34" t="s">
        <v>97</v>
      </c>
      <c r="E34" t="s">
        <v>97</v>
      </c>
      <c r="F34" t="s">
        <v>46</v>
      </c>
      <c r="G34" t="s">
        <v>169</v>
      </c>
      <c r="H34" t="s">
        <v>49</v>
      </c>
      <c r="I34" t="s">
        <v>42</v>
      </c>
      <c r="J34" t="s">
        <v>48</v>
      </c>
      <c r="K34" t="s">
        <v>44</v>
      </c>
      <c r="L34">
        <v>7</v>
      </c>
      <c r="M34">
        <v>7</v>
      </c>
      <c r="Q34">
        <v>202512</v>
      </c>
    </row>
    <row r="35" spans="1:17" x14ac:dyDescent="0.2">
      <c r="A35" t="s">
        <v>225</v>
      </c>
      <c r="C35" t="s">
        <v>98</v>
      </c>
      <c r="D35" t="s">
        <v>97</v>
      </c>
      <c r="E35" t="s">
        <v>97</v>
      </c>
      <c r="F35" t="s">
        <v>46</v>
      </c>
      <c r="G35" t="s">
        <v>170</v>
      </c>
      <c r="H35" t="s">
        <v>49</v>
      </c>
      <c r="I35" t="s">
        <v>42</v>
      </c>
      <c r="J35" t="s">
        <v>48</v>
      </c>
      <c r="K35" t="s">
        <v>44</v>
      </c>
      <c r="L35">
        <v>7</v>
      </c>
      <c r="M35">
        <v>7</v>
      </c>
      <c r="Q35">
        <v>202512</v>
      </c>
    </row>
    <row r="36" spans="1:17" x14ac:dyDescent="0.2">
      <c r="A36" t="s">
        <v>225</v>
      </c>
      <c r="C36" t="s">
        <v>98</v>
      </c>
      <c r="D36" t="s">
        <v>97</v>
      </c>
      <c r="E36" t="s">
        <v>97</v>
      </c>
      <c r="F36" t="s">
        <v>46</v>
      </c>
      <c r="G36" t="s">
        <v>171</v>
      </c>
      <c r="H36" t="s">
        <v>49</v>
      </c>
      <c r="I36" t="s">
        <v>42</v>
      </c>
      <c r="J36" t="s">
        <v>48</v>
      </c>
      <c r="K36" t="s">
        <v>44</v>
      </c>
      <c r="L36">
        <v>27</v>
      </c>
      <c r="M36">
        <v>27</v>
      </c>
      <c r="Q36">
        <v>202512</v>
      </c>
    </row>
    <row r="37" spans="1:17" x14ac:dyDescent="0.2">
      <c r="A37" t="s">
        <v>225</v>
      </c>
      <c r="C37" t="s">
        <v>98</v>
      </c>
      <c r="D37" t="s">
        <v>97</v>
      </c>
      <c r="E37" t="s">
        <v>97</v>
      </c>
      <c r="F37" t="s">
        <v>46</v>
      </c>
      <c r="G37" t="s">
        <v>172</v>
      </c>
      <c r="H37" t="s">
        <v>49</v>
      </c>
      <c r="I37" t="s">
        <v>42</v>
      </c>
      <c r="J37" t="s">
        <v>48</v>
      </c>
      <c r="K37" t="s">
        <v>44</v>
      </c>
      <c r="L37">
        <v>27</v>
      </c>
      <c r="M37">
        <v>27</v>
      </c>
      <c r="Q37">
        <v>202512</v>
      </c>
    </row>
    <row r="38" spans="1:17" x14ac:dyDescent="0.2">
      <c r="A38" t="s">
        <v>225</v>
      </c>
      <c r="C38" t="s">
        <v>98</v>
      </c>
      <c r="D38" t="s">
        <v>97</v>
      </c>
      <c r="E38" t="s">
        <v>97</v>
      </c>
      <c r="F38" t="s">
        <v>46</v>
      </c>
      <c r="G38" t="s">
        <v>173</v>
      </c>
      <c r="H38" t="s">
        <v>49</v>
      </c>
      <c r="I38" t="s">
        <v>42</v>
      </c>
      <c r="J38" t="s">
        <v>48</v>
      </c>
      <c r="K38" t="s">
        <v>44</v>
      </c>
      <c r="L38">
        <v>7</v>
      </c>
      <c r="M38">
        <v>7</v>
      </c>
      <c r="Q38">
        <v>202512</v>
      </c>
    </row>
    <row r="39" spans="1:17" x14ac:dyDescent="0.2">
      <c r="A39" t="s">
        <v>225</v>
      </c>
      <c r="C39" t="s">
        <v>98</v>
      </c>
      <c r="D39" t="s">
        <v>97</v>
      </c>
      <c r="E39" t="s">
        <v>97</v>
      </c>
      <c r="F39" t="s">
        <v>46</v>
      </c>
      <c r="G39" t="s">
        <v>174</v>
      </c>
      <c r="H39" t="s">
        <v>49</v>
      </c>
      <c r="I39" t="s">
        <v>42</v>
      </c>
      <c r="J39" t="s">
        <v>48</v>
      </c>
      <c r="K39" t="s">
        <v>44</v>
      </c>
      <c r="L39">
        <v>7</v>
      </c>
      <c r="M39">
        <v>7</v>
      </c>
      <c r="Q39">
        <v>202512</v>
      </c>
    </row>
    <row r="40" spans="1:17" x14ac:dyDescent="0.2">
      <c r="A40" t="s">
        <v>225</v>
      </c>
      <c r="C40" t="s">
        <v>98</v>
      </c>
      <c r="D40" t="s">
        <v>97</v>
      </c>
      <c r="E40" t="s">
        <v>97</v>
      </c>
      <c r="F40" t="s">
        <v>46</v>
      </c>
      <c r="G40" t="s">
        <v>175</v>
      </c>
      <c r="H40" t="s">
        <v>49</v>
      </c>
      <c r="I40" t="s">
        <v>42</v>
      </c>
      <c r="J40" t="s">
        <v>48</v>
      </c>
      <c r="K40" t="s">
        <v>44</v>
      </c>
      <c r="L40">
        <v>7</v>
      </c>
      <c r="M40">
        <v>7</v>
      </c>
      <c r="Q40">
        <v>202512</v>
      </c>
    </row>
    <row r="41" spans="1:17" x14ac:dyDescent="0.2">
      <c r="A41" t="s">
        <v>225</v>
      </c>
      <c r="C41" t="s">
        <v>98</v>
      </c>
      <c r="D41" t="s">
        <v>97</v>
      </c>
      <c r="E41" t="s">
        <v>97</v>
      </c>
      <c r="F41" t="s">
        <v>46</v>
      </c>
      <c r="G41" t="s">
        <v>176</v>
      </c>
      <c r="H41" t="s">
        <v>49</v>
      </c>
      <c r="I41" t="s">
        <v>42</v>
      </c>
      <c r="J41" t="s">
        <v>48</v>
      </c>
      <c r="K41" t="s">
        <v>44</v>
      </c>
      <c r="L41">
        <v>7</v>
      </c>
      <c r="M41">
        <v>7</v>
      </c>
      <c r="Q41">
        <v>202512</v>
      </c>
    </row>
    <row r="42" spans="1:17" x14ac:dyDescent="0.2">
      <c r="A42" t="s">
        <v>225</v>
      </c>
      <c r="C42" t="s">
        <v>98</v>
      </c>
      <c r="D42" t="s">
        <v>97</v>
      </c>
      <c r="E42" t="s">
        <v>97</v>
      </c>
      <c r="F42" t="s">
        <v>46</v>
      </c>
      <c r="G42" t="s">
        <v>177</v>
      </c>
      <c r="H42" t="s">
        <v>49</v>
      </c>
      <c r="I42" t="s">
        <v>42</v>
      </c>
      <c r="J42" t="s">
        <v>48</v>
      </c>
      <c r="K42" t="s">
        <v>44</v>
      </c>
      <c r="L42">
        <v>27</v>
      </c>
      <c r="M42">
        <v>27</v>
      </c>
      <c r="Q42">
        <v>202512</v>
      </c>
    </row>
    <row r="43" spans="1:17" x14ac:dyDescent="0.2">
      <c r="A43" t="s">
        <v>225</v>
      </c>
      <c r="C43" t="s">
        <v>98</v>
      </c>
      <c r="D43" t="s">
        <v>97</v>
      </c>
      <c r="E43" t="s">
        <v>97</v>
      </c>
      <c r="F43" t="s">
        <v>46</v>
      </c>
      <c r="G43" t="s">
        <v>178</v>
      </c>
      <c r="H43" t="s">
        <v>49</v>
      </c>
      <c r="I43" t="s">
        <v>42</v>
      </c>
      <c r="J43" t="s">
        <v>48</v>
      </c>
      <c r="K43" t="s">
        <v>44</v>
      </c>
      <c r="L43">
        <v>7</v>
      </c>
      <c r="M43">
        <v>7</v>
      </c>
      <c r="Q43">
        <v>202512</v>
      </c>
    </row>
    <row r="44" spans="1:17" x14ac:dyDescent="0.2">
      <c r="A44" t="s">
        <v>225</v>
      </c>
      <c r="C44" t="s">
        <v>98</v>
      </c>
      <c r="D44" t="s">
        <v>97</v>
      </c>
      <c r="E44" t="s">
        <v>107</v>
      </c>
      <c r="F44" t="s">
        <v>46</v>
      </c>
      <c r="G44" t="s">
        <v>179</v>
      </c>
      <c r="H44" t="s">
        <v>49</v>
      </c>
      <c r="I44" t="s">
        <v>42</v>
      </c>
      <c r="J44" t="s">
        <v>48</v>
      </c>
      <c r="K44" t="s">
        <v>44</v>
      </c>
      <c r="L44">
        <v>27</v>
      </c>
      <c r="M44">
        <v>27</v>
      </c>
      <c r="Q44">
        <v>202512</v>
      </c>
    </row>
    <row r="45" spans="1:17" x14ac:dyDescent="0.2">
      <c r="A45" t="s">
        <v>225</v>
      </c>
      <c r="C45" t="s">
        <v>98</v>
      </c>
      <c r="D45" t="s">
        <v>97</v>
      </c>
      <c r="E45" t="s">
        <v>107</v>
      </c>
      <c r="F45" t="s">
        <v>46</v>
      </c>
      <c r="G45" t="s">
        <v>180</v>
      </c>
      <c r="H45" t="s">
        <v>49</v>
      </c>
      <c r="I45" t="s">
        <v>42</v>
      </c>
      <c r="J45" t="s">
        <v>48</v>
      </c>
      <c r="K45" t="s">
        <v>44</v>
      </c>
      <c r="L45">
        <v>7</v>
      </c>
      <c r="M45">
        <v>7</v>
      </c>
      <c r="Q45">
        <v>202512</v>
      </c>
    </row>
    <row r="46" spans="1:17" x14ac:dyDescent="0.2">
      <c r="A46" t="s">
        <v>225</v>
      </c>
      <c r="C46" t="s">
        <v>98</v>
      </c>
      <c r="D46" t="s">
        <v>97</v>
      </c>
      <c r="E46" t="s">
        <v>107</v>
      </c>
      <c r="F46" t="s">
        <v>46</v>
      </c>
      <c r="G46" t="s">
        <v>181</v>
      </c>
      <c r="H46" t="s">
        <v>49</v>
      </c>
      <c r="I46" t="s">
        <v>42</v>
      </c>
      <c r="J46" t="s">
        <v>48</v>
      </c>
      <c r="K46" t="s">
        <v>44</v>
      </c>
      <c r="L46">
        <v>16</v>
      </c>
      <c r="M46">
        <v>16</v>
      </c>
      <c r="Q46">
        <v>202512</v>
      </c>
    </row>
    <row r="47" spans="1:17" x14ac:dyDescent="0.2">
      <c r="A47" t="s">
        <v>225</v>
      </c>
      <c r="C47" t="s">
        <v>98</v>
      </c>
      <c r="D47" t="s">
        <v>97</v>
      </c>
      <c r="E47" t="s">
        <v>182</v>
      </c>
      <c r="F47" t="s">
        <v>46</v>
      </c>
      <c r="G47" t="s">
        <v>183</v>
      </c>
      <c r="H47" t="s">
        <v>49</v>
      </c>
      <c r="I47" t="s">
        <v>42</v>
      </c>
      <c r="J47" t="s">
        <v>48</v>
      </c>
      <c r="K47" t="s">
        <v>44</v>
      </c>
      <c r="L47">
        <v>7</v>
      </c>
      <c r="M47">
        <v>7</v>
      </c>
      <c r="Q47">
        <v>202512</v>
      </c>
    </row>
    <row r="48" spans="1:17" x14ac:dyDescent="0.2">
      <c r="A48" t="s">
        <v>225</v>
      </c>
      <c r="C48" t="s">
        <v>98</v>
      </c>
      <c r="D48" t="s">
        <v>97</v>
      </c>
      <c r="E48" t="s">
        <v>182</v>
      </c>
      <c r="F48" t="s">
        <v>46</v>
      </c>
      <c r="G48" t="s">
        <v>184</v>
      </c>
      <c r="H48" t="s">
        <v>49</v>
      </c>
      <c r="I48" t="s">
        <v>42</v>
      </c>
      <c r="J48" t="s">
        <v>48</v>
      </c>
      <c r="K48" t="s">
        <v>44</v>
      </c>
      <c r="L48">
        <v>27</v>
      </c>
      <c r="M48">
        <v>27</v>
      </c>
      <c r="Q48">
        <v>202512</v>
      </c>
    </row>
    <row r="49" spans="1:17" x14ac:dyDescent="0.2">
      <c r="A49" t="s">
        <v>225</v>
      </c>
      <c r="C49" t="s">
        <v>98</v>
      </c>
      <c r="D49" t="s">
        <v>97</v>
      </c>
      <c r="E49" t="s">
        <v>182</v>
      </c>
      <c r="F49" t="s">
        <v>46</v>
      </c>
      <c r="G49" t="s">
        <v>185</v>
      </c>
      <c r="H49" t="s">
        <v>49</v>
      </c>
      <c r="I49" t="s">
        <v>42</v>
      </c>
      <c r="J49" t="s">
        <v>48</v>
      </c>
      <c r="K49" t="s">
        <v>44</v>
      </c>
      <c r="L49">
        <v>27</v>
      </c>
      <c r="M49">
        <v>27</v>
      </c>
      <c r="Q49">
        <v>202512</v>
      </c>
    </row>
    <row r="50" spans="1:17" x14ac:dyDescent="0.2">
      <c r="A50" t="s">
        <v>225</v>
      </c>
      <c r="C50" t="s">
        <v>98</v>
      </c>
      <c r="D50" t="s">
        <v>97</v>
      </c>
      <c r="E50" t="s">
        <v>186</v>
      </c>
      <c r="F50" t="s">
        <v>46</v>
      </c>
      <c r="G50" t="s">
        <v>187</v>
      </c>
      <c r="H50" t="s">
        <v>49</v>
      </c>
      <c r="I50" t="s">
        <v>42</v>
      </c>
      <c r="J50" t="s">
        <v>48</v>
      </c>
      <c r="K50" t="s">
        <v>44</v>
      </c>
      <c r="L50">
        <v>7</v>
      </c>
      <c r="M50">
        <v>7</v>
      </c>
      <c r="Q50">
        <v>202512</v>
      </c>
    </row>
    <row r="51" spans="1:17" x14ac:dyDescent="0.2">
      <c r="A51" t="s">
        <v>225</v>
      </c>
      <c r="C51" t="s">
        <v>98</v>
      </c>
      <c r="D51" t="s">
        <v>97</v>
      </c>
      <c r="E51" t="s">
        <v>186</v>
      </c>
      <c r="F51" t="s">
        <v>46</v>
      </c>
      <c r="G51" t="s">
        <v>189</v>
      </c>
      <c r="H51" t="s">
        <v>49</v>
      </c>
      <c r="I51" t="s">
        <v>42</v>
      </c>
      <c r="J51" t="s">
        <v>48</v>
      </c>
      <c r="K51" t="s">
        <v>44</v>
      </c>
      <c r="L51">
        <v>7</v>
      </c>
      <c r="M51">
        <v>7</v>
      </c>
      <c r="Q51">
        <v>202512</v>
      </c>
    </row>
    <row r="52" spans="1:17" x14ac:dyDescent="0.2">
      <c r="A52" t="s">
        <v>225</v>
      </c>
      <c r="C52" t="s">
        <v>98</v>
      </c>
      <c r="D52" t="s">
        <v>97</v>
      </c>
      <c r="E52" t="s">
        <v>186</v>
      </c>
      <c r="F52" t="s">
        <v>46</v>
      </c>
      <c r="G52" t="s">
        <v>190</v>
      </c>
      <c r="H52" t="s">
        <v>49</v>
      </c>
      <c r="I52" t="s">
        <v>42</v>
      </c>
      <c r="J52" t="s">
        <v>48</v>
      </c>
      <c r="K52" t="s">
        <v>44</v>
      </c>
      <c r="L52">
        <v>16</v>
      </c>
      <c r="M52">
        <v>16</v>
      </c>
      <c r="Q52">
        <v>202512</v>
      </c>
    </row>
    <row r="53" spans="1:17" x14ac:dyDescent="0.2">
      <c r="A53" t="s">
        <v>225</v>
      </c>
      <c r="C53" t="s">
        <v>98</v>
      </c>
      <c r="D53" t="s">
        <v>97</v>
      </c>
      <c r="E53" t="s">
        <v>142</v>
      </c>
      <c r="F53" t="s">
        <v>46</v>
      </c>
      <c r="G53" t="s">
        <v>191</v>
      </c>
      <c r="H53" t="s">
        <v>49</v>
      </c>
      <c r="I53" t="s">
        <v>42</v>
      </c>
      <c r="J53" t="s">
        <v>48</v>
      </c>
      <c r="K53" t="s">
        <v>44</v>
      </c>
      <c r="L53">
        <v>27</v>
      </c>
      <c r="M53">
        <v>27</v>
      </c>
      <c r="Q53">
        <v>202512</v>
      </c>
    </row>
    <row r="54" spans="1:17" x14ac:dyDescent="0.2">
      <c r="A54" t="s">
        <v>225</v>
      </c>
      <c r="C54" t="s">
        <v>98</v>
      </c>
      <c r="D54" t="s">
        <v>97</v>
      </c>
      <c r="E54" t="s">
        <v>142</v>
      </c>
      <c r="F54" t="s">
        <v>46</v>
      </c>
      <c r="G54" t="s">
        <v>192</v>
      </c>
      <c r="H54" t="s">
        <v>49</v>
      </c>
      <c r="I54" t="s">
        <v>42</v>
      </c>
      <c r="J54" t="s">
        <v>48</v>
      </c>
      <c r="K54" t="s">
        <v>44</v>
      </c>
      <c r="L54">
        <v>7</v>
      </c>
      <c r="M54">
        <v>7</v>
      </c>
      <c r="Q54">
        <v>202512</v>
      </c>
    </row>
    <row r="55" spans="1:17" x14ac:dyDescent="0.2">
      <c r="A55" t="s">
        <v>225</v>
      </c>
      <c r="C55" t="s">
        <v>98</v>
      </c>
      <c r="D55" t="s">
        <v>97</v>
      </c>
      <c r="E55" t="s">
        <v>102</v>
      </c>
      <c r="F55" t="s">
        <v>46</v>
      </c>
      <c r="G55" t="s">
        <v>193</v>
      </c>
      <c r="H55" t="s">
        <v>49</v>
      </c>
      <c r="I55" t="s">
        <v>42</v>
      </c>
      <c r="J55" t="s">
        <v>48</v>
      </c>
      <c r="K55" t="s">
        <v>44</v>
      </c>
      <c r="L55">
        <v>7</v>
      </c>
      <c r="M55">
        <v>7</v>
      </c>
      <c r="Q55">
        <v>202512</v>
      </c>
    </row>
    <row r="56" spans="1:17" x14ac:dyDescent="0.2">
      <c r="A56" t="s">
        <v>225</v>
      </c>
      <c r="C56" t="s">
        <v>98</v>
      </c>
      <c r="D56" t="s">
        <v>97</v>
      </c>
      <c r="E56" t="s">
        <v>102</v>
      </c>
      <c r="F56" t="s">
        <v>46</v>
      </c>
      <c r="G56" t="s">
        <v>194</v>
      </c>
      <c r="H56" t="s">
        <v>49</v>
      </c>
      <c r="I56" t="s">
        <v>42</v>
      </c>
      <c r="J56" t="s">
        <v>48</v>
      </c>
      <c r="K56" t="s">
        <v>44</v>
      </c>
      <c r="L56">
        <v>7</v>
      </c>
      <c r="M56">
        <v>7</v>
      </c>
      <c r="Q56">
        <v>202512</v>
      </c>
    </row>
    <row r="57" spans="1:17" x14ac:dyDescent="0.2">
      <c r="A57" t="s">
        <v>225</v>
      </c>
      <c r="C57" t="s">
        <v>98</v>
      </c>
      <c r="D57" t="s">
        <v>97</v>
      </c>
      <c r="E57" t="s">
        <v>195</v>
      </c>
      <c r="F57" t="s">
        <v>46</v>
      </c>
      <c r="G57" t="s">
        <v>196</v>
      </c>
      <c r="H57" t="s">
        <v>49</v>
      </c>
      <c r="I57" t="s">
        <v>42</v>
      </c>
      <c r="J57" t="s">
        <v>48</v>
      </c>
      <c r="K57" t="s">
        <v>44</v>
      </c>
      <c r="L57">
        <v>7</v>
      </c>
      <c r="M57">
        <v>7</v>
      </c>
      <c r="Q57">
        <v>202512</v>
      </c>
    </row>
    <row r="58" spans="1:17" x14ac:dyDescent="0.2">
      <c r="A58" t="s">
        <v>225</v>
      </c>
      <c r="C58" t="s">
        <v>98</v>
      </c>
      <c r="D58" t="s">
        <v>97</v>
      </c>
      <c r="E58" t="s">
        <v>197</v>
      </c>
      <c r="F58" t="s">
        <v>46</v>
      </c>
      <c r="G58" t="s">
        <v>198</v>
      </c>
      <c r="H58" t="s">
        <v>49</v>
      </c>
      <c r="I58" t="s">
        <v>45</v>
      </c>
      <c r="J58" t="s">
        <v>48</v>
      </c>
      <c r="K58" t="s">
        <v>44</v>
      </c>
      <c r="L58">
        <v>7</v>
      </c>
      <c r="M58">
        <v>-7</v>
      </c>
      <c r="P58" t="s">
        <v>199</v>
      </c>
      <c r="Q58">
        <v>202507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E759-9BA3-4DA8-BF8B-862775941004}">
  <dimension ref="A1:Q23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3" max="3" width="19.75" customWidth="1"/>
    <col min="4" max="4" width="17.75" customWidth="1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25" t="s">
        <v>40</v>
      </c>
    </row>
    <row r="2" spans="1:17" x14ac:dyDescent="0.2">
      <c r="A2" t="s">
        <v>50</v>
      </c>
      <c r="C2" t="s">
        <v>98</v>
      </c>
      <c r="D2" t="s">
        <v>97</v>
      </c>
      <c r="E2" t="s">
        <v>226</v>
      </c>
      <c r="F2" t="s">
        <v>41</v>
      </c>
      <c r="G2" t="s">
        <v>227</v>
      </c>
      <c r="H2" t="s">
        <v>14</v>
      </c>
      <c r="I2" t="s">
        <v>42</v>
      </c>
      <c r="J2" t="s">
        <v>43</v>
      </c>
      <c r="K2" t="s">
        <v>44</v>
      </c>
      <c r="L2">
        <v>7</v>
      </c>
      <c r="M2">
        <v>7</v>
      </c>
      <c r="Q2">
        <v>202511</v>
      </c>
    </row>
    <row r="3" spans="1:17" x14ac:dyDescent="0.2">
      <c r="A3" t="s">
        <v>50</v>
      </c>
      <c r="C3" t="s">
        <v>98</v>
      </c>
      <c r="D3" t="s">
        <v>97</v>
      </c>
      <c r="E3" t="s">
        <v>125</v>
      </c>
      <c r="F3" t="s">
        <v>41</v>
      </c>
      <c r="G3" t="s">
        <v>228</v>
      </c>
      <c r="H3" t="s">
        <v>14</v>
      </c>
      <c r="I3" t="s">
        <v>42</v>
      </c>
      <c r="J3" t="s">
        <v>43</v>
      </c>
      <c r="K3" t="s">
        <v>44</v>
      </c>
      <c r="L3">
        <v>7</v>
      </c>
      <c r="M3">
        <v>7</v>
      </c>
      <c r="Q3">
        <v>202511</v>
      </c>
    </row>
    <row r="4" spans="1:17" x14ac:dyDescent="0.2">
      <c r="A4" t="s">
        <v>50</v>
      </c>
      <c r="C4" t="s">
        <v>98</v>
      </c>
      <c r="D4" t="s">
        <v>97</v>
      </c>
      <c r="E4" t="s">
        <v>107</v>
      </c>
      <c r="F4" t="s">
        <v>41</v>
      </c>
      <c r="G4" t="s">
        <v>229</v>
      </c>
      <c r="H4" t="s">
        <v>14</v>
      </c>
      <c r="I4" t="s">
        <v>42</v>
      </c>
      <c r="J4" t="s">
        <v>43</v>
      </c>
      <c r="K4" t="s">
        <v>44</v>
      </c>
      <c r="L4">
        <v>27</v>
      </c>
      <c r="M4">
        <v>27</v>
      </c>
      <c r="Q4">
        <v>202511</v>
      </c>
    </row>
    <row r="5" spans="1:17" x14ac:dyDescent="0.2">
      <c r="A5" t="s">
        <v>50</v>
      </c>
      <c r="C5" t="s">
        <v>98</v>
      </c>
      <c r="D5" t="s">
        <v>97</v>
      </c>
      <c r="E5" t="s">
        <v>97</v>
      </c>
      <c r="F5" t="s">
        <v>41</v>
      </c>
      <c r="G5" t="s">
        <v>230</v>
      </c>
      <c r="H5" t="s">
        <v>14</v>
      </c>
      <c r="I5" t="s">
        <v>42</v>
      </c>
      <c r="J5" t="s">
        <v>43</v>
      </c>
      <c r="K5" t="s">
        <v>44</v>
      </c>
      <c r="L5">
        <v>16</v>
      </c>
      <c r="M5">
        <v>16</v>
      </c>
      <c r="Q5">
        <v>202511</v>
      </c>
    </row>
    <row r="6" spans="1:17" x14ac:dyDescent="0.2">
      <c r="A6" t="s">
        <v>50</v>
      </c>
      <c r="C6" t="s">
        <v>98</v>
      </c>
      <c r="D6" t="s">
        <v>97</v>
      </c>
      <c r="E6" t="s">
        <v>226</v>
      </c>
      <c r="F6" t="s">
        <v>41</v>
      </c>
      <c r="G6" t="s">
        <v>231</v>
      </c>
      <c r="H6" t="s">
        <v>14</v>
      </c>
      <c r="I6" t="s">
        <v>42</v>
      </c>
      <c r="J6" t="s">
        <v>43</v>
      </c>
      <c r="K6" t="s">
        <v>44</v>
      </c>
      <c r="L6">
        <v>7</v>
      </c>
      <c r="M6">
        <v>7</v>
      </c>
      <c r="Q6">
        <v>202511</v>
      </c>
    </row>
    <row r="7" spans="1:17" x14ac:dyDescent="0.2">
      <c r="A7" t="s">
        <v>50</v>
      </c>
      <c r="C7" t="s">
        <v>98</v>
      </c>
      <c r="D7" t="s">
        <v>97</v>
      </c>
      <c r="E7" t="s">
        <v>97</v>
      </c>
      <c r="F7" t="s">
        <v>41</v>
      </c>
      <c r="G7" t="s">
        <v>232</v>
      </c>
      <c r="H7" t="s">
        <v>14</v>
      </c>
      <c r="I7" t="s">
        <v>42</v>
      </c>
      <c r="J7" t="s">
        <v>43</v>
      </c>
      <c r="K7" t="s">
        <v>44</v>
      </c>
      <c r="L7">
        <v>7</v>
      </c>
      <c r="M7">
        <v>7</v>
      </c>
      <c r="Q7">
        <v>202511</v>
      </c>
    </row>
    <row r="8" spans="1:17" x14ac:dyDescent="0.2">
      <c r="A8" t="s">
        <v>50</v>
      </c>
      <c r="C8" t="s">
        <v>98</v>
      </c>
      <c r="D8" t="s">
        <v>97</v>
      </c>
      <c r="E8" t="s">
        <v>233</v>
      </c>
      <c r="F8" t="s">
        <v>41</v>
      </c>
      <c r="G8" t="s">
        <v>234</v>
      </c>
      <c r="H8" t="s">
        <v>14</v>
      </c>
      <c r="I8" t="s">
        <v>42</v>
      </c>
      <c r="J8" t="s">
        <v>43</v>
      </c>
      <c r="K8" t="s">
        <v>44</v>
      </c>
      <c r="L8">
        <v>16.2</v>
      </c>
      <c r="M8">
        <v>16.2</v>
      </c>
      <c r="Q8">
        <v>202511</v>
      </c>
    </row>
    <row r="9" spans="1:17" x14ac:dyDescent="0.2">
      <c r="A9" t="s">
        <v>50</v>
      </c>
      <c r="C9" t="s">
        <v>98</v>
      </c>
      <c r="D9" t="s">
        <v>97</v>
      </c>
      <c r="E9" t="s">
        <v>118</v>
      </c>
      <c r="F9" t="s">
        <v>41</v>
      </c>
      <c r="G9" t="s">
        <v>235</v>
      </c>
      <c r="H9" t="s">
        <v>14</v>
      </c>
      <c r="I9" t="s">
        <v>42</v>
      </c>
      <c r="J9" t="s">
        <v>43</v>
      </c>
      <c r="K9" t="s">
        <v>44</v>
      </c>
      <c r="L9">
        <v>16</v>
      </c>
      <c r="M9">
        <v>16</v>
      </c>
      <c r="Q9">
        <v>202511</v>
      </c>
    </row>
    <row r="10" spans="1:17" x14ac:dyDescent="0.2">
      <c r="A10" t="s">
        <v>50</v>
      </c>
      <c r="C10" t="s">
        <v>98</v>
      </c>
      <c r="D10" t="s">
        <v>97</v>
      </c>
      <c r="E10" t="s">
        <v>186</v>
      </c>
      <c r="F10" t="s">
        <v>41</v>
      </c>
      <c r="G10" t="s">
        <v>236</v>
      </c>
      <c r="H10" t="s">
        <v>14</v>
      </c>
      <c r="I10" t="s">
        <v>42</v>
      </c>
      <c r="J10" t="s">
        <v>43</v>
      </c>
      <c r="K10" t="s">
        <v>44</v>
      </c>
      <c r="L10">
        <v>4.2</v>
      </c>
      <c r="M10">
        <v>4.2</v>
      </c>
      <c r="Q10">
        <v>202511</v>
      </c>
    </row>
    <row r="11" spans="1:17" x14ac:dyDescent="0.2">
      <c r="A11" t="s">
        <v>50</v>
      </c>
      <c r="C11" t="s">
        <v>98</v>
      </c>
      <c r="D11" t="s">
        <v>97</v>
      </c>
      <c r="E11" t="s">
        <v>97</v>
      </c>
      <c r="F11" t="s">
        <v>41</v>
      </c>
      <c r="G11" t="s">
        <v>237</v>
      </c>
      <c r="H11" t="s">
        <v>14</v>
      </c>
      <c r="I11" t="s">
        <v>42</v>
      </c>
      <c r="J11" t="s">
        <v>43</v>
      </c>
      <c r="K11" t="s">
        <v>44</v>
      </c>
      <c r="L11">
        <v>7</v>
      </c>
      <c r="M11">
        <v>7</v>
      </c>
      <c r="Q11">
        <v>202511</v>
      </c>
    </row>
    <row r="12" spans="1:17" x14ac:dyDescent="0.2">
      <c r="A12" t="s">
        <v>50</v>
      </c>
      <c r="C12" t="s">
        <v>98</v>
      </c>
      <c r="D12" t="s">
        <v>97</v>
      </c>
      <c r="E12" t="s">
        <v>97</v>
      </c>
      <c r="F12" t="s">
        <v>41</v>
      </c>
      <c r="G12" t="s">
        <v>238</v>
      </c>
      <c r="H12" t="s">
        <v>14</v>
      </c>
      <c r="I12" t="s">
        <v>42</v>
      </c>
      <c r="J12" t="s">
        <v>43</v>
      </c>
      <c r="K12" t="s">
        <v>44</v>
      </c>
      <c r="L12">
        <v>7</v>
      </c>
      <c r="M12">
        <v>7</v>
      </c>
      <c r="Q12">
        <v>202511</v>
      </c>
    </row>
    <row r="13" spans="1:17" x14ac:dyDescent="0.2">
      <c r="A13" t="s">
        <v>50</v>
      </c>
      <c r="C13" t="s">
        <v>98</v>
      </c>
      <c r="D13" t="s">
        <v>97</v>
      </c>
      <c r="E13" t="s">
        <v>97</v>
      </c>
      <c r="F13" t="s">
        <v>41</v>
      </c>
      <c r="G13" t="s">
        <v>239</v>
      </c>
      <c r="H13" t="s">
        <v>14</v>
      </c>
      <c r="I13" t="s">
        <v>42</v>
      </c>
      <c r="J13" t="s">
        <v>43</v>
      </c>
      <c r="K13" t="s">
        <v>44</v>
      </c>
      <c r="L13">
        <v>7</v>
      </c>
      <c r="M13">
        <v>7</v>
      </c>
      <c r="Q13">
        <v>202511</v>
      </c>
    </row>
    <row r="14" spans="1:17" x14ac:dyDescent="0.2">
      <c r="A14" t="s">
        <v>50</v>
      </c>
      <c r="C14" t="s">
        <v>98</v>
      </c>
      <c r="D14" t="s">
        <v>97</v>
      </c>
      <c r="E14" t="s">
        <v>97</v>
      </c>
      <c r="F14" t="s">
        <v>41</v>
      </c>
      <c r="G14" t="s">
        <v>240</v>
      </c>
      <c r="H14" t="s">
        <v>14</v>
      </c>
      <c r="I14" t="s">
        <v>42</v>
      </c>
      <c r="J14" t="s">
        <v>43</v>
      </c>
      <c r="K14" t="s">
        <v>44</v>
      </c>
      <c r="L14">
        <v>7</v>
      </c>
      <c r="M14">
        <v>7</v>
      </c>
      <c r="Q14">
        <v>202511</v>
      </c>
    </row>
    <row r="15" spans="1:17" x14ac:dyDescent="0.2">
      <c r="A15" t="s">
        <v>50</v>
      </c>
      <c r="C15" t="s">
        <v>98</v>
      </c>
      <c r="D15" t="s">
        <v>97</v>
      </c>
      <c r="E15" t="s">
        <v>97</v>
      </c>
      <c r="F15" t="s">
        <v>41</v>
      </c>
      <c r="G15" t="s">
        <v>241</v>
      </c>
      <c r="H15" t="s">
        <v>14</v>
      </c>
      <c r="I15" t="s">
        <v>42</v>
      </c>
      <c r="J15" t="s">
        <v>43</v>
      </c>
      <c r="K15" t="s">
        <v>44</v>
      </c>
      <c r="L15">
        <v>16</v>
      </c>
      <c r="M15">
        <v>16</v>
      </c>
      <c r="Q15">
        <v>202511</v>
      </c>
    </row>
    <row r="16" spans="1:17" x14ac:dyDescent="0.2">
      <c r="A16" t="s">
        <v>50</v>
      </c>
      <c r="C16" t="s">
        <v>98</v>
      </c>
      <c r="D16" t="s">
        <v>97</v>
      </c>
      <c r="E16" t="s">
        <v>233</v>
      </c>
      <c r="F16" t="s">
        <v>41</v>
      </c>
      <c r="G16" t="s">
        <v>242</v>
      </c>
      <c r="H16" t="s">
        <v>14</v>
      </c>
      <c r="I16" t="s">
        <v>42</v>
      </c>
      <c r="J16" t="s">
        <v>43</v>
      </c>
      <c r="K16" t="s">
        <v>44</v>
      </c>
      <c r="L16">
        <v>4.2</v>
      </c>
      <c r="M16">
        <v>4.2</v>
      </c>
      <c r="Q16">
        <v>202511</v>
      </c>
    </row>
    <row r="17" spans="1:17" x14ac:dyDescent="0.2">
      <c r="A17" t="s">
        <v>50</v>
      </c>
      <c r="C17" t="s">
        <v>98</v>
      </c>
      <c r="D17" t="s">
        <v>97</v>
      </c>
      <c r="E17" t="s">
        <v>97</v>
      </c>
      <c r="F17" t="s">
        <v>41</v>
      </c>
      <c r="G17" t="s">
        <v>243</v>
      </c>
      <c r="H17" t="s">
        <v>14</v>
      </c>
      <c r="I17" t="s">
        <v>42</v>
      </c>
      <c r="J17" t="s">
        <v>43</v>
      </c>
      <c r="K17" t="s">
        <v>44</v>
      </c>
      <c r="L17">
        <v>7</v>
      </c>
      <c r="M17">
        <v>7</v>
      </c>
      <c r="Q17">
        <v>202511</v>
      </c>
    </row>
    <row r="18" spans="1:17" x14ac:dyDescent="0.2">
      <c r="A18" t="s">
        <v>50</v>
      </c>
      <c r="C18" t="s">
        <v>98</v>
      </c>
      <c r="D18" t="s">
        <v>97</v>
      </c>
      <c r="E18" t="s">
        <v>97</v>
      </c>
      <c r="F18" t="s">
        <v>41</v>
      </c>
      <c r="G18" t="s">
        <v>244</v>
      </c>
      <c r="H18" t="s">
        <v>14</v>
      </c>
      <c r="I18" t="s">
        <v>42</v>
      </c>
      <c r="J18" t="s">
        <v>43</v>
      </c>
      <c r="K18" t="s">
        <v>44</v>
      </c>
      <c r="L18">
        <v>7</v>
      </c>
      <c r="M18">
        <v>7</v>
      </c>
      <c r="Q18">
        <v>202511</v>
      </c>
    </row>
    <row r="19" spans="1:17" x14ac:dyDescent="0.2">
      <c r="A19" t="s">
        <v>50</v>
      </c>
      <c r="C19" t="s">
        <v>98</v>
      </c>
      <c r="D19" t="s">
        <v>97</v>
      </c>
      <c r="E19" t="s">
        <v>186</v>
      </c>
      <c r="F19" t="s">
        <v>41</v>
      </c>
      <c r="G19" t="s">
        <v>245</v>
      </c>
      <c r="H19" t="s">
        <v>14</v>
      </c>
      <c r="I19" t="s">
        <v>42</v>
      </c>
      <c r="J19" t="s">
        <v>43</v>
      </c>
      <c r="K19" t="s">
        <v>44</v>
      </c>
      <c r="L19">
        <v>4.2</v>
      </c>
      <c r="M19">
        <v>4.2</v>
      </c>
      <c r="Q19">
        <v>202511</v>
      </c>
    </row>
    <row r="20" spans="1:17" x14ac:dyDescent="0.2">
      <c r="A20" t="s">
        <v>50</v>
      </c>
      <c r="C20" t="s">
        <v>98</v>
      </c>
      <c r="D20" t="s">
        <v>97</v>
      </c>
      <c r="E20" t="s">
        <v>97</v>
      </c>
      <c r="F20" t="s">
        <v>41</v>
      </c>
      <c r="G20" t="s">
        <v>246</v>
      </c>
      <c r="H20" t="s">
        <v>14</v>
      </c>
      <c r="I20" t="s">
        <v>42</v>
      </c>
      <c r="J20" t="s">
        <v>43</v>
      </c>
      <c r="K20" t="s">
        <v>44</v>
      </c>
      <c r="L20">
        <v>7</v>
      </c>
      <c r="M20">
        <v>7</v>
      </c>
      <c r="Q20">
        <v>202511</v>
      </c>
    </row>
    <row r="21" spans="1:17" x14ac:dyDescent="0.2">
      <c r="A21" t="s">
        <v>50</v>
      </c>
      <c r="C21" t="s">
        <v>98</v>
      </c>
      <c r="D21" t="s">
        <v>97</v>
      </c>
      <c r="E21" t="s">
        <v>97</v>
      </c>
      <c r="F21" t="s">
        <v>41</v>
      </c>
      <c r="G21" t="s">
        <v>247</v>
      </c>
      <c r="H21" t="s">
        <v>14</v>
      </c>
      <c r="I21" t="s">
        <v>42</v>
      </c>
      <c r="J21" t="s">
        <v>43</v>
      </c>
      <c r="K21" t="s">
        <v>44</v>
      </c>
      <c r="L21">
        <v>27</v>
      </c>
      <c r="M21">
        <v>27</v>
      </c>
      <c r="Q21">
        <v>202511</v>
      </c>
    </row>
    <row r="22" spans="1:17" x14ac:dyDescent="0.2">
      <c r="A22" t="s">
        <v>50</v>
      </c>
      <c r="C22" t="s">
        <v>98</v>
      </c>
      <c r="D22" t="s">
        <v>97</v>
      </c>
      <c r="E22" t="s">
        <v>97</v>
      </c>
      <c r="F22" t="s">
        <v>41</v>
      </c>
      <c r="G22" t="s">
        <v>248</v>
      </c>
      <c r="H22" t="s">
        <v>14</v>
      </c>
      <c r="I22" t="s">
        <v>42</v>
      </c>
      <c r="J22" t="s">
        <v>43</v>
      </c>
      <c r="K22" t="s">
        <v>44</v>
      </c>
      <c r="L22">
        <v>7</v>
      </c>
      <c r="M22">
        <v>7</v>
      </c>
      <c r="Q22">
        <v>202511</v>
      </c>
    </row>
    <row r="23" spans="1:17" x14ac:dyDescent="0.2">
      <c r="A23" t="s">
        <v>50</v>
      </c>
      <c r="C23" t="s">
        <v>98</v>
      </c>
      <c r="D23" t="s">
        <v>97</v>
      </c>
      <c r="E23" t="s">
        <v>97</v>
      </c>
      <c r="F23" t="s">
        <v>41</v>
      </c>
      <c r="G23" t="s">
        <v>249</v>
      </c>
      <c r="H23" t="s">
        <v>14</v>
      </c>
      <c r="I23" t="s">
        <v>42</v>
      </c>
      <c r="J23" t="s">
        <v>43</v>
      </c>
      <c r="K23" t="s">
        <v>44</v>
      </c>
      <c r="L23">
        <v>7</v>
      </c>
      <c r="M23">
        <v>7</v>
      </c>
      <c r="Q23">
        <v>202511</v>
      </c>
    </row>
    <row r="24" spans="1:17" x14ac:dyDescent="0.2">
      <c r="A24" t="s">
        <v>50</v>
      </c>
      <c r="C24" t="s">
        <v>98</v>
      </c>
      <c r="D24" t="s">
        <v>97</v>
      </c>
      <c r="E24" t="s">
        <v>226</v>
      </c>
      <c r="F24" t="s">
        <v>41</v>
      </c>
      <c r="G24" t="s">
        <v>250</v>
      </c>
      <c r="H24" t="s">
        <v>14</v>
      </c>
      <c r="I24" t="s">
        <v>42</v>
      </c>
      <c r="J24" t="s">
        <v>43</v>
      </c>
      <c r="K24" t="s">
        <v>44</v>
      </c>
      <c r="L24">
        <v>7</v>
      </c>
      <c r="M24">
        <v>7</v>
      </c>
      <c r="Q24">
        <v>202511</v>
      </c>
    </row>
    <row r="25" spans="1:17" x14ac:dyDescent="0.2">
      <c r="A25" t="s">
        <v>50</v>
      </c>
      <c r="C25" t="s">
        <v>98</v>
      </c>
      <c r="D25" t="s">
        <v>97</v>
      </c>
      <c r="E25" t="s">
        <v>97</v>
      </c>
      <c r="F25" t="s">
        <v>41</v>
      </c>
      <c r="G25" t="s">
        <v>251</v>
      </c>
      <c r="H25" t="s">
        <v>14</v>
      </c>
      <c r="I25" t="s">
        <v>42</v>
      </c>
      <c r="J25" t="s">
        <v>43</v>
      </c>
      <c r="K25" t="s">
        <v>44</v>
      </c>
      <c r="L25">
        <v>16</v>
      </c>
      <c r="M25">
        <v>16</v>
      </c>
      <c r="Q25">
        <v>202511</v>
      </c>
    </row>
    <row r="26" spans="1:17" x14ac:dyDescent="0.2">
      <c r="A26" t="s">
        <v>50</v>
      </c>
      <c r="C26" t="s">
        <v>98</v>
      </c>
      <c r="D26" t="s">
        <v>97</v>
      </c>
      <c r="E26" t="s">
        <v>118</v>
      </c>
      <c r="F26" t="s">
        <v>41</v>
      </c>
      <c r="G26" t="s">
        <v>252</v>
      </c>
      <c r="H26" t="s">
        <v>14</v>
      </c>
      <c r="I26" t="s">
        <v>42</v>
      </c>
      <c r="J26" t="s">
        <v>43</v>
      </c>
      <c r="K26" t="s">
        <v>44</v>
      </c>
      <c r="L26">
        <v>27</v>
      </c>
      <c r="M26">
        <v>27</v>
      </c>
      <c r="Q26">
        <v>202511</v>
      </c>
    </row>
    <row r="27" spans="1:17" x14ac:dyDescent="0.2">
      <c r="A27" t="s">
        <v>50</v>
      </c>
      <c r="C27" t="s">
        <v>98</v>
      </c>
      <c r="D27" t="s">
        <v>97</v>
      </c>
      <c r="E27" t="s">
        <v>97</v>
      </c>
      <c r="F27" t="s">
        <v>41</v>
      </c>
      <c r="G27" t="s">
        <v>253</v>
      </c>
      <c r="H27" t="s">
        <v>14</v>
      </c>
      <c r="I27" t="s">
        <v>42</v>
      </c>
      <c r="J27" t="s">
        <v>43</v>
      </c>
      <c r="K27" t="s">
        <v>44</v>
      </c>
      <c r="L27">
        <v>7</v>
      </c>
      <c r="M27">
        <v>7</v>
      </c>
      <c r="Q27">
        <v>202511</v>
      </c>
    </row>
    <row r="28" spans="1:17" x14ac:dyDescent="0.2">
      <c r="A28" t="s">
        <v>50</v>
      </c>
      <c r="C28" t="s">
        <v>98</v>
      </c>
      <c r="D28" t="s">
        <v>97</v>
      </c>
      <c r="E28" t="s">
        <v>97</v>
      </c>
      <c r="F28" t="s">
        <v>41</v>
      </c>
      <c r="G28" t="s">
        <v>254</v>
      </c>
      <c r="H28" t="s">
        <v>14</v>
      </c>
      <c r="I28" t="s">
        <v>42</v>
      </c>
      <c r="J28" t="s">
        <v>43</v>
      </c>
      <c r="K28" t="s">
        <v>44</v>
      </c>
      <c r="L28">
        <v>7</v>
      </c>
      <c r="M28">
        <v>7</v>
      </c>
      <c r="Q28">
        <v>202511</v>
      </c>
    </row>
    <row r="29" spans="1:17" x14ac:dyDescent="0.2">
      <c r="A29" t="s">
        <v>50</v>
      </c>
      <c r="C29" t="s">
        <v>98</v>
      </c>
      <c r="D29" t="s">
        <v>97</v>
      </c>
      <c r="E29" t="s">
        <v>97</v>
      </c>
      <c r="F29" t="s">
        <v>41</v>
      </c>
      <c r="G29" t="s">
        <v>255</v>
      </c>
      <c r="H29" t="s">
        <v>14</v>
      </c>
      <c r="I29" t="s">
        <v>42</v>
      </c>
      <c r="J29" t="s">
        <v>43</v>
      </c>
      <c r="K29" t="s">
        <v>44</v>
      </c>
      <c r="L29">
        <v>7</v>
      </c>
      <c r="M29">
        <v>7</v>
      </c>
      <c r="Q29">
        <v>202511</v>
      </c>
    </row>
    <row r="30" spans="1:17" x14ac:dyDescent="0.2">
      <c r="A30" t="s">
        <v>50</v>
      </c>
      <c r="C30" t="s">
        <v>98</v>
      </c>
      <c r="D30" t="s">
        <v>97</v>
      </c>
      <c r="E30" t="s">
        <v>226</v>
      </c>
      <c r="F30" t="s">
        <v>41</v>
      </c>
      <c r="G30" t="s">
        <v>256</v>
      </c>
      <c r="H30" t="s">
        <v>14</v>
      </c>
      <c r="I30" t="s">
        <v>42</v>
      </c>
      <c r="J30" t="s">
        <v>43</v>
      </c>
      <c r="K30" t="s">
        <v>44</v>
      </c>
      <c r="L30">
        <v>7</v>
      </c>
      <c r="M30">
        <v>7</v>
      </c>
      <c r="Q30">
        <v>202511</v>
      </c>
    </row>
    <row r="31" spans="1:17" x14ac:dyDescent="0.2">
      <c r="A31" t="s">
        <v>50</v>
      </c>
      <c r="C31" t="s">
        <v>98</v>
      </c>
      <c r="D31" t="s">
        <v>97</v>
      </c>
      <c r="E31" t="s">
        <v>161</v>
      </c>
      <c r="F31" t="s">
        <v>41</v>
      </c>
      <c r="G31" t="s">
        <v>257</v>
      </c>
      <c r="H31" t="s">
        <v>14</v>
      </c>
      <c r="I31" t="s">
        <v>42</v>
      </c>
      <c r="J31" t="s">
        <v>43</v>
      </c>
      <c r="K31" t="s">
        <v>44</v>
      </c>
      <c r="L31">
        <v>2.8</v>
      </c>
      <c r="M31">
        <v>2.8</v>
      </c>
      <c r="Q31">
        <v>202511</v>
      </c>
    </row>
    <row r="32" spans="1:17" x14ac:dyDescent="0.2">
      <c r="A32" t="s">
        <v>50</v>
      </c>
      <c r="C32" t="s">
        <v>98</v>
      </c>
      <c r="D32" t="s">
        <v>97</v>
      </c>
      <c r="E32" t="s">
        <v>97</v>
      </c>
      <c r="F32" t="s">
        <v>41</v>
      </c>
      <c r="G32" t="s">
        <v>258</v>
      </c>
      <c r="H32" t="s">
        <v>14</v>
      </c>
      <c r="I32" t="s">
        <v>42</v>
      </c>
      <c r="J32" t="s">
        <v>43</v>
      </c>
      <c r="K32" t="s">
        <v>44</v>
      </c>
      <c r="L32">
        <v>7</v>
      </c>
      <c r="M32">
        <v>7</v>
      </c>
      <c r="Q32">
        <v>202511</v>
      </c>
    </row>
    <row r="33" spans="1:17" x14ac:dyDescent="0.2">
      <c r="A33" t="s">
        <v>50</v>
      </c>
      <c r="C33" t="s">
        <v>98</v>
      </c>
      <c r="D33" t="s">
        <v>97</v>
      </c>
      <c r="E33" t="s">
        <v>97</v>
      </c>
      <c r="F33" t="s">
        <v>41</v>
      </c>
      <c r="G33" t="s">
        <v>259</v>
      </c>
      <c r="H33" t="s">
        <v>14</v>
      </c>
      <c r="I33" t="s">
        <v>42</v>
      </c>
      <c r="J33" t="s">
        <v>43</v>
      </c>
      <c r="K33" t="s">
        <v>44</v>
      </c>
      <c r="L33">
        <v>7</v>
      </c>
      <c r="M33">
        <v>7</v>
      </c>
      <c r="Q33">
        <v>202511</v>
      </c>
    </row>
    <row r="34" spans="1:17" x14ac:dyDescent="0.2">
      <c r="A34" t="s">
        <v>50</v>
      </c>
      <c r="C34" t="s">
        <v>98</v>
      </c>
      <c r="D34" t="s">
        <v>97</v>
      </c>
      <c r="E34" t="s">
        <v>97</v>
      </c>
      <c r="F34" t="s">
        <v>41</v>
      </c>
      <c r="G34" t="s">
        <v>260</v>
      </c>
      <c r="H34" t="s">
        <v>14</v>
      </c>
      <c r="I34" t="s">
        <v>42</v>
      </c>
      <c r="J34" t="s">
        <v>43</v>
      </c>
      <c r="K34" t="s">
        <v>44</v>
      </c>
      <c r="L34">
        <v>27</v>
      </c>
      <c r="M34">
        <v>27</v>
      </c>
      <c r="Q34">
        <v>202511</v>
      </c>
    </row>
    <row r="35" spans="1:17" x14ac:dyDescent="0.2">
      <c r="A35" t="s">
        <v>50</v>
      </c>
      <c r="C35" t="s">
        <v>98</v>
      </c>
      <c r="D35" t="s">
        <v>97</v>
      </c>
      <c r="E35" t="s">
        <v>186</v>
      </c>
      <c r="F35" t="s">
        <v>41</v>
      </c>
      <c r="G35" t="s">
        <v>261</v>
      </c>
      <c r="H35" t="s">
        <v>14</v>
      </c>
      <c r="I35" t="s">
        <v>42</v>
      </c>
      <c r="J35" t="s">
        <v>43</v>
      </c>
      <c r="K35" t="s">
        <v>44</v>
      </c>
      <c r="L35">
        <v>4.2</v>
      </c>
      <c r="M35">
        <v>4.2</v>
      </c>
      <c r="Q35">
        <v>202511</v>
      </c>
    </row>
    <row r="36" spans="1:17" x14ac:dyDescent="0.2">
      <c r="A36" t="s">
        <v>50</v>
      </c>
      <c r="C36" t="s">
        <v>98</v>
      </c>
      <c r="D36" t="s">
        <v>97</v>
      </c>
      <c r="E36" t="s">
        <v>107</v>
      </c>
      <c r="F36" t="s">
        <v>41</v>
      </c>
      <c r="G36" t="s">
        <v>262</v>
      </c>
      <c r="H36" t="s">
        <v>14</v>
      </c>
      <c r="I36" t="s">
        <v>42</v>
      </c>
      <c r="J36" t="s">
        <v>43</v>
      </c>
      <c r="K36" t="s">
        <v>44</v>
      </c>
      <c r="L36">
        <v>7</v>
      </c>
      <c r="M36">
        <v>7</v>
      </c>
      <c r="Q36">
        <v>202511</v>
      </c>
    </row>
    <row r="37" spans="1:17" x14ac:dyDescent="0.2">
      <c r="A37" t="s">
        <v>50</v>
      </c>
      <c r="C37" t="s">
        <v>98</v>
      </c>
      <c r="D37" t="s">
        <v>97</v>
      </c>
      <c r="E37" t="s">
        <v>97</v>
      </c>
      <c r="F37" t="s">
        <v>41</v>
      </c>
      <c r="G37" t="s">
        <v>263</v>
      </c>
      <c r="H37" t="s">
        <v>14</v>
      </c>
      <c r="I37" t="s">
        <v>42</v>
      </c>
      <c r="J37" t="s">
        <v>43</v>
      </c>
      <c r="K37" t="s">
        <v>44</v>
      </c>
      <c r="L37">
        <v>7</v>
      </c>
      <c r="M37">
        <v>7</v>
      </c>
      <c r="Q37">
        <v>202511</v>
      </c>
    </row>
    <row r="38" spans="1:17" x14ac:dyDescent="0.2">
      <c r="A38" t="s">
        <v>50</v>
      </c>
      <c r="C38" t="s">
        <v>98</v>
      </c>
      <c r="D38" t="s">
        <v>97</v>
      </c>
      <c r="E38" t="s">
        <v>97</v>
      </c>
      <c r="F38" t="s">
        <v>41</v>
      </c>
      <c r="G38" t="s">
        <v>264</v>
      </c>
      <c r="H38" t="s">
        <v>14</v>
      </c>
      <c r="I38" t="s">
        <v>42</v>
      </c>
      <c r="J38" t="s">
        <v>43</v>
      </c>
      <c r="K38" t="s">
        <v>44</v>
      </c>
      <c r="L38">
        <v>7</v>
      </c>
      <c r="M38">
        <v>7</v>
      </c>
      <c r="Q38">
        <v>202511</v>
      </c>
    </row>
    <row r="39" spans="1:17" x14ac:dyDescent="0.2">
      <c r="A39" t="s">
        <v>50</v>
      </c>
      <c r="C39" t="s">
        <v>98</v>
      </c>
      <c r="D39" t="s">
        <v>97</v>
      </c>
      <c r="E39" t="s">
        <v>97</v>
      </c>
      <c r="F39" t="s">
        <v>41</v>
      </c>
      <c r="G39" t="s">
        <v>265</v>
      </c>
      <c r="H39" t="s">
        <v>14</v>
      </c>
      <c r="I39" t="s">
        <v>42</v>
      </c>
      <c r="J39" t="s">
        <v>43</v>
      </c>
      <c r="K39" t="s">
        <v>44</v>
      </c>
      <c r="L39">
        <v>7</v>
      </c>
      <c r="M39">
        <v>7</v>
      </c>
      <c r="Q39">
        <v>202511</v>
      </c>
    </row>
    <row r="40" spans="1:17" x14ac:dyDescent="0.2">
      <c r="A40" t="s">
        <v>50</v>
      </c>
      <c r="C40" t="s">
        <v>98</v>
      </c>
      <c r="D40" t="s">
        <v>97</v>
      </c>
      <c r="E40" t="s">
        <v>186</v>
      </c>
      <c r="F40" t="s">
        <v>41</v>
      </c>
      <c r="G40" t="s">
        <v>266</v>
      </c>
      <c r="H40" t="s">
        <v>14</v>
      </c>
      <c r="I40" t="s">
        <v>42</v>
      </c>
      <c r="J40" t="s">
        <v>43</v>
      </c>
      <c r="K40" t="s">
        <v>44</v>
      </c>
      <c r="L40">
        <v>4.2</v>
      </c>
      <c r="M40">
        <v>4.2</v>
      </c>
      <c r="Q40">
        <v>202511</v>
      </c>
    </row>
    <row r="41" spans="1:17" x14ac:dyDescent="0.2">
      <c r="A41" t="s">
        <v>50</v>
      </c>
      <c r="C41" t="s">
        <v>98</v>
      </c>
      <c r="D41" t="s">
        <v>97</v>
      </c>
      <c r="E41" t="s">
        <v>97</v>
      </c>
      <c r="F41" t="s">
        <v>41</v>
      </c>
      <c r="G41" t="s">
        <v>267</v>
      </c>
      <c r="H41" t="s">
        <v>14</v>
      </c>
      <c r="I41" t="s">
        <v>42</v>
      </c>
      <c r="J41" t="s">
        <v>43</v>
      </c>
      <c r="K41" t="s">
        <v>44</v>
      </c>
      <c r="L41">
        <v>7</v>
      </c>
      <c r="M41">
        <v>7</v>
      </c>
      <c r="Q41">
        <v>202511</v>
      </c>
    </row>
    <row r="42" spans="1:17" x14ac:dyDescent="0.2">
      <c r="A42" t="s">
        <v>50</v>
      </c>
      <c r="C42" t="s">
        <v>98</v>
      </c>
      <c r="D42" t="s">
        <v>97</v>
      </c>
      <c r="E42" t="s">
        <v>97</v>
      </c>
      <c r="F42" t="s">
        <v>41</v>
      </c>
      <c r="G42" t="s">
        <v>268</v>
      </c>
      <c r="H42" t="s">
        <v>14</v>
      </c>
      <c r="I42" t="s">
        <v>42</v>
      </c>
      <c r="J42" t="s">
        <v>43</v>
      </c>
      <c r="K42" t="s">
        <v>44</v>
      </c>
      <c r="L42">
        <v>7</v>
      </c>
      <c r="M42">
        <v>7</v>
      </c>
      <c r="Q42">
        <v>202511</v>
      </c>
    </row>
    <row r="43" spans="1:17" x14ac:dyDescent="0.2">
      <c r="A43" t="s">
        <v>50</v>
      </c>
      <c r="C43" t="s">
        <v>98</v>
      </c>
      <c r="D43" t="s">
        <v>97</v>
      </c>
      <c r="E43" t="s">
        <v>154</v>
      </c>
      <c r="F43" t="s">
        <v>41</v>
      </c>
      <c r="G43" t="s">
        <v>269</v>
      </c>
      <c r="H43" t="s">
        <v>14</v>
      </c>
      <c r="I43" t="s">
        <v>42</v>
      </c>
      <c r="J43" t="s">
        <v>43</v>
      </c>
      <c r="K43" t="s">
        <v>44</v>
      </c>
      <c r="L43">
        <v>16.2</v>
      </c>
      <c r="M43">
        <v>16.2</v>
      </c>
      <c r="Q43">
        <v>202511</v>
      </c>
    </row>
    <row r="44" spans="1:17" x14ac:dyDescent="0.2">
      <c r="A44" t="s">
        <v>50</v>
      </c>
      <c r="C44" t="s">
        <v>98</v>
      </c>
      <c r="D44" t="s">
        <v>97</v>
      </c>
      <c r="E44" t="s">
        <v>97</v>
      </c>
      <c r="F44" t="s">
        <v>41</v>
      </c>
      <c r="G44" t="s">
        <v>270</v>
      </c>
      <c r="H44" t="s">
        <v>14</v>
      </c>
      <c r="I44" t="s">
        <v>42</v>
      </c>
      <c r="J44" t="s">
        <v>43</v>
      </c>
      <c r="K44" t="s">
        <v>44</v>
      </c>
      <c r="L44">
        <v>7</v>
      </c>
      <c r="M44">
        <v>7</v>
      </c>
      <c r="Q44">
        <v>202511</v>
      </c>
    </row>
    <row r="45" spans="1:17" x14ac:dyDescent="0.2">
      <c r="A45" t="s">
        <v>50</v>
      </c>
      <c r="C45" t="s">
        <v>98</v>
      </c>
      <c r="D45" t="s">
        <v>97</v>
      </c>
      <c r="E45" t="s">
        <v>182</v>
      </c>
      <c r="F45" t="s">
        <v>41</v>
      </c>
      <c r="G45" t="s">
        <v>271</v>
      </c>
      <c r="H45" t="s">
        <v>14</v>
      </c>
      <c r="I45" t="s">
        <v>42</v>
      </c>
      <c r="J45" t="s">
        <v>43</v>
      </c>
      <c r="K45" t="s">
        <v>44</v>
      </c>
      <c r="L45">
        <v>7</v>
      </c>
      <c r="M45">
        <v>7</v>
      </c>
      <c r="Q45">
        <v>202511</v>
      </c>
    </row>
    <row r="46" spans="1:17" x14ac:dyDescent="0.2">
      <c r="A46" t="s">
        <v>50</v>
      </c>
      <c r="C46" t="s">
        <v>98</v>
      </c>
      <c r="D46" t="s">
        <v>97</v>
      </c>
      <c r="E46" t="s">
        <v>97</v>
      </c>
      <c r="F46" t="s">
        <v>41</v>
      </c>
      <c r="G46" t="s">
        <v>272</v>
      </c>
      <c r="H46" t="s">
        <v>14</v>
      </c>
      <c r="I46" t="s">
        <v>42</v>
      </c>
      <c r="J46" t="s">
        <v>43</v>
      </c>
      <c r="K46" t="s">
        <v>44</v>
      </c>
      <c r="L46">
        <v>7</v>
      </c>
      <c r="M46">
        <v>7</v>
      </c>
      <c r="Q46">
        <v>202511</v>
      </c>
    </row>
    <row r="47" spans="1:17" x14ac:dyDescent="0.2">
      <c r="A47" t="s">
        <v>50</v>
      </c>
      <c r="C47" t="s">
        <v>98</v>
      </c>
      <c r="D47" t="s">
        <v>97</v>
      </c>
      <c r="E47" t="s">
        <v>233</v>
      </c>
      <c r="F47" t="s">
        <v>41</v>
      </c>
      <c r="G47" t="s">
        <v>273</v>
      </c>
      <c r="H47" t="s">
        <v>14</v>
      </c>
      <c r="I47" t="s">
        <v>42</v>
      </c>
      <c r="J47" t="s">
        <v>43</v>
      </c>
      <c r="K47" t="s">
        <v>44</v>
      </c>
      <c r="L47">
        <v>4.2</v>
      </c>
      <c r="M47">
        <v>4.2</v>
      </c>
      <c r="Q47">
        <v>202511</v>
      </c>
    </row>
    <row r="48" spans="1:17" x14ac:dyDescent="0.2">
      <c r="A48" t="s">
        <v>50</v>
      </c>
      <c r="C48" t="s">
        <v>98</v>
      </c>
      <c r="D48" t="s">
        <v>97</v>
      </c>
      <c r="E48" t="s">
        <v>182</v>
      </c>
      <c r="F48" t="s">
        <v>41</v>
      </c>
      <c r="G48" t="s">
        <v>274</v>
      </c>
      <c r="H48" t="s">
        <v>14</v>
      </c>
      <c r="I48" t="s">
        <v>42</v>
      </c>
      <c r="J48" t="s">
        <v>43</v>
      </c>
      <c r="K48" t="s">
        <v>44</v>
      </c>
      <c r="L48">
        <v>27</v>
      </c>
      <c r="M48">
        <v>27</v>
      </c>
      <c r="Q48">
        <v>202511</v>
      </c>
    </row>
    <row r="49" spans="1:17" x14ac:dyDescent="0.2">
      <c r="A49" t="s">
        <v>50</v>
      </c>
      <c r="C49" t="s">
        <v>98</v>
      </c>
      <c r="D49" t="s">
        <v>97</v>
      </c>
      <c r="E49" t="s">
        <v>97</v>
      </c>
      <c r="F49" t="s">
        <v>41</v>
      </c>
      <c r="G49" t="s">
        <v>275</v>
      </c>
      <c r="H49" t="s">
        <v>14</v>
      </c>
      <c r="I49" t="s">
        <v>42</v>
      </c>
      <c r="J49" t="s">
        <v>43</v>
      </c>
      <c r="K49" t="s">
        <v>44</v>
      </c>
      <c r="L49">
        <v>7</v>
      </c>
      <c r="M49">
        <v>7</v>
      </c>
      <c r="Q49">
        <v>202511</v>
      </c>
    </row>
    <row r="50" spans="1:17" x14ac:dyDescent="0.2">
      <c r="A50" t="s">
        <v>50</v>
      </c>
      <c r="C50" t="s">
        <v>98</v>
      </c>
      <c r="D50" t="s">
        <v>97</v>
      </c>
      <c r="E50" t="s">
        <v>97</v>
      </c>
      <c r="F50" t="s">
        <v>41</v>
      </c>
      <c r="G50" t="s">
        <v>276</v>
      </c>
      <c r="H50" t="s">
        <v>14</v>
      </c>
      <c r="I50" t="s">
        <v>42</v>
      </c>
      <c r="J50" t="s">
        <v>43</v>
      </c>
      <c r="K50" t="s">
        <v>44</v>
      </c>
      <c r="L50">
        <v>7</v>
      </c>
      <c r="M50">
        <v>7</v>
      </c>
      <c r="Q50">
        <v>202511</v>
      </c>
    </row>
    <row r="51" spans="1:17" x14ac:dyDescent="0.2">
      <c r="A51" t="s">
        <v>50</v>
      </c>
      <c r="C51" t="s">
        <v>98</v>
      </c>
      <c r="D51" t="s">
        <v>97</v>
      </c>
      <c r="E51" t="s">
        <v>97</v>
      </c>
      <c r="F51" t="s">
        <v>41</v>
      </c>
      <c r="G51" t="s">
        <v>277</v>
      </c>
      <c r="H51" t="s">
        <v>14</v>
      </c>
      <c r="I51" t="s">
        <v>42</v>
      </c>
      <c r="J51" t="s">
        <v>43</v>
      </c>
      <c r="K51" t="s">
        <v>44</v>
      </c>
      <c r="L51">
        <v>7</v>
      </c>
      <c r="M51">
        <v>7</v>
      </c>
      <c r="Q51">
        <v>202511</v>
      </c>
    </row>
    <row r="52" spans="1:17" x14ac:dyDescent="0.2">
      <c r="A52" t="s">
        <v>50</v>
      </c>
      <c r="C52" t="s">
        <v>98</v>
      </c>
      <c r="D52" t="s">
        <v>97</v>
      </c>
      <c r="E52" t="s">
        <v>233</v>
      </c>
      <c r="F52" t="s">
        <v>41</v>
      </c>
      <c r="G52" t="s">
        <v>278</v>
      </c>
      <c r="H52" t="s">
        <v>14</v>
      </c>
      <c r="I52" t="s">
        <v>42</v>
      </c>
      <c r="J52" t="s">
        <v>43</v>
      </c>
      <c r="K52" t="s">
        <v>44</v>
      </c>
      <c r="L52">
        <v>9.6</v>
      </c>
      <c r="M52">
        <v>9.6</v>
      </c>
      <c r="Q52">
        <v>202511</v>
      </c>
    </row>
    <row r="53" spans="1:17" x14ac:dyDescent="0.2">
      <c r="A53" t="s">
        <v>50</v>
      </c>
      <c r="C53" t="s">
        <v>98</v>
      </c>
      <c r="D53" t="s">
        <v>97</v>
      </c>
      <c r="E53" t="s">
        <v>97</v>
      </c>
      <c r="F53" t="s">
        <v>41</v>
      </c>
      <c r="G53" t="s">
        <v>279</v>
      </c>
      <c r="H53" t="s">
        <v>14</v>
      </c>
      <c r="I53" t="s">
        <v>42</v>
      </c>
      <c r="J53" t="s">
        <v>43</v>
      </c>
      <c r="K53" t="s">
        <v>44</v>
      </c>
      <c r="L53">
        <v>7</v>
      </c>
      <c r="M53">
        <v>7</v>
      </c>
      <c r="Q53">
        <v>202511</v>
      </c>
    </row>
    <row r="54" spans="1:17" x14ac:dyDescent="0.2">
      <c r="A54" t="s">
        <v>50</v>
      </c>
      <c r="C54" t="s">
        <v>98</v>
      </c>
      <c r="D54" t="s">
        <v>97</v>
      </c>
      <c r="E54" t="s">
        <v>107</v>
      </c>
      <c r="F54" t="s">
        <v>41</v>
      </c>
      <c r="G54" t="s">
        <v>280</v>
      </c>
      <c r="H54" t="s">
        <v>14</v>
      </c>
      <c r="I54" t="s">
        <v>42</v>
      </c>
      <c r="J54" t="s">
        <v>43</v>
      </c>
      <c r="K54" t="s">
        <v>44</v>
      </c>
      <c r="L54">
        <v>7</v>
      </c>
      <c r="M54">
        <v>7</v>
      </c>
      <c r="Q54">
        <v>202511</v>
      </c>
    </row>
    <row r="55" spans="1:17" x14ac:dyDescent="0.2">
      <c r="A55" t="s">
        <v>50</v>
      </c>
      <c r="C55" t="s">
        <v>98</v>
      </c>
      <c r="D55" t="s">
        <v>97</v>
      </c>
      <c r="E55" t="s">
        <v>97</v>
      </c>
      <c r="F55" t="s">
        <v>41</v>
      </c>
      <c r="G55" t="s">
        <v>281</v>
      </c>
      <c r="H55" t="s">
        <v>14</v>
      </c>
      <c r="I55" t="s">
        <v>42</v>
      </c>
      <c r="J55" t="s">
        <v>43</v>
      </c>
      <c r="K55" t="s">
        <v>44</v>
      </c>
      <c r="L55">
        <v>7</v>
      </c>
      <c r="M55">
        <v>7</v>
      </c>
      <c r="Q55">
        <v>202511</v>
      </c>
    </row>
    <row r="56" spans="1:17" x14ac:dyDescent="0.2">
      <c r="A56" t="s">
        <v>50</v>
      </c>
      <c r="C56" t="s">
        <v>98</v>
      </c>
      <c r="D56" t="s">
        <v>97</v>
      </c>
      <c r="E56" t="s">
        <v>107</v>
      </c>
      <c r="F56" t="s">
        <v>41</v>
      </c>
      <c r="G56" t="s">
        <v>282</v>
      </c>
      <c r="H56" t="s">
        <v>14</v>
      </c>
      <c r="I56" t="s">
        <v>42</v>
      </c>
      <c r="J56" t="s">
        <v>43</v>
      </c>
      <c r="K56" t="s">
        <v>44</v>
      </c>
      <c r="L56">
        <v>27</v>
      </c>
      <c r="M56">
        <v>27</v>
      </c>
      <c r="Q56">
        <v>202511</v>
      </c>
    </row>
    <row r="57" spans="1:17" x14ac:dyDescent="0.2">
      <c r="A57" t="s">
        <v>50</v>
      </c>
      <c r="C57" t="s">
        <v>98</v>
      </c>
      <c r="D57" t="s">
        <v>97</v>
      </c>
      <c r="E57" t="s">
        <v>125</v>
      </c>
      <c r="F57" t="s">
        <v>41</v>
      </c>
      <c r="G57" t="s">
        <v>283</v>
      </c>
      <c r="H57" t="s">
        <v>14</v>
      </c>
      <c r="I57" t="s">
        <v>42</v>
      </c>
      <c r="J57" t="s">
        <v>43</v>
      </c>
      <c r="K57" t="s">
        <v>44</v>
      </c>
      <c r="L57">
        <v>7</v>
      </c>
      <c r="M57">
        <v>7</v>
      </c>
      <c r="Q57">
        <v>202511</v>
      </c>
    </row>
    <row r="58" spans="1:17" x14ac:dyDescent="0.2">
      <c r="A58" t="s">
        <v>50</v>
      </c>
      <c r="C58" t="s">
        <v>98</v>
      </c>
      <c r="D58" t="s">
        <v>97</v>
      </c>
      <c r="E58" t="s">
        <v>97</v>
      </c>
      <c r="F58" t="s">
        <v>41</v>
      </c>
      <c r="G58" t="s">
        <v>284</v>
      </c>
      <c r="H58" t="s">
        <v>14</v>
      </c>
      <c r="I58" t="s">
        <v>42</v>
      </c>
      <c r="J58" t="s">
        <v>43</v>
      </c>
      <c r="K58" t="s">
        <v>44</v>
      </c>
      <c r="L58">
        <v>7</v>
      </c>
      <c r="M58">
        <v>7</v>
      </c>
      <c r="Q58">
        <v>202511</v>
      </c>
    </row>
    <row r="59" spans="1:17" x14ac:dyDescent="0.2">
      <c r="A59" t="s">
        <v>50</v>
      </c>
      <c r="C59" t="s">
        <v>98</v>
      </c>
      <c r="D59" t="s">
        <v>97</v>
      </c>
      <c r="E59" t="s">
        <v>97</v>
      </c>
      <c r="F59" t="s">
        <v>41</v>
      </c>
      <c r="G59" t="s">
        <v>285</v>
      </c>
      <c r="H59" t="s">
        <v>14</v>
      </c>
      <c r="I59" t="s">
        <v>42</v>
      </c>
      <c r="J59" t="s">
        <v>43</v>
      </c>
      <c r="K59" t="s">
        <v>44</v>
      </c>
      <c r="L59">
        <v>7</v>
      </c>
      <c r="M59">
        <v>7</v>
      </c>
      <c r="Q59">
        <v>202511</v>
      </c>
    </row>
    <row r="60" spans="1:17" x14ac:dyDescent="0.2">
      <c r="A60" t="s">
        <v>50</v>
      </c>
      <c r="C60" t="s">
        <v>98</v>
      </c>
      <c r="D60" t="s">
        <v>97</v>
      </c>
      <c r="E60" t="s">
        <v>107</v>
      </c>
      <c r="F60" t="s">
        <v>41</v>
      </c>
      <c r="G60" t="s">
        <v>286</v>
      </c>
      <c r="H60" t="s">
        <v>14</v>
      </c>
      <c r="I60" t="s">
        <v>42</v>
      </c>
      <c r="J60" t="s">
        <v>43</v>
      </c>
      <c r="K60" t="s">
        <v>44</v>
      </c>
      <c r="L60">
        <v>16</v>
      </c>
      <c r="M60">
        <v>16</v>
      </c>
      <c r="Q60">
        <v>202511</v>
      </c>
    </row>
    <row r="61" spans="1:17" x14ac:dyDescent="0.2">
      <c r="A61" t="s">
        <v>50</v>
      </c>
      <c r="C61" t="s">
        <v>98</v>
      </c>
      <c r="D61" t="s">
        <v>97</v>
      </c>
      <c r="E61" t="s">
        <v>97</v>
      </c>
      <c r="F61" t="s">
        <v>41</v>
      </c>
      <c r="G61" t="s">
        <v>287</v>
      </c>
      <c r="H61" t="s">
        <v>14</v>
      </c>
      <c r="I61" t="s">
        <v>42</v>
      </c>
      <c r="J61" t="s">
        <v>43</v>
      </c>
      <c r="K61" t="s">
        <v>44</v>
      </c>
      <c r="L61">
        <v>7</v>
      </c>
      <c r="M61">
        <v>7</v>
      </c>
      <c r="Q61">
        <v>202510</v>
      </c>
    </row>
    <row r="62" spans="1:17" x14ac:dyDescent="0.2">
      <c r="A62" t="s">
        <v>50</v>
      </c>
      <c r="C62" t="s">
        <v>98</v>
      </c>
      <c r="D62" t="s">
        <v>97</v>
      </c>
      <c r="E62" t="s">
        <v>97</v>
      </c>
      <c r="F62" t="s">
        <v>41</v>
      </c>
      <c r="G62" t="s">
        <v>288</v>
      </c>
      <c r="H62" t="s">
        <v>14</v>
      </c>
      <c r="I62" t="s">
        <v>42</v>
      </c>
      <c r="J62" t="s">
        <v>43</v>
      </c>
      <c r="K62" t="s">
        <v>44</v>
      </c>
      <c r="L62">
        <v>7</v>
      </c>
      <c r="M62">
        <v>7</v>
      </c>
      <c r="Q62">
        <v>202510</v>
      </c>
    </row>
    <row r="63" spans="1:17" x14ac:dyDescent="0.2">
      <c r="A63" t="s">
        <v>50</v>
      </c>
      <c r="C63" t="s">
        <v>98</v>
      </c>
      <c r="D63" t="s">
        <v>97</v>
      </c>
      <c r="E63" t="s">
        <v>97</v>
      </c>
      <c r="F63" t="s">
        <v>41</v>
      </c>
      <c r="G63" t="s">
        <v>289</v>
      </c>
      <c r="H63" t="s">
        <v>14</v>
      </c>
      <c r="I63" t="s">
        <v>42</v>
      </c>
      <c r="J63" t="s">
        <v>43</v>
      </c>
      <c r="K63" t="s">
        <v>44</v>
      </c>
      <c r="L63">
        <v>7</v>
      </c>
      <c r="M63">
        <v>7</v>
      </c>
      <c r="Q63">
        <v>202510</v>
      </c>
    </row>
    <row r="64" spans="1:17" x14ac:dyDescent="0.2">
      <c r="A64" t="s">
        <v>50</v>
      </c>
      <c r="C64" t="s">
        <v>98</v>
      </c>
      <c r="D64" t="s">
        <v>97</v>
      </c>
      <c r="E64" t="s">
        <v>97</v>
      </c>
      <c r="F64" t="s">
        <v>41</v>
      </c>
      <c r="G64" t="s">
        <v>290</v>
      </c>
      <c r="H64" t="s">
        <v>14</v>
      </c>
      <c r="I64" t="s">
        <v>42</v>
      </c>
      <c r="J64" t="s">
        <v>43</v>
      </c>
      <c r="K64" t="s">
        <v>44</v>
      </c>
      <c r="L64">
        <v>7</v>
      </c>
      <c r="M64">
        <v>7</v>
      </c>
      <c r="Q64">
        <v>202510</v>
      </c>
    </row>
    <row r="65" spans="1:17" x14ac:dyDescent="0.2">
      <c r="A65" t="s">
        <v>50</v>
      </c>
      <c r="C65" t="s">
        <v>98</v>
      </c>
      <c r="D65" t="s">
        <v>97</v>
      </c>
      <c r="E65" t="s">
        <v>97</v>
      </c>
      <c r="F65" t="s">
        <v>41</v>
      </c>
      <c r="G65" t="s">
        <v>291</v>
      </c>
      <c r="H65" t="s">
        <v>14</v>
      </c>
      <c r="I65" t="s">
        <v>42</v>
      </c>
      <c r="J65" t="s">
        <v>43</v>
      </c>
      <c r="K65" t="s">
        <v>44</v>
      </c>
      <c r="L65">
        <v>7</v>
      </c>
      <c r="M65">
        <v>7</v>
      </c>
      <c r="Q65">
        <v>202510</v>
      </c>
    </row>
    <row r="66" spans="1:17" x14ac:dyDescent="0.2">
      <c r="A66" t="s">
        <v>50</v>
      </c>
      <c r="C66" t="s">
        <v>98</v>
      </c>
      <c r="D66" t="s">
        <v>97</v>
      </c>
      <c r="E66" t="s">
        <v>97</v>
      </c>
      <c r="F66" t="s">
        <v>41</v>
      </c>
      <c r="G66" t="s">
        <v>292</v>
      </c>
      <c r="H66" t="s">
        <v>14</v>
      </c>
      <c r="I66" t="s">
        <v>42</v>
      </c>
      <c r="J66" t="s">
        <v>43</v>
      </c>
      <c r="K66" t="s">
        <v>44</v>
      </c>
      <c r="L66">
        <v>16</v>
      </c>
      <c r="M66">
        <v>16</v>
      </c>
      <c r="Q66">
        <v>202510</v>
      </c>
    </row>
    <row r="67" spans="1:17" x14ac:dyDescent="0.2">
      <c r="A67" t="s">
        <v>50</v>
      </c>
      <c r="C67" t="s">
        <v>98</v>
      </c>
      <c r="D67" t="s">
        <v>97</v>
      </c>
      <c r="E67" t="s">
        <v>97</v>
      </c>
      <c r="F67" t="s">
        <v>41</v>
      </c>
      <c r="G67" t="s">
        <v>293</v>
      </c>
      <c r="H67" t="s">
        <v>14</v>
      </c>
      <c r="I67" t="s">
        <v>42</v>
      </c>
      <c r="J67" t="s">
        <v>43</v>
      </c>
      <c r="K67" t="s">
        <v>44</v>
      </c>
      <c r="L67">
        <v>27</v>
      </c>
      <c r="M67">
        <v>27</v>
      </c>
      <c r="Q67">
        <v>202510</v>
      </c>
    </row>
    <row r="68" spans="1:17" x14ac:dyDescent="0.2">
      <c r="A68" t="s">
        <v>50</v>
      </c>
      <c r="C68" t="s">
        <v>98</v>
      </c>
      <c r="D68" t="s">
        <v>97</v>
      </c>
      <c r="E68" t="s">
        <v>97</v>
      </c>
      <c r="F68" t="s">
        <v>41</v>
      </c>
      <c r="G68" t="s">
        <v>294</v>
      </c>
      <c r="H68" t="s">
        <v>14</v>
      </c>
      <c r="I68" t="s">
        <v>42</v>
      </c>
      <c r="J68" t="s">
        <v>43</v>
      </c>
      <c r="K68" t="s">
        <v>44</v>
      </c>
      <c r="L68">
        <v>27</v>
      </c>
      <c r="M68">
        <v>27</v>
      </c>
      <c r="Q68">
        <v>202510</v>
      </c>
    </row>
    <row r="69" spans="1:17" x14ac:dyDescent="0.2">
      <c r="A69" t="s">
        <v>50</v>
      </c>
      <c r="C69" t="s">
        <v>98</v>
      </c>
      <c r="D69" t="s">
        <v>97</v>
      </c>
      <c r="E69" t="s">
        <v>97</v>
      </c>
      <c r="F69" t="s">
        <v>41</v>
      </c>
      <c r="G69" t="s">
        <v>295</v>
      </c>
      <c r="H69" t="s">
        <v>14</v>
      </c>
      <c r="I69" t="s">
        <v>42</v>
      </c>
      <c r="J69" t="s">
        <v>43</v>
      </c>
      <c r="K69" t="s">
        <v>44</v>
      </c>
      <c r="L69">
        <v>7</v>
      </c>
      <c r="M69">
        <v>7</v>
      </c>
      <c r="Q69">
        <v>202510</v>
      </c>
    </row>
    <row r="70" spans="1:17" x14ac:dyDescent="0.2">
      <c r="A70" t="s">
        <v>50</v>
      </c>
      <c r="C70" t="s">
        <v>98</v>
      </c>
      <c r="D70" t="s">
        <v>97</v>
      </c>
      <c r="E70" t="s">
        <v>97</v>
      </c>
      <c r="F70" t="s">
        <v>41</v>
      </c>
      <c r="G70" t="s">
        <v>296</v>
      </c>
      <c r="H70" t="s">
        <v>14</v>
      </c>
      <c r="I70" t="s">
        <v>42</v>
      </c>
      <c r="J70" t="s">
        <v>43</v>
      </c>
      <c r="K70" t="s">
        <v>44</v>
      </c>
      <c r="L70">
        <v>7</v>
      </c>
      <c r="M70">
        <v>7</v>
      </c>
      <c r="Q70">
        <v>202510</v>
      </c>
    </row>
    <row r="71" spans="1:17" x14ac:dyDescent="0.2">
      <c r="A71" t="s">
        <v>50</v>
      </c>
      <c r="C71" t="s">
        <v>98</v>
      </c>
      <c r="D71" t="s">
        <v>97</v>
      </c>
      <c r="E71" t="s">
        <v>97</v>
      </c>
      <c r="F71" t="s">
        <v>41</v>
      </c>
      <c r="G71" t="s">
        <v>297</v>
      </c>
      <c r="H71" t="s">
        <v>14</v>
      </c>
      <c r="I71" t="s">
        <v>42</v>
      </c>
      <c r="J71" t="s">
        <v>43</v>
      </c>
      <c r="K71" t="s">
        <v>44</v>
      </c>
      <c r="L71">
        <v>7</v>
      </c>
      <c r="M71">
        <v>7</v>
      </c>
      <c r="Q71">
        <v>202510</v>
      </c>
    </row>
    <row r="72" spans="1:17" x14ac:dyDescent="0.2">
      <c r="A72" t="s">
        <v>50</v>
      </c>
      <c r="C72" t="s">
        <v>98</v>
      </c>
      <c r="D72" t="s">
        <v>97</v>
      </c>
      <c r="E72" t="s">
        <v>97</v>
      </c>
      <c r="F72" t="s">
        <v>41</v>
      </c>
      <c r="G72" t="s">
        <v>298</v>
      </c>
      <c r="H72" t="s">
        <v>14</v>
      </c>
      <c r="I72" t="s">
        <v>42</v>
      </c>
      <c r="J72" t="s">
        <v>43</v>
      </c>
      <c r="K72" t="s">
        <v>44</v>
      </c>
      <c r="L72">
        <v>7</v>
      </c>
      <c r="M72">
        <v>7</v>
      </c>
      <c r="Q72">
        <v>202510</v>
      </c>
    </row>
    <row r="73" spans="1:17" x14ac:dyDescent="0.2">
      <c r="A73" t="s">
        <v>50</v>
      </c>
      <c r="C73" t="s">
        <v>98</v>
      </c>
      <c r="D73" t="s">
        <v>97</v>
      </c>
      <c r="E73" t="s">
        <v>97</v>
      </c>
      <c r="F73" t="s">
        <v>41</v>
      </c>
      <c r="G73" t="s">
        <v>299</v>
      </c>
      <c r="H73" t="s">
        <v>14</v>
      </c>
      <c r="I73" t="s">
        <v>42</v>
      </c>
      <c r="J73" t="s">
        <v>43</v>
      </c>
      <c r="K73" t="s">
        <v>44</v>
      </c>
      <c r="L73">
        <v>7</v>
      </c>
      <c r="M73">
        <v>7</v>
      </c>
      <c r="Q73">
        <v>202510</v>
      </c>
    </row>
    <row r="74" spans="1:17" x14ac:dyDescent="0.2">
      <c r="A74" t="s">
        <v>50</v>
      </c>
      <c r="C74" t="s">
        <v>98</v>
      </c>
      <c r="D74" t="s">
        <v>97</v>
      </c>
      <c r="E74" t="s">
        <v>97</v>
      </c>
      <c r="F74" t="s">
        <v>41</v>
      </c>
      <c r="G74" t="s">
        <v>300</v>
      </c>
      <c r="H74" t="s">
        <v>14</v>
      </c>
      <c r="I74" t="s">
        <v>42</v>
      </c>
      <c r="J74" t="s">
        <v>43</v>
      </c>
      <c r="K74" t="s">
        <v>44</v>
      </c>
      <c r="L74">
        <v>7</v>
      </c>
      <c r="M74">
        <v>7</v>
      </c>
      <c r="Q74">
        <v>202510</v>
      </c>
    </row>
    <row r="75" spans="1:17" x14ac:dyDescent="0.2">
      <c r="A75" t="s">
        <v>50</v>
      </c>
      <c r="C75" t="s">
        <v>98</v>
      </c>
      <c r="D75" t="s">
        <v>97</v>
      </c>
      <c r="E75" t="s">
        <v>97</v>
      </c>
      <c r="F75" t="s">
        <v>41</v>
      </c>
      <c r="G75" t="s">
        <v>301</v>
      </c>
      <c r="H75" t="s">
        <v>14</v>
      </c>
      <c r="I75" t="s">
        <v>42</v>
      </c>
      <c r="J75" t="s">
        <v>43</v>
      </c>
      <c r="K75" t="s">
        <v>44</v>
      </c>
      <c r="L75">
        <v>7</v>
      </c>
      <c r="M75">
        <v>7</v>
      </c>
      <c r="Q75">
        <v>202510</v>
      </c>
    </row>
    <row r="76" spans="1:17" x14ac:dyDescent="0.2">
      <c r="A76" t="s">
        <v>50</v>
      </c>
      <c r="C76" t="s">
        <v>98</v>
      </c>
      <c r="D76" t="s">
        <v>97</v>
      </c>
      <c r="E76" t="s">
        <v>97</v>
      </c>
      <c r="F76" t="s">
        <v>41</v>
      </c>
      <c r="G76" t="s">
        <v>302</v>
      </c>
      <c r="H76" t="s">
        <v>14</v>
      </c>
      <c r="I76" t="s">
        <v>42</v>
      </c>
      <c r="J76" t="s">
        <v>43</v>
      </c>
      <c r="K76" t="s">
        <v>44</v>
      </c>
      <c r="L76">
        <v>7</v>
      </c>
      <c r="M76">
        <v>7</v>
      </c>
      <c r="Q76">
        <v>202510</v>
      </c>
    </row>
    <row r="77" spans="1:17" x14ac:dyDescent="0.2">
      <c r="A77" t="s">
        <v>50</v>
      </c>
      <c r="C77" t="s">
        <v>98</v>
      </c>
      <c r="D77" t="s">
        <v>97</v>
      </c>
      <c r="E77" t="s">
        <v>97</v>
      </c>
      <c r="F77" t="s">
        <v>41</v>
      </c>
      <c r="G77" t="s">
        <v>303</v>
      </c>
      <c r="H77" t="s">
        <v>14</v>
      </c>
      <c r="I77" t="s">
        <v>42</v>
      </c>
      <c r="J77" t="s">
        <v>43</v>
      </c>
      <c r="K77" t="s">
        <v>44</v>
      </c>
      <c r="L77">
        <v>7</v>
      </c>
      <c r="M77">
        <v>7</v>
      </c>
      <c r="Q77">
        <v>202510</v>
      </c>
    </row>
    <row r="78" spans="1:17" x14ac:dyDescent="0.2">
      <c r="A78" t="s">
        <v>50</v>
      </c>
      <c r="C78" t="s">
        <v>98</v>
      </c>
      <c r="D78" t="s">
        <v>97</v>
      </c>
      <c r="E78" t="s">
        <v>97</v>
      </c>
      <c r="F78" t="s">
        <v>41</v>
      </c>
      <c r="G78" t="s">
        <v>304</v>
      </c>
      <c r="H78" t="s">
        <v>14</v>
      </c>
      <c r="I78" t="s">
        <v>42</v>
      </c>
      <c r="J78" t="s">
        <v>43</v>
      </c>
      <c r="K78" t="s">
        <v>44</v>
      </c>
      <c r="L78">
        <v>7</v>
      </c>
      <c r="M78">
        <v>7</v>
      </c>
      <c r="Q78">
        <v>202510</v>
      </c>
    </row>
    <row r="79" spans="1:17" x14ac:dyDescent="0.2">
      <c r="A79" t="s">
        <v>50</v>
      </c>
      <c r="C79" t="s">
        <v>98</v>
      </c>
      <c r="D79" t="s">
        <v>97</v>
      </c>
      <c r="E79" t="s">
        <v>97</v>
      </c>
      <c r="F79" t="s">
        <v>41</v>
      </c>
      <c r="G79" t="s">
        <v>305</v>
      </c>
      <c r="H79" t="s">
        <v>14</v>
      </c>
      <c r="I79" t="s">
        <v>42</v>
      </c>
      <c r="J79" t="s">
        <v>43</v>
      </c>
      <c r="K79" t="s">
        <v>44</v>
      </c>
      <c r="L79">
        <v>7</v>
      </c>
      <c r="M79">
        <v>7</v>
      </c>
      <c r="Q79">
        <v>202510</v>
      </c>
    </row>
    <row r="80" spans="1:17" x14ac:dyDescent="0.2">
      <c r="A80" t="s">
        <v>50</v>
      </c>
      <c r="C80" t="s">
        <v>98</v>
      </c>
      <c r="D80" t="s">
        <v>97</v>
      </c>
      <c r="E80" t="s">
        <v>97</v>
      </c>
      <c r="F80" t="s">
        <v>41</v>
      </c>
      <c r="G80" t="s">
        <v>306</v>
      </c>
      <c r="H80" t="s">
        <v>14</v>
      </c>
      <c r="I80" t="s">
        <v>42</v>
      </c>
      <c r="J80" t="s">
        <v>43</v>
      </c>
      <c r="K80" t="s">
        <v>44</v>
      </c>
      <c r="L80">
        <v>7</v>
      </c>
      <c r="M80">
        <v>7</v>
      </c>
      <c r="Q80">
        <v>202510</v>
      </c>
    </row>
    <row r="81" spans="1:17" x14ac:dyDescent="0.2">
      <c r="A81" t="s">
        <v>50</v>
      </c>
      <c r="C81" t="s">
        <v>98</v>
      </c>
      <c r="D81" t="s">
        <v>97</v>
      </c>
      <c r="E81" t="s">
        <v>97</v>
      </c>
      <c r="F81" t="s">
        <v>41</v>
      </c>
      <c r="G81" t="s">
        <v>307</v>
      </c>
      <c r="H81" t="s">
        <v>14</v>
      </c>
      <c r="I81" t="s">
        <v>42</v>
      </c>
      <c r="J81" t="s">
        <v>43</v>
      </c>
      <c r="K81" t="s">
        <v>44</v>
      </c>
      <c r="L81">
        <v>7</v>
      </c>
      <c r="M81">
        <v>7</v>
      </c>
      <c r="Q81">
        <v>202510</v>
      </c>
    </row>
    <row r="82" spans="1:17" x14ac:dyDescent="0.2">
      <c r="A82" t="s">
        <v>50</v>
      </c>
      <c r="C82" t="s">
        <v>98</v>
      </c>
      <c r="D82" t="s">
        <v>97</v>
      </c>
      <c r="E82" t="s">
        <v>97</v>
      </c>
      <c r="F82" t="s">
        <v>41</v>
      </c>
      <c r="G82" t="s">
        <v>308</v>
      </c>
      <c r="H82" t="s">
        <v>14</v>
      </c>
      <c r="I82" t="s">
        <v>42</v>
      </c>
      <c r="J82" t="s">
        <v>43</v>
      </c>
      <c r="K82" t="s">
        <v>44</v>
      </c>
      <c r="L82">
        <v>7</v>
      </c>
      <c r="M82">
        <v>7</v>
      </c>
      <c r="Q82">
        <v>202510</v>
      </c>
    </row>
    <row r="83" spans="1:17" x14ac:dyDescent="0.2">
      <c r="A83" t="s">
        <v>50</v>
      </c>
      <c r="C83" t="s">
        <v>98</v>
      </c>
      <c r="D83" t="s">
        <v>97</v>
      </c>
      <c r="E83" t="s">
        <v>97</v>
      </c>
      <c r="F83" t="s">
        <v>41</v>
      </c>
      <c r="G83" t="s">
        <v>309</v>
      </c>
      <c r="H83" t="s">
        <v>14</v>
      </c>
      <c r="I83" t="s">
        <v>42</v>
      </c>
      <c r="J83" t="s">
        <v>43</v>
      </c>
      <c r="K83" t="s">
        <v>44</v>
      </c>
      <c r="L83">
        <v>7</v>
      </c>
      <c r="M83">
        <v>7</v>
      </c>
      <c r="Q83">
        <v>202510</v>
      </c>
    </row>
    <row r="84" spans="1:17" x14ac:dyDescent="0.2">
      <c r="A84" t="s">
        <v>50</v>
      </c>
      <c r="C84" t="s">
        <v>98</v>
      </c>
      <c r="D84" t="s">
        <v>97</v>
      </c>
      <c r="E84" t="s">
        <v>97</v>
      </c>
      <c r="F84" t="s">
        <v>41</v>
      </c>
      <c r="G84" t="s">
        <v>310</v>
      </c>
      <c r="H84" t="s">
        <v>14</v>
      </c>
      <c r="I84" t="s">
        <v>42</v>
      </c>
      <c r="J84" t="s">
        <v>43</v>
      </c>
      <c r="K84" t="s">
        <v>44</v>
      </c>
      <c r="L84">
        <v>7</v>
      </c>
      <c r="M84">
        <v>7</v>
      </c>
      <c r="Q84">
        <v>202510</v>
      </c>
    </row>
    <row r="85" spans="1:17" x14ac:dyDescent="0.2">
      <c r="A85" t="s">
        <v>50</v>
      </c>
      <c r="C85" t="s">
        <v>98</v>
      </c>
      <c r="D85" t="s">
        <v>97</v>
      </c>
      <c r="E85" t="s">
        <v>97</v>
      </c>
      <c r="F85" t="s">
        <v>41</v>
      </c>
      <c r="G85" t="s">
        <v>311</v>
      </c>
      <c r="H85" t="s">
        <v>14</v>
      </c>
      <c r="I85" t="s">
        <v>42</v>
      </c>
      <c r="J85" t="s">
        <v>43</v>
      </c>
      <c r="K85" t="s">
        <v>44</v>
      </c>
      <c r="L85">
        <v>7</v>
      </c>
      <c r="M85">
        <v>7</v>
      </c>
      <c r="Q85">
        <v>202510</v>
      </c>
    </row>
    <row r="86" spans="1:17" x14ac:dyDescent="0.2">
      <c r="A86" t="s">
        <v>50</v>
      </c>
      <c r="C86" t="s">
        <v>98</v>
      </c>
      <c r="D86" t="s">
        <v>97</v>
      </c>
      <c r="E86" t="s">
        <v>97</v>
      </c>
      <c r="F86" t="s">
        <v>41</v>
      </c>
      <c r="G86" t="s">
        <v>312</v>
      </c>
      <c r="H86" t="s">
        <v>14</v>
      </c>
      <c r="I86" t="s">
        <v>42</v>
      </c>
      <c r="J86" t="s">
        <v>43</v>
      </c>
      <c r="K86" t="s">
        <v>44</v>
      </c>
      <c r="L86">
        <v>7</v>
      </c>
      <c r="M86">
        <v>7</v>
      </c>
      <c r="Q86">
        <v>202510</v>
      </c>
    </row>
    <row r="87" spans="1:17" x14ac:dyDescent="0.2">
      <c r="A87" t="s">
        <v>50</v>
      </c>
      <c r="C87" t="s">
        <v>98</v>
      </c>
      <c r="D87" t="s">
        <v>97</v>
      </c>
      <c r="E87" t="s">
        <v>97</v>
      </c>
      <c r="F87" t="s">
        <v>41</v>
      </c>
      <c r="G87" t="s">
        <v>313</v>
      </c>
      <c r="H87" t="s">
        <v>14</v>
      </c>
      <c r="I87" t="s">
        <v>42</v>
      </c>
      <c r="J87" t="s">
        <v>43</v>
      </c>
      <c r="K87" t="s">
        <v>44</v>
      </c>
      <c r="L87">
        <v>7</v>
      </c>
      <c r="M87">
        <v>7</v>
      </c>
      <c r="Q87">
        <v>202510</v>
      </c>
    </row>
    <row r="88" spans="1:17" x14ac:dyDescent="0.2">
      <c r="A88" t="s">
        <v>50</v>
      </c>
      <c r="C88" t="s">
        <v>98</v>
      </c>
      <c r="D88" t="s">
        <v>97</v>
      </c>
      <c r="E88" t="s">
        <v>97</v>
      </c>
      <c r="F88" t="s">
        <v>41</v>
      </c>
      <c r="G88" t="s">
        <v>314</v>
      </c>
      <c r="H88" t="s">
        <v>14</v>
      </c>
      <c r="I88" t="s">
        <v>42</v>
      </c>
      <c r="J88" t="s">
        <v>43</v>
      </c>
      <c r="K88" t="s">
        <v>44</v>
      </c>
      <c r="L88">
        <v>7</v>
      </c>
      <c r="M88">
        <v>7</v>
      </c>
      <c r="Q88">
        <v>202510</v>
      </c>
    </row>
    <row r="89" spans="1:17" x14ac:dyDescent="0.2">
      <c r="A89" t="s">
        <v>50</v>
      </c>
      <c r="C89" t="s">
        <v>98</v>
      </c>
      <c r="D89" t="s">
        <v>97</v>
      </c>
      <c r="E89" t="s">
        <v>97</v>
      </c>
      <c r="F89" t="s">
        <v>41</v>
      </c>
      <c r="G89" t="s">
        <v>315</v>
      </c>
      <c r="H89" t="s">
        <v>14</v>
      </c>
      <c r="I89" t="s">
        <v>42</v>
      </c>
      <c r="J89" t="s">
        <v>43</v>
      </c>
      <c r="K89" t="s">
        <v>44</v>
      </c>
      <c r="L89">
        <v>7</v>
      </c>
      <c r="M89">
        <v>7</v>
      </c>
      <c r="Q89">
        <v>202510</v>
      </c>
    </row>
    <row r="90" spans="1:17" x14ac:dyDescent="0.2">
      <c r="A90" t="s">
        <v>50</v>
      </c>
      <c r="C90" t="s">
        <v>98</v>
      </c>
      <c r="D90" t="s">
        <v>97</v>
      </c>
      <c r="E90" t="s">
        <v>97</v>
      </c>
      <c r="F90" t="s">
        <v>41</v>
      </c>
      <c r="G90" t="s">
        <v>316</v>
      </c>
      <c r="H90" t="s">
        <v>14</v>
      </c>
      <c r="I90" t="s">
        <v>42</v>
      </c>
      <c r="J90" t="s">
        <v>43</v>
      </c>
      <c r="K90" t="s">
        <v>44</v>
      </c>
      <c r="L90">
        <v>7</v>
      </c>
      <c r="M90">
        <v>7</v>
      </c>
      <c r="Q90">
        <v>202510</v>
      </c>
    </row>
    <row r="91" spans="1:17" x14ac:dyDescent="0.2">
      <c r="A91" t="s">
        <v>50</v>
      </c>
      <c r="C91" t="s">
        <v>98</v>
      </c>
      <c r="D91" t="s">
        <v>97</v>
      </c>
      <c r="E91" t="s">
        <v>97</v>
      </c>
      <c r="F91" t="s">
        <v>41</v>
      </c>
      <c r="G91" t="s">
        <v>317</v>
      </c>
      <c r="H91" t="s">
        <v>14</v>
      </c>
      <c r="I91" t="s">
        <v>42</v>
      </c>
      <c r="J91" t="s">
        <v>43</v>
      </c>
      <c r="K91" t="s">
        <v>44</v>
      </c>
      <c r="L91">
        <v>7</v>
      </c>
      <c r="M91">
        <v>7</v>
      </c>
      <c r="Q91">
        <v>202510</v>
      </c>
    </row>
    <row r="92" spans="1:17" x14ac:dyDescent="0.2">
      <c r="A92" t="s">
        <v>50</v>
      </c>
      <c r="C92" t="s">
        <v>98</v>
      </c>
      <c r="D92" t="s">
        <v>97</v>
      </c>
      <c r="E92" t="s">
        <v>97</v>
      </c>
      <c r="F92" t="s">
        <v>41</v>
      </c>
      <c r="G92" t="s">
        <v>318</v>
      </c>
      <c r="H92" t="s">
        <v>14</v>
      </c>
      <c r="I92" t="s">
        <v>42</v>
      </c>
      <c r="J92" t="s">
        <v>43</v>
      </c>
      <c r="K92" t="s">
        <v>44</v>
      </c>
      <c r="L92">
        <v>7</v>
      </c>
      <c r="M92">
        <v>7</v>
      </c>
      <c r="Q92">
        <v>202510</v>
      </c>
    </row>
    <row r="93" spans="1:17" x14ac:dyDescent="0.2">
      <c r="A93" t="s">
        <v>50</v>
      </c>
      <c r="C93" t="s">
        <v>98</v>
      </c>
      <c r="D93" t="s">
        <v>97</v>
      </c>
      <c r="E93" t="s">
        <v>97</v>
      </c>
      <c r="F93" t="s">
        <v>41</v>
      </c>
      <c r="G93" t="s">
        <v>319</v>
      </c>
      <c r="H93" t="s">
        <v>14</v>
      </c>
      <c r="I93" t="s">
        <v>42</v>
      </c>
      <c r="J93" t="s">
        <v>43</v>
      </c>
      <c r="K93" t="s">
        <v>44</v>
      </c>
      <c r="L93">
        <v>7</v>
      </c>
      <c r="M93">
        <v>7</v>
      </c>
      <c r="Q93">
        <v>202510</v>
      </c>
    </row>
    <row r="94" spans="1:17" x14ac:dyDescent="0.2">
      <c r="A94" t="s">
        <v>50</v>
      </c>
      <c r="C94" t="s">
        <v>98</v>
      </c>
      <c r="D94" t="s">
        <v>97</v>
      </c>
      <c r="E94" t="s">
        <v>97</v>
      </c>
      <c r="F94" t="s">
        <v>41</v>
      </c>
      <c r="G94" t="s">
        <v>320</v>
      </c>
      <c r="H94" t="s">
        <v>14</v>
      </c>
      <c r="I94" t="s">
        <v>42</v>
      </c>
      <c r="J94" t="s">
        <v>43</v>
      </c>
      <c r="K94" t="s">
        <v>44</v>
      </c>
      <c r="L94">
        <v>7</v>
      </c>
      <c r="M94">
        <v>7</v>
      </c>
      <c r="Q94">
        <v>202510</v>
      </c>
    </row>
    <row r="95" spans="1:17" x14ac:dyDescent="0.2">
      <c r="A95" t="s">
        <v>50</v>
      </c>
      <c r="C95" t="s">
        <v>98</v>
      </c>
      <c r="D95" t="s">
        <v>97</v>
      </c>
      <c r="E95" t="s">
        <v>97</v>
      </c>
      <c r="F95" t="s">
        <v>41</v>
      </c>
      <c r="G95" t="s">
        <v>321</v>
      </c>
      <c r="H95" t="s">
        <v>14</v>
      </c>
      <c r="I95" t="s">
        <v>42</v>
      </c>
      <c r="J95" t="s">
        <v>43</v>
      </c>
      <c r="K95" t="s">
        <v>44</v>
      </c>
      <c r="L95">
        <v>7</v>
      </c>
      <c r="M95">
        <v>7</v>
      </c>
      <c r="Q95">
        <v>202510</v>
      </c>
    </row>
    <row r="96" spans="1:17" x14ac:dyDescent="0.2">
      <c r="A96" t="s">
        <v>50</v>
      </c>
      <c r="C96" t="s">
        <v>98</v>
      </c>
      <c r="D96" t="s">
        <v>97</v>
      </c>
      <c r="E96" t="s">
        <v>97</v>
      </c>
      <c r="F96" t="s">
        <v>41</v>
      </c>
      <c r="G96" t="s">
        <v>322</v>
      </c>
      <c r="H96" t="s">
        <v>14</v>
      </c>
      <c r="I96" t="s">
        <v>42</v>
      </c>
      <c r="J96" t="s">
        <v>43</v>
      </c>
      <c r="K96" t="s">
        <v>44</v>
      </c>
      <c r="L96">
        <v>7</v>
      </c>
      <c r="M96">
        <v>7</v>
      </c>
      <c r="Q96">
        <v>202510</v>
      </c>
    </row>
    <row r="97" spans="1:17" x14ac:dyDescent="0.2">
      <c r="A97" t="s">
        <v>50</v>
      </c>
      <c r="C97" t="s">
        <v>98</v>
      </c>
      <c r="D97" t="s">
        <v>97</v>
      </c>
      <c r="E97" t="s">
        <v>97</v>
      </c>
      <c r="F97" t="s">
        <v>41</v>
      </c>
      <c r="G97" t="s">
        <v>323</v>
      </c>
      <c r="H97" t="s">
        <v>14</v>
      </c>
      <c r="I97" t="s">
        <v>42</v>
      </c>
      <c r="J97" t="s">
        <v>43</v>
      </c>
      <c r="K97" t="s">
        <v>44</v>
      </c>
      <c r="L97">
        <v>7</v>
      </c>
      <c r="M97">
        <v>7</v>
      </c>
      <c r="Q97">
        <v>202510</v>
      </c>
    </row>
    <row r="98" spans="1:17" x14ac:dyDescent="0.2">
      <c r="A98" t="s">
        <v>50</v>
      </c>
      <c r="C98" t="s">
        <v>98</v>
      </c>
      <c r="D98" t="s">
        <v>97</v>
      </c>
      <c r="E98" t="s">
        <v>97</v>
      </c>
      <c r="F98" t="s">
        <v>41</v>
      </c>
      <c r="G98" t="s">
        <v>324</v>
      </c>
      <c r="H98" t="s">
        <v>14</v>
      </c>
      <c r="I98" t="s">
        <v>42</v>
      </c>
      <c r="J98" t="s">
        <v>43</v>
      </c>
      <c r="K98" t="s">
        <v>44</v>
      </c>
      <c r="L98">
        <v>7</v>
      </c>
      <c r="M98">
        <v>7</v>
      </c>
      <c r="Q98">
        <v>202510</v>
      </c>
    </row>
    <row r="99" spans="1:17" x14ac:dyDescent="0.2">
      <c r="A99" t="s">
        <v>50</v>
      </c>
      <c r="C99" t="s">
        <v>98</v>
      </c>
      <c r="D99" t="s">
        <v>97</v>
      </c>
      <c r="E99" t="s">
        <v>97</v>
      </c>
      <c r="F99" t="s">
        <v>41</v>
      </c>
      <c r="G99" t="s">
        <v>325</v>
      </c>
      <c r="H99" t="s">
        <v>14</v>
      </c>
      <c r="I99" t="s">
        <v>42</v>
      </c>
      <c r="J99" t="s">
        <v>43</v>
      </c>
      <c r="K99" t="s">
        <v>44</v>
      </c>
      <c r="L99">
        <v>7</v>
      </c>
      <c r="M99">
        <v>7</v>
      </c>
      <c r="Q99">
        <v>202510</v>
      </c>
    </row>
    <row r="100" spans="1:17" x14ac:dyDescent="0.2">
      <c r="A100" t="s">
        <v>50</v>
      </c>
      <c r="C100" t="s">
        <v>98</v>
      </c>
      <c r="D100" t="s">
        <v>97</v>
      </c>
      <c r="E100" t="s">
        <v>97</v>
      </c>
      <c r="F100" t="s">
        <v>41</v>
      </c>
      <c r="G100" t="s">
        <v>326</v>
      </c>
      <c r="H100" t="s">
        <v>14</v>
      </c>
      <c r="I100" t="s">
        <v>42</v>
      </c>
      <c r="J100" t="s">
        <v>43</v>
      </c>
      <c r="K100" t="s">
        <v>44</v>
      </c>
      <c r="L100">
        <v>7</v>
      </c>
      <c r="M100">
        <v>7</v>
      </c>
      <c r="Q100">
        <v>202510</v>
      </c>
    </row>
    <row r="101" spans="1:17" x14ac:dyDescent="0.2">
      <c r="A101" t="s">
        <v>50</v>
      </c>
      <c r="C101" t="s">
        <v>98</v>
      </c>
      <c r="D101" t="s">
        <v>97</v>
      </c>
      <c r="E101" t="s">
        <v>97</v>
      </c>
      <c r="F101" t="s">
        <v>41</v>
      </c>
      <c r="G101" t="s">
        <v>327</v>
      </c>
      <c r="H101" t="s">
        <v>14</v>
      </c>
      <c r="I101" t="s">
        <v>42</v>
      </c>
      <c r="J101" t="s">
        <v>43</v>
      </c>
      <c r="K101" t="s">
        <v>44</v>
      </c>
      <c r="L101">
        <v>7</v>
      </c>
      <c r="M101">
        <v>7</v>
      </c>
      <c r="Q101">
        <v>202510</v>
      </c>
    </row>
    <row r="102" spans="1:17" x14ac:dyDescent="0.2">
      <c r="A102" t="s">
        <v>50</v>
      </c>
      <c r="C102" t="s">
        <v>98</v>
      </c>
      <c r="D102" t="s">
        <v>97</v>
      </c>
      <c r="E102" t="s">
        <v>97</v>
      </c>
      <c r="F102" t="s">
        <v>41</v>
      </c>
      <c r="G102" t="s">
        <v>328</v>
      </c>
      <c r="H102" t="s">
        <v>14</v>
      </c>
      <c r="I102" t="s">
        <v>42</v>
      </c>
      <c r="J102" t="s">
        <v>43</v>
      </c>
      <c r="K102" t="s">
        <v>44</v>
      </c>
      <c r="L102">
        <v>7</v>
      </c>
      <c r="M102">
        <v>7</v>
      </c>
      <c r="Q102">
        <v>202510</v>
      </c>
    </row>
    <row r="103" spans="1:17" x14ac:dyDescent="0.2">
      <c r="A103" t="s">
        <v>50</v>
      </c>
      <c r="C103" t="s">
        <v>98</v>
      </c>
      <c r="D103" t="s">
        <v>97</v>
      </c>
      <c r="E103" t="s">
        <v>107</v>
      </c>
      <c r="F103" t="s">
        <v>41</v>
      </c>
      <c r="G103" t="s">
        <v>329</v>
      </c>
      <c r="H103" t="s">
        <v>14</v>
      </c>
      <c r="I103" t="s">
        <v>42</v>
      </c>
      <c r="J103" t="s">
        <v>43</v>
      </c>
      <c r="K103" t="s">
        <v>44</v>
      </c>
      <c r="L103">
        <v>7</v>
      </c>
      <c r="M103">
        <v>7</v>
      </c>
      <c r="Q103">
        <v>202510</v>
      </c>
    </row>
    <row r="104" spans="1:17" x14ac:dyDescent="0.2">
      <c r="A104" t="s">
        <v>50</v>
      </c>
      <c r="C104" t="s">
        <v>98</v>
      </c>
      <c r="D104" t="s">
        <v>97</v>
      </c>
      <c r="E104" t="s">
        <v>107</v>
      </c>
      <c r="F104" t="s">
        <v>41</v>
      </c>
      <c r="G104" t="s">
        <v>330</v>
      </c>
      <c r="H104" t="s">
        <v>14</v>
      </c>
      <c r="I104" t="s">
        <v>42</v>
      </c>
      <c r="J104" t="s">
        <v>43</v>
      </c>
      <c r="K104" t="s">
        <v>44</v>
      </c>
      <c r="L104">
        <v>7</v>
      </c>
      <c r="M104">
        <v>7</v>
      </c>
      <c r="Q104">
        <v>202510</v>
      </c>
    </row>
    <row r="105" spans="1:17" x14ac:dyDescent="0.2">
      <c r="A105" t="s">
        <v>50</v>
      </c>
      <c r="C105" t="s">
        <v>98</v>
      </c>
      <c r="D105" t="s">
        <v>97</v>
      </c>
      <c r="E105" t="s">
        <v>107</v>
      </c>
      <c r="F105" t="s">
        <v>41</v>
      </c>
      <c r="G105" t="s">
        <v>331</v>
      </c>
      <c r="H105" t="s">
        <v>14</v>
      </c>
      <c r="I105" t="s">
        <v>42</v>
      </c>
      <c r="J105" t="s">
        <v>43</v>
      </c>
      <c r="K105" t="s">
        <v>44</v>
      </c>
      <c r="L105">
        <v>27</v>
      </c>
      <c r="M105">
        <v>27</v>
      </c>
      <c r="Q105">
        <v>202510</v>
      </c>
    </row>
    <row r="106" spans="1:17" x14ac:dyDescent="0.2">
      <c r="A106" t="s">
        <v>50</v>
      </c>
      <c r="C106" t="s">
        <v>98</v>
      </c>
      <c r="D106" t="s">
        <v>97</v>
      </c>
      <c r="E106" t="s">
        <v>107</v>
      </c>
      <c r="F106" t="s">
        <v>41</v>
      </c>
      <c r="G106" t="s">
        <v>332</v>
      </c>
      <c r="H106" t="s">
        <v>14</v>
      </c>
      <c r="I106" t="s">
        <v>42</v>
      </c>
      <c r="J106" t="s">
        <v>43</v>
      </c>
      <c r="K106" t="s">
        <v>44</v>
      </c>
      <c r="L106">
        <v>7</v>
      </c>
      <c r="M106">
        <v>7</v>
      </c>
      <c r="Q106">
        <v>202510</v>
      </c>
    </row>
    <row r="107" spans="1:17" x14ac:dyDescent="0.2">
      <c r="A107" t="s">
        <v>50</v>
      </c>
      <c r="C107" t="s">
        <v>98</v>
      </c>
      <c r="D107" t="s">
        <v>97</v>
      </c>
      <c r="E107" t="s">
        <v>107</v>
      </c>
      <c r="F107" t="s">
        <v>41</v>
      </c>
      <c r="G107" t="s">
        <v>333</v>
      </c>
      <c r="H107" t="s">
        <v>14</v>
      </c>
      <c r="I107" t="s">
        <v>42</v>
      </c>
      <c r="J107" t="s">
        <v>43</v>
      </c>
      <c r="K107" t="s">
        <v>44</v>
      </c>
      <c r="L107">
        <v>7</v>
      </c>
      <c r="M107">
        <v>7</v>
      </c>
      <c r="Q107">
        <v>202510</v>
      </c>
    </row>
    <row r="108" spans="1:17" x14ac:dyDescent="0.2">
      <c r="A108" t="s">
        <v>50</v>
      </c>
      <c r="C108" t="s">
        <v>98</v>
      </c>
      <c r="D108" t="s">
        <v>97</v>
      </c>
      <c r="E108" t="s">
        <v>107</v>
      </c>
      <c r="F108" t="s">
        <v>41</v>
      </c>
      <c r="G108" t="s">
        <v>334</v>
      </c>
      <c r="H108" t="s">
        <v>14</v>
      </c>
      <c r="I108" t="s">
        <v>42</v>
      </c>
      <c r="J108" t="s">
        <v>43</v>
      </c>
      <c r="K108" t="s">
        <v>44</v>
      </c>
      <c r="L108">
        <v>7</v>
      </c>
      <c r="M108">
        <v>7</v>
      </c>
      <c r="Q108">
        <v>202510</v>
      </c>
    </row>
    <row r="109" spans="1:17" x14ac:dyDescent="0.2">
      <c r="A109" t="s">
        <v>50</v>
      </c>
      <c r="C109" t="s">
        <v>98</v>
      </c>
      <c r="D109" t="s">
        <v>97</v>
      </c>
      <c r="E109" t="s">
        <v>107</v>
      </c>
      <c r="F109" t="s">
        <v>41</v>
      </c>
      <c r="G109" t="s">
        <v>335</v>
      </c>
      <c r="H109" t="s">
        <v>14</v>
      </c>
      <c r="I109" t="s">
        <v>42</v>
      </c>
      <c r="J109" t="s">
        <v>43</v>
      </c>
      <c r="K109" t="s">
        <v>44</v>
      </c>
      <c r="L109">
        <v>7</v>
      </c>
      <c r="M109">
        <v>7</v>
      </c>
      <c r="Q109">
        <v>202510</v>
      </c>
    </row>
    <row r="110" spans="1:17" x14ac:dyDescent="0.2">
      <c r="A110" t="s">
        <v>50</v>
      </c>
      <c r="C110" t="s">
        <v>98</v>
      </c>
      <c r="D110" t="s">
        <v>97</v>
      </c>
      <c r="E110" t="s">
        <v>107</v>
      </c>
      <c r="F110" t="s">
        <v>41</v>
      </c>
      <c r="G110" t="s">
        <v>336</v>
      </c>
      <c r="H110" t="s">
        <v>14</v>
      </c>
      <c r="I110" t="s">
        <v>42</v>
      </c>
      <c r="J110" t="s">
        <v>43</v>
      </c>
      <c r="K110" t="s">
        <v>44</v>
      </c>
      <c r="L110">
        <v>27</v>
      </c>
      <c r="M110">
        <v>27</v>
      </c>
      <c r="Q110">
        <v>202510</v>
      </c>
    </row>
    <row r="111" spans="1:17" x14ac:dyDescent="0.2">
      <c r="A111" t="s">
        <v>50</v>
      </c>
      <c r="C111" t="s">
        <v>98</v>
      </c>
      <c r="D111" t="s">
        <v>97</v>
      </c>
      <c r="E111" t="s">
        <v>125</v>
      </c>
      <c r="F111" t="s">
        <v>41</v>
      </c>
      <c r="G111" t="s">
        <v>337</v>
      </c>
      <c r="H111" t="s">
        <v>14</v>
      </c>
      <c r="I111" t="s">
        <v>42</v>
      </c>
      <c r="J111" t="s">
        <v>43</v>
      </c>
      <c r="K111" t="s">
        <v>44</v>
      </c>
      <c r="L111">
        <v>7</v>
      </c>
      <c r="M111">
        <v>7</v>
      </c>
      <c r="Q111">
        <v>202510</v>
      </c>
    </row>
    <row r="112" spans="1:17" x14ac:dyDescent="0.2">
      <c r="A112" t="s">
        <v>50</v>
      </c>
      <c r="C112" t="s">
        <v>98</v>
      </c>
      <c r="D112" t="s">
        <v>97</v>
      </c>
      <c r="E112" t="s">
        <v>125</v>
      </c>
      <c r="F112" t="s">
        <v>41</v>
      </c>
      <c r="G112" t="s">
        <v>338</v>
      </c>
      <c r="H112" t="s">
        <v>14</v>
      </c>
      <c r="I112" t="s">
        <v>42</v>
      </c>
      <c r="J112" t="s">
        <v>43</v>
      </c>
      <c r="K112" t="s">
        <v>44</v>
      </c>
      <c r="L112">
        <v>27</v>
      </c>
      <c r="M112">
        <v>27</v>
      </c>
      <c r="Q112">
        <v>202510</v>
      </c>
    </row>
    <row r="113" spans="1:17" x14ac:dyDescent="0.2">
      <c r="A113" t="s">
        <v>50</v>
      </c>
      <c r="C113" t="s">
        <v>98</v>
      </c>
      <c r="D113" t="s">
        <v>97</v>
      </c>
      <c r="E113" t="s">
        <v>125</v>
      </c>
      <c r="F113" t="s">
        <v>41</v>
      </c>
      <c r="G113" t="s">
        <v>339</v>
      </c>
      <c r="H113" t="s">
        <v>14</v>
      </c>
      <c r="I113" t="s">
        <v>42</v>
      </c>
      <c r="J113" t="s">
        <v>43</v>
      </c>
      <c r="K113" t="s">
        <v>44</v>
      </c>
      <c r="L113">
        <v>7</v>
      </c>
      <c r="M113">
        <v>7</v>
      </c>
      <c r="Q113">
        <v>202510</v>
      </c>
    </row>
    <row r="114" spans="1:17" x14ac:dyDescent="0.2">
      <c r="A114" t="s">
        <v>50</v>
      </c>
      <c r="C114" t="s">
        <v>98</v>
      </c>
      <c r="D114" t="s">
        <v>97</v>
      </c>
      <c r="E114" t="s">
        <v>125</v>
      </c>
      <c r="F114" t="s">
        <v>41</v>
      </c>
      <c r="G114" t="s">
        <v>340</v>
      </c>
      <c r="H114" t="s">
        <v>14</v>
      </c>
      <c r="I114" t="s">
        <v>42</v>
      </c>
      <c r="J114" t="s">
        <v>43</v>
      </c>
      <c r="K114" t="s">
        <v>44</v>
      </c>
      <c r="L114">
        <v>7</v>
      </c>
      <c r="M114">
        <v>7</v>
      </c>
      <c r="Q114">
        <v>202510</v>
      </c>
    </row>
    <row r="115" spans="1:17" x14ac:dyDescent="0.2">
      <c r="A115" t="s">
        <v>50</v>
      </c>
      <c r="C115" t="s">
        <v>98</v>
      </c>
      <c r="D115" t="s">
        <v>97</v>
      </c>
      <c r="E115" t="s">
        <v>125</v>
      </c>
      <c r="F115" t="s">
        <v>41</v>
      </c>
      <c r="G115" t="s">
        <v>341</v>
      </c>
      <c r="H115" t="s">
        <v>14</v>
      </c>
      <c r="I115" t="s">
        <v>42</v>
      </c>
      <c r="J115" t="s">
        <v>43</v>
      </c>
      <c r="K115" t="s">
        <v>44</v>
      </c>
      <c r="L115">
        <v>7</v>
      </c>
      <c r="M115">
        <v>7</v>
      </c>
      <c r="Q115">
        <v>202510</v>
      </c>
    </row>
    <row r="116" spans="1:17" x14ac:dyDescent="0.2">
      <c r="A116" t="s">
        <v>50</v>
      </c>
      <c r="C116" t="s">
        <v>98</v>
      </c>
      <c r="D116" t="s">
        <v>97</v>
      </c>
      <c r="E116" t="s">
        <v>125</v>
      </c>
      <c r="F116" t="s">
        <v>41</v>
      </c>
      <c r="G116" t="s">
        <v>342</v>
      </c>
      <c r="H116" t="s">
        <v>14</v>
      </c>
      <c r="I116" t="s">
        <v>42</v>
      </c>
      <c r="J116" t="s">
        <v>43</v>
      </c>
      <c r="K116" t="s">
        <v>44</v>
      </c>
      <c r="L116">
        <v>7</v>
      </c>
      <c r="M116">
        <v>7</v>
      </c>
      <c r="Q116">
        <v>202510</v>
      </c>
    </row>
    <row r="117" spans="1:17" x14ac:dyDescent="0.2">
      <c r="A117" t="s">
        <v>50</v>
      </c>
      <c r="C117" t="s">
        <v>98</v>
      </c>
      <c r="D117" t="s">
        <v>97</v>
      </c>
      <c r="E117" t="s">
        <v>186</v>
      </c>
      <c r="F117" t="s">
        <v>41</v>
      </c>
      <c r="G117" t="s">
        <v>343</v>
      </c>
      <c r="H117" t="s">
        <v>14</v>
      </c>
      <c r="I117" t="s">
        <v>42</v>
      </c>
      <c r="J117" t="s">
        <v>43</v>
      </c>
      <c r="K117" t="s">
        <v>44</v>
      </c>
      <c r="L117">
        <v>4.2</v>
      </c>
      <c r="M117">
        <v>4.2</v>
      </c>
      <c r="Q117">
        <v>202510</v>
      </c>
    </row>
    <row r="118" spans="1:17" x14ac:dyDescent="0.2">
      <c r="A118" t="s">
        <v>50</v>
      </c>
      <c r="C118" t="s">
        <v>98</v>
      </c>
      <c r="D118" t="s">
        <v>97</v>
      </c>
      <c r="E118" t="s">
        <v>186</v>
      </c>
      <c r="F118" t="s">
        <v>41</v>
      </c>
      <c r="G118" t="s">
        <v>344</v>
      </c>
      <c r="H118" t="s">
        <v>14</v>
      </c>
      <c r="I118" t="s">
        <v>42</v>
      </c>
      <c r="J118" t="s">
        <v>43</v>
      </c>
      <c r="K118" t="s">
        <v>44</v>
      </c>
      <c r="L118">
        <v>4.2</v>
      </c>
      <c r="M118">
        <v>4.2</v>
      </c>
      <c r="Q118">
        <v>202510</v>
      </c>
    </row>
    <row r="119" spans="1:17" x14ac:dyDescent="0.2">
      <c r="A119" t="s">
        <v>50</v>
      </c>
      <c r="C119" t="s">
        <v>98</v>
      </c>
      <c r="D119" t="s">
        <v>97</v>
      </c>
      <c r="E119" t="s">
        <v>161</v>
      </c>
      <c r="F119" t="s">
        <v>41</v>
      </c>
      <c r="G119" t="s">
        <v>345</v>
      </c>
      <c r="H119" t="s">
        <v>14</v>
      </c>
      <c r="I119" t="s">
        <v>42</v>
      </c>
      <c r="J119" t="s">
        <v>43</v>
      </c>
      <c r="K119" t="s">
        <v>44</v>
      </c>
      <c r="L119">
        <v>2.8</v>
      </c>
      <c r="M119">
        <v>2.8</v>
      </c>
      <c r="Q119">
        <v>202510</v>
      </c>
    </row>
    <row r="120" spans="1:17" x14ac:dyDescent="0.2">
      <c r="A120" t="s">
        <v>50</v>
      </c>
      <c r="C120" t="s">
        <v>98</v>
      </c>
      <c r="D120" t="s">
        <v>97</v>
      </c>
      <c r="E120" t="s">
        <v>233</v>
      </c>
      <c r="F120" t="s">
        <v>41</v>
      </c>
      <c r="G120" t="s">
        <v>346</v>
      </c>
      <c r="H120" t="s">
        <v>14</v>
      </c>
      <c r="I120" t="s">
        <v>42</v>
      </c>
      <c r="J120" t="s">
        <v>43</v>
      </c>
      <c r="K120" t="s">
        <v>44</v>
      </c>
      <c r="L120">
        <v>4.2</v>
      </c>
      <c r="M120">
        <v>4.2</v>
      </c>
      <c r="Q120">
        <v>202510</v>
      </c>
    </row>
    <row r="121" spans="1:17" x14ac:dyDescent="0.2">
      <c r="A121" t="s">
        <v>50</v>
      </c>
      <c r="C121" t="s">
        <v>98</v>
      </c>
      <c r="D121" t="s">
        <v>97</v>
      </c>
      <c r="E121" t="s">
        <v>233</v>
      </c>
      <c r="F121" t="s">
        <v>41</v>
      </c>
      <c r="G121" t="s">
        <v>347</v>
      </c>
      <c r="H121" t="s">
        <v>14</v>
      </c>
      <c r="I121" t="s">
        <v>42</v>
      </c>
      <c r="J121" t="s">
        <v>43</v>
      </c>
      <c r="K121" t="s">
        <v>44</v>
      </c>
      <c r="L121">
        <v>4.2</v>
      </c>
      <c r="M121">
        <v>4.2</v>
      </c>
      <c r="Q121">
        <v>202510</v>
      </c>
    </row>
    <row r="122" spans="1:17" x14ac:dyDescent="0.2">
      <c r="A122" t="s">
        <v>50</v>
      </c>
      <c r="C122" t="s">
        <v>98</v>
      </c>
      <c r="D122" t="s">
        <v>97</v>
      </c>
      <c r="E122" t="s">
        <v>233</v>
      </c>
      <c r="F122" t="s">
        <v>41</v>
      </c>
      <c r="G122" t="s">
        <v>348</v>
      </c>
      <c r="H122" t="s">
        <v>14</v>
      </c>
      <c r="I122" t="s">
        <v>42</v>
      </c>
      <c r="J122" t="s">
        <v>43</v>
      </c>
      <c r="K122" t="s">
        <v>44</v>
      </c>
      <c r="L122">
        <v>4.2</v>
      </c>
      <c r="M122">
        <v>4.2</v>
      </c>
      <c r="Q122">
        <v>202510</v>
      </c>
    </row>
    <row r="123" spans="1:17" x14ac:dyDescent="0.2">
      <c r="A123" t="s">
        <v>50</v>
      </c>
      <c r="C123" t="s">
        <v>98</v>
      </c>
      <c r="D123" t="s">
        <v>97</v>
      </c>
      <c r="E123" t="s">
        <v>154</v>
      </c>
      <c r="F123" t="s">
        <v>41</v>
      </c>
      <c r="G123" t="s">
        <v>349</v>
      </c>
      <c r="H123" t="s">
        <v>14</v>
      </c>
      <c r="I123" t="s">
        <v>42</v>
      </c>
      <c r="J123" t="s">
        <v>43</v>
      </c>
      <c r="K123" t="s">
        <v>44</v>
      </c>
      <c r="L123">
        <v>4.2</v>
      </c>
      <c r="M123">
        <v>4.2</v>
      </c>
      <c r="Q123">
        <v>202510</v>
      </c>
    </row>
    <row r="124" spans="1:17" x14ac:dyDescent="0.2">
      <c r="A124" t="s">
        <v>50</v>
      </c>
      <c r="C124" t="s">
        <v>98</v>
      </c>
      <c r="D124" t="s">
        <v>97</v>
      </c>
      <c r="E124" t="s">
        <v>151</v>
      </c>
      <c r="F124" t="s">
        <v>41</v>
      </c>
      <c r="G124" t="s">
        <v>350</v>
      </c>
      <c r="H124" t="s">
        <v>14</v>
      </c>
      <c r="I124" t="s">
        <v>42</v>
      </c>
      <c r="J124" t="s">
        <v>43</v>
      </c>
      <c r="K124" t="s">
        <v>44</v>
      </c>
      <c r="L124">
        <v>27</v>
      </c>
      <c r="M124">
        <v>27</v>
      </c>
      <c r="Q124">
        <v>202510</v>
      </c>
    </row>
    <row r="125" spans="1:17" x14ac:dyDescent="0.2">
      <c r="A125" t="s">
        <v>50</v>
      </c>
      <c r="C125" t="s">
        <v>98</v>
      </c>
      <c r="D125" t="s">
        <v>97</v>
      </c>
      <c r="E125" t="s">
        <v>151</v>
      </c>
      <c r="F125" t="s">
        <v>41</v>
      </c>
      <c r="G125" t="s">
        <v>351</v>
      </c>
      <c r="H125" t="s">
        <v>14</v>
      </c>
      <c r="I125" t="s">
        <v>42</v>
      </c>
      <c r="J125" t="s">
        <v>43</v>
      </c>
      <c r="K125" t="s">
        <v>44</v>
      </c>
      <c r="L125">
        <v>7</v>
      </c>
      <c r="M125">
        <v>7</v>
      </c>
      <c r="Q125">
        <v>202510</v>
      </c>
    </row>
    <row r="126" spans="1:17" x14ac:dyDescent="0.2">
      <c r="A126" t="s">
        <v>50</v>
      </c>
      <c r="C126" t="s">
        <v>98</v>
      </c>
      <c r="D126" t="s">
        <v>97</v>
      </c>
      <c r="E126" t="s">
        <v>118</v>
      </c>
      <c r="F126" t="s">
        <v>41</v>
      </c>
      <c r="G126" t="s">
        <v>352</v>
      </c>
      <c r="H126" t="s">
        <v>14</v>
      </c>
      <c r="I126" t="s">
        <v>42</v>
      </c>
      <c r="J126" t="s">
        <v>43</v>
      </c>
      <c r="K126" t="s">
        <v>44</v>
      </c>
      <c r="L126">
        <v>7</v>
      </c>
      <c r="M126">
        <v>7</v>
      </c>
      <c r="Q126">
        <v>202510</v>
      </c>
    </row>
    <row r="127" spans="1:17" x14ac:dyDescent="0.2">
      <c r="A127" t="s">
        <v>50</v>
      </c>
      <c r="C127" t="s">
        <v>98</v>
      </c>
      <c r="D127" t="s">
        <v>97</v>
      </c>
      <c r="E127" t="s">
        <v>118</v>
      </c>
      <c r="F127" t="s">
        <v>41</v>
      </c>
      <c r="G127" t="s">
        <v>353</v>
      </c>
      <c r="H127" t="s">
        <v>14</v>
      </c>
      <c r="I127" t="s">
        <v>42</v>
      </c>
      <c r="J127" t="s">
        <v>43</v>
      </c>
      <c r="K127" t="s">
        <v>44</v>
      </c>
      <c r="L127">
        <v>7</v>
      </c>
      <c r="M127">
        <v>7</v>
      </c>
      <c r="Q127">
        <v>202510</v>
      </c>
    </row>
    <row r="128" spans="1:17" x14ac:dyDescent="0.2">
      <c r="A128" t="s">
        <v>50</v>
      </c>
      <c r="C128" t="s">
        <v>98</v>
      </c>
      <c r="D128" t="s">
        <v>97</v>
      </c>
      <c r="E128" t="s">
        <v>118</v>
      </c>
      <c r="F128" t="s">
        <v>41</v>
      </c>
      <c r="G128" t="s">
        <v>354</v>
      </c>
      <c r="H128" t="s">
        <v>14</v>
      </c>
      <c r="I128" t="s">
        <v>42</v>
      </c>
      <c r="J128" t="s">
        <v>43</v>
      </c>
      <c r="K128" t="s">
        <v>44</v>
      </c>
      <c r="L128">
        <v>27</v>
      </c>
      <c r="M128">
        <v>27</v>
      </c>
      <c r="Q128">
        <v>202510</v>
      </c>
    </row>
    <row r="129" spans="1:17" x14ac:dyDescent="0.2">
      <c r="A129" t="s">
        <v>50</v>
      </c>
      <c r="C129" t="s">
        <v>98</v>
      </c>
      <c r="D129" t="s">
        <v>97</v>
      </c>
      <c r="E129" t="s">
        <v>355</v>
      </c>
      <c r="F129" t="s">
        <v>41</v>
      </c>
      <c r="G129" t="s">
        <v>356</v>
      </c>
      <c r="H129" t="s">
        <v>14</v>
      </c>
      <c r="I129" t="s">
        <v>42</v>
      </c>
      <c r="J129" t="s">
        <v>43</v>
      </c>
      <c r="K129" t="s">
        <v>44</v>
      </c>
      <c r="L129">
        <v>2.8</v>
      </c>
      <c r="M129">
        <v>2.8</v>
      </c>
      <c r="Q129">
        <v>202510</v>
      </c>
    </row>
    <row r="130" spans="1:17" x14ac:dyDescent="0.2">
      <c r="A130" t="s">
        <v>50</v>
      </c>
      <c r="C130" t="s">
        <v>98</v>
      </c>
      <c r="D130" t="s">
        <v>97</v>
      </c>
      <c r="E130" t="s">
        <v>233</v>
      </c>
      <c r="F130" t="s">
        <v>41</v>
      </c>
      <c r="G130" t="s">
        <v>357</v>
      </c>
      <c r="H130" t="s">
        <v>14</v>
      </c>
      <c r="I130" t="s">
        <v>42</v>
      </c>
      <c r="J130" t="s">
        <v>43</v>
      </c>
      <c r="K130" t="s">
        <v>44</v>
      </c>
      <c r="L130">
        <v>16.2</v>
      </c>
      <c r="M130">
        <v>16.2</v>
      </c>
      <c r="Q130">
        <v>202509</v>
      </c>
    </row>
    <row r="131" spans="1:17" x14ac:dyDescent="0.2">
      <c r="A131" t="s">
        <v>50</v>
      </c>
      <c r="C131" t="s">
        <v>98</v>
      </c>
      <c r="D131" t="s">
        <v>97</v>
      </c>
      <c r="E131" t="s">
        <v>161</v>
      </c>
      <c r="F131" t="s">
        <v>41</v>
      </c>
      <c r="G131" t="s">
        <v>358</v>
      </c>
      <c r="H131" t="s">
        <v>14</v>
      </c>
      <c r="I131" t="s">
        <v>42</v>
      </c>
      <c r="J131" t="s">
        <v>43</v>
      </c>
      <c r="K131" t="s">
        <v>44</v>
      </c>
      <c r="L131">
        <v>2.8</v>
      </c>
      <c r="M131">
        <v>2.8</v>
      </c>
      <c r="Q131">
        <v>202509</v>
      </c>
    </row>
    <row r="132" spans="1:17" x14ac:dyDescent="0.2">
      <c r="A132" t="s">
        <v>50</v>
      </c>
      <c r="C132" t="s">
        <v>98</v>
      </c>
      <c r="D132" t="s">
        <v>97</v>
      </c>
      <c r="E132" t="s">
        <v>125</v>
      </c>
      <c r="F132" t="s">
        <v>41</v>
      </c>
      <c r="G132" t="s">
        <v>359</v>
      </c>
      <c r="H132" t="s">
        <v>14</v>
      </c>
      <c r="I132" t="s">
        <v>42</v>
      </c>
      <c r="J132" t="s">
        <v>43</v>
      </c>
      <c r="K132" t="s">
        <v>44</v>
      </c>
      <c r="L132">
        <v>27</v>
      </c>
      <c r="M132">
        <v>27</v>
      </c>
      <c r="Q132">
        <v>202509</v>
      </c>
    </row>
    <row r="133" spans="1:17" x14ac:dyDescent="0.2">
      <c r="A133" t="s">
        <v>50</v>
      </c>
      <c r="C133" t="s">
        <v>98</v>
      </c>
      <c r="D133" t="s">
        <v>97</v>
      </c>
      <c r="E133" t="s">
        <v>125</v>
      </c>
      <c r="F133" t="s">
        <v>41</v>
      </c>
      <c r="G133" t="s">
        <v>360</v>
      </c>
      <c r="H133" t="s">
        <v>14</v>
      </c>
      <c r="I133" t="s">
        <v>42</v>
      </c>
      <c r="J133" t="s">
        <v>43</v>
      </c>
      <c r="K133" t="s">
        <v>44</v>
      </c>
      <c r="L133">
        <v>7</v>
      </c>
      <c r="M133">
        <v>7</v>
      </c>
      <c r="Q133">
        <v>202509</v>
      </c>
    </row>
    <row r="134" spans="1:17" x14ac:dyDescent="0.2">
      <c r="A134" t="s">
        <v>50</v>
      </c>
      <c r="C134" t="s">
        <v>98</v>
      </c>
      <c r="D134" t="s">
        <v>97</v>
      </c>
      <c r="E134" t="s">
        <v>125</v>
      </c>
      <c r="F134" t="s">
        <v>41</v>
      </c>
      <c r="G134" t="s">
        <v>361</v>
      </c>
      <c r="H134" t="s">
        <v>14</v>
      </c>
      <c r="I134" t="s">
        <v>42</v>
      </c>
      <c r="J134" t="s">
        <v>43</v>
      </c>
      <c r="K134" t="s">
        <v>44</v>
      </c>
      <c r="L134">
        <v>7</v>
      </c>
      <c r="M134">
        <v>7</v>
      </c>
      <c r="Q134">
        <v>202509</v>
      </c>
    </row>
    <row r="135" spans="1:17" x14ac:dyDescent="0.2">
      <c r="A135" t="s">
        <v>50</v>
      </c>
      <c r="C135" t="s">
        <v>98</v>
      </c>
      <c r="D135" t="s">
        <v>97</v>
      </c>
      <c r="E135" t="s">
        <v>125</v>
      </c>
      <c r="F135" t="s">
        <v>41</v>
      </c>
      <c r="G135" t="s">
        <v>362</v>
      </c>
      <c r="H135" t="s">
        <v>14</v>
      </c>
      <c r="I135" t="s">
        <v>42</v>
      </c>
      <c r="J135" t="s">
        <v>43</v>
      </c>
      <c r="K135" t="s">
        <v>44</v>
      </c>
      <c r="L135">
        <v>7</v>
      </c>
      <c r="M135">
        <v>7</v>
      </c>
      <c r="Q135">
        <v>202509</v>
      </c>
    </row>
    <row r="136" spans="1:17" x14ac:dyDescent="0.2">
      <c r="A136" t="s">
        <v>50</v>
      </c>
      <c r="C136" t="s">
        <v>98</v>
      </c>
      <c r="D136" t="s">
        <v>97</v>
      </c>
      <c r="E136" t="s">
        <v>125</v>
      </c>
      <c r="F136" t="s">
        <v>41</v>
      </c>
      <c r="G136" t="s">
        <v>363</v>
      </c>
      <c r="H136" t="s">
        <v>14</v>
      </c>
      <c r="I136" t="s">
        <v>42</v>
      </c>
      <c r="J136" t="s">
        <v>43</v>
      </c>
      <c r="K136" t="s">
        <v>44</v>
      </c>
      <c r="L136">
        <v>27</v>
      </c>
      <c r="M136">
        <v>27</v>
      </c>
      <c r="Q136">
        <v>202509</v>
      </c>
    </row>
    <row r="137" spans="1:17" x14ac:dyDescent="0.2">
      <c r="A137" t="s">
        <v>50</v>
      </c>
      <c r="C137" t="s">
        <v>98</v>
      </c>
      <c r="D137" t="s">
        <v>97</v>
      </c>
      <c r="E137" t="s">
        <v>125</v>
      </c>
      <c r="F137" t="s">
        <v>41</v>
      </c>
      <c r="G137" t="s">
        <v>364</v>
      </c>
      <c r="H137" t="s">
        <v>14</v>
      </c>
      <c r="I137" t="s">
        <v>42</v>
      </c>
      <c r="J137" t="s">
        <v>43</v>
      </c>
      <c r="K137" t="s">
        <v>44</v>
      </c>
      <c r="L137">
        <v>7</v>
      </c>
      <c r="M137">
        <v>7</v>
      </c>
      <c r="Q137">
        <v>202509</v>
      </c>
    </row>
    <row r="138" spans="1:17" x14ac:dyDescent="0.2">
      <c r="A138" t="s">
        <v>50</v>
      </c>
      <c r="C138" t="s">
        <v>98</v>
      </c>
      <c r="D138" t="s">
        <v>97</v>
      </c>
      <c r="E138" t="s">
        <v>107</v>
      </c>
      <c r="F138" t="s">
        <v>41</v>
      </c>
      <c r="G138" t="s">
        <v>365</v>
      </c>
      <c r="H138" t="s">
        <v>14</v>
      </c>
      <c r="I138" t="s">
        <v>42</v>
      </c>
      <c r="J138" t="s">
        <v>43</v>
      </c>
      <c r="K138" t="s">
        <v>44</v>
      </c>
      <c r="L138">
        <v>7</v>
      </c>
      <c r="M138">
        <v>7</v>
      </c>
      <c r="Q138">
        <v>202509</v>
      </c>
    </row>
    <row r="139" spans="1:17" x14ac:dyDescent="0.2">
      <c r="A139" t="s">
        <v>50</v>
      </c>
      <c r="C139" t="s">
        <v>98</v>
      </c>
      <c r="D139" t="s">
        <v>97</v>
      </c>
      <c r="E139" t="s">
        <v>97</v>
      </c>
      <c r="F139" t="s">
        <v>41</v>
      </c>
      <c r="G139" t="s">
        <v>366</v>
      </c>
      <c r="H139" t="s">
        <v>14</v>
      </c>
      <c r="I139" t="s">
        <v>42</v>
      </c>
      <c r="J139" t="s">
        <v>43</v>
      </c>
      <c r="K139" t="s">
        <v>44</v>
      </c>
      <c r="L139">
        <v>27</v>
      </c>
      <c r="M139">
        <v>27</v>
      </c>
      <c r="Q139">
        <v>202509</v>
      </c>
    </row>
    <row r="140" spans="1:17" x14ac:dyDescent="0.2">
      <c r="A140" t="s">
        <v>50</v>
      </c>
      <c r="C140" t="s">
        <v>98</v>
      </c>
      <c r="D140" t="s">
        <v>97</v>
      </c>
      <c r="E140" t="s">
        <v>97</v>
      </c>
      <c r="F140" t="s">
        <v>41</v>
      </c>
      <c r="G140" t="s">
        <v>367</v>
      </c>
      <c r="H140" t="s">
        <v>14</v>
      </c>
      <c r="I140" t="s">
        <v>42</v>
      </c>
      <c r="J140" t="s">
        <v>43</v>
      </c>
      <c r="K140" t="s">
        <v>44</v>
      </c>
      <c r="L140">
        <v>27</v>
      </c>
      <c r="M140">
        <v>27</v>
      </c>
      <c r="Q140">
        <v>202509</v>
      </c>
    </row>
    <row r="141" spans="1:17" x14ac:dyDescent="0.2">
      <c r="A141" t="s">
        <v>50</v>
      </c>
      <c r="C141" t="s">
        <v>98</v>
      </c>
      <c r="D141" t="s">
        <v>97</v>
      </c>
      <c r="E141" t="s">
        <v>97</v>
      </c>
      <c r="F141" t="s">
        <v>41</v>
      </c>
      <c r="G141" t="s">
        <v>368</v>
      </c>
      <c r="H141" t="s">
        <v>14</v>
      </c>
      <c r="I141" t="s">
        <v>42</v>
      </c>
      <c r="J141" t="s">
        <v>43</v>
      </c>
      <c r="K141" t="s">
        <v>44</v>
      </c>
      <c r="L141">
        <v>7</v>
      </c>
      <c r="M141">
        <v>7</v>
      </c>
      <c r="Q141">
        <v>202509</v>
      </c>
    </row>
    <row r="142" spans="1:17" x14ac:dyDescent="0.2">
      <c r="A142" t="s">
        <v>50</v>
      </c>
      <c r="C142" t="s">
        <v>98</v>
      </c>
      <c r="D142" t="s">
        <v>97</v>
      </c>
      <c r="E142" t="s">
        <v>97</v>
      </c>
      <c r="F142" t="s">
        <v>41</v>
      </c>
      <c r="G142" t="s">
        <v>369</v>
      </c>
      <c r="H142" t="s">
        <v>14</v>
      </c>
      <c r="I142" t="s">
        <v>42</v>
      </c>
      <c r="J142" t="s">
        <v>43</v>
      </c>
      <c r="K142" t="s">
        <v>44</v>
      </c>
      <c r="L142">
        <v>7</v>
      </c>
      <c r="M142">
        <v>7</v>
      </c>
      <c r="Q142">
        <v>202509</v>
      </c>
    </row>
    <row r="143" spans="1:17" x14ac:dyDescent="0.2">
      <c r="A143" t="s">
        <v>50</v>
      </c>
      <c r="C143" t="s">
        <v>98</v>
      </c>
      <c r="D143" t="s">
        <v>97</v>
      </c>
      <c r="E143" t="s">
        <v>97</v>
      </c>
      <c r="F143" t="s">
        <v>41</v>
      </c>
      <c r="G143" t="s">
        <v>370</v>
      </c>
      <c r="H143" t="s">
        <v>14</v>
      </c>
      <c r="I143" t="s">
        <v>42</v>
      </c>
      <c r="J143" t="s">
        <v>43</v>
      </c>
      <c r="K143" t="s">
        <v>44</v>
      </c>
      <c r="L143">
        <v>7</v>
      </c>
      <c r="M143">
        <v>7</v>
      </c>
      <c r="Q143">
        <v>202509</v>
      </c>
    </row>
    <row r="144" spans="1:17" x14ac:dyDescent="0.2">
      <c r="A144" t="s">
        <v>50</v>
      </c>
      <c r="C144" t="s">
        <v>98</v>
      </c>
      <c r="D144" t="s">
        <v>97</v>
      </c>
      <c r="E144" t="s">
        <v>97</v>
      </c>
      <c r="F144" t="s">
        <v>41</v>
      </c>
      <c r="G144" t="s">
        <v>371</v>
      </c>
      <c r="H144" t="s">
        <v>14</v>
      </c>
      <c r="I144" t="s">
        <v>42</v>
      </c>
      <c r="J144" t="s">
        <v>43</v>
      </c>
      <c r="K144" t="s">
        <v>44</v>
      </c>
      <c r="L144">
        <v>7</v>
      </c>
      <c r="M144">
        <v>7</v>
      </c>
      <c r="Q144">
        <v>202509</v>
      </c>
    </row>
    <row r="145" spans="1:17" x14ac:dyDescent="0.2">
      <c r="A145" t="s">
        <v>50</v>
      </c>
      <c r="C145" t="s">
        <v>98</v>
      </c>
      <c r="D145" t="s">
        <v>97</v>
      </c>
      <c r="E145" t="s">
        <v>97</v>
      </c>
      <c r="F145" t="s">
        <v>41</v>
      </c>
      <c r="G145" t="s">
        <v>372</v>
      </c>
      <c r="H145" t="s">
        <v>14</v>
      </c>
      <c r="I145" t="s">
        <v>42</v>
      </c>
      <c r="J145" t="s">
        <v>43</v>
      </c>
      <c r="K145" t="s">
        <v>44</v>
      </c>
      <c r="L145">
        <v>7</v>
      </c>
      <c r="M145">
        <v>7</v>
      </c>
      <c r="Q145">
        <v>202509</v>
      </c>
    </row>
    <row r="146" spans="1:17" x14ac:dyDescent="0.2">
      <c r="A146" t="s">
        <v>50</v>
      </c>
      <c r="C146" t="s">
        <v>98</v>
      </c>
      <c r="D146" t="s">
        <v>97</v>
      </c>
      <c r="E146" t="s">
        <v>97</v>
      </c>
      <c r="F146" t="s">
        <v>41</v>
      </c>
      <c r="G146" t="s">
        <v>373</v>
      </c>
      <c r="H146" t="s">
        <v>14</v>
      </c>
      <c r="I146" t="s">
        <v>42</v>
      </c>
      <c r="J146" t="s">
        <v>43</v>
      </c>
      <c r="K146" t="s">
        <v>44</v>
      </c>
      <c r="L146">
        <v>7</v>
      </c>
      <c r="M146">
        <v>7</v>
      </c>
      <c r="Q146">
        <v>202509</v>
      </c>
    </row>
    <row r="147" spans="1:17" x14ac:dyDescent="0.2">
      <c r="A147" t="s">
        <v>50</v>
      </c>
      <c r="C147" t="s">
        <v>98</v>
      </c>
      <c r="D147" t="s">
        <v>97</v>
      </c>
      <c r="E147" t="s">
        <v>97</v>
      </c>
      <c r="F147" t="s">
        <v>41</v>
      </c>
      <c r="G147" t="s">
        <v>374</v>
      </c>
      <c r="H147" t="s">
        <v>14</v>
      </c>
      <c r="I147" t="s">
        <v>42</v>
      </c>
      <c r="J147" t="s">
        <v>43</v>
      </c>
      <c r="K147" t="s">
        <v>44</v>
      </c>
      <c r="L147">
        <v>7</v>
      </c>
      <c r="M147">
        <v>7</v>
      </c>
      <c r="Q147">
        <v>202509</v>
      </c>
    </row>
    <row r="148" spans="1:17" x14ac:dyDescent="0.2">
      <c r="A148" t="s">
        <v>50</v>
      </c>
      <c r="C148" t="s">
        <v>98</v>
      </c>
      <c r="D148" t="s">
        <v>97</v>
      </c>
      <c r="E148" t="s">
        <v>97</v>
      </c>
      <c r="F148" t="s">
        <v>41</v>
      </c>
      <c r="G148" t="s">
        <v>375</v>
      </c>
      <c r="H148" t="s">
        <v>14</v>
      </c>
      <c r="I148" t="s">
        <v>42</v>
      </c>
      <c r="J148" t="s">
        <v>43</v>
      </c>
      <c r="K148" t="s">
        <v>44</v>
      </c>
      <c r="L148">
        <v>27</v>
      </c>
      <c r="M148">
        <v>27</v>
      </c>
      <c r="Q148">
        <v>202509</v>
      </c>
    </row>
    <row r="149" spans="1:17" x14ac:dyDescent="0.2">
      <c r="A149" t="s">
        <v>50</v>
      </c>
      <c r="C149" t="s">
        <v>98</v>
      </c>
      <c r="D149" t="s">
        <v>97</v>
      </c>
      <c r="E149" t="s">
        <v>97</v>
      </c>
      <c r="F149" t="s">
        <v>41</v>
      </c>
      <c r="G149" t="s">
        <v>376</v>
      </c>
      <c r="H149" t="s">
        <v>14</v>
      </c>
      <c r="I149" t="s">
        <v>42</v>
      </c>
      <c r="J149" t="s">
        <v>43</v>
      </c>
      <c r="K149" t="s">
        <v>44</v>
      </c>
      <c r="L149">
        <v>27</v>
      </c>
      <c r="M149">
        <v>27</v>
      </c>
      <c r="Q149">
        <v>202509</v>
      </c>
    </row>
    <row r="150" spans="1:17" x14ac:dyDescent="0.2">
      <c r="A150" t="s">
        <v>50</v>
      </c>
      <c r="C150" t="s">
        <v>98</v>
      </c>
      <c r="D150" t="s">
        <v>97</v>
      </c>
      <c r="E150" t="s">
        <v>154</v>
      </c>
      <c r="F150" t="s">
        <v>41</v>
      </c>
      <c r="G150" t="s">
        <v>377</v>
      </c>
      <c r="H150" t="s">
        <v>14</v>
      </c>
      <c r="I150" t="s">
        <v>42</v>
      </c>
      <c r="J150" t="s">
        <v>43</v>
      </c>
      <c r="K150" t="s">
        <v>44</v>
      </c>
      <c r="L150">
        <v>16.2</v>
      </c>
      <c r="M150">
        <v>16.2</v>
      </c>
      <c r="Q150">
        <v>202509</v>
      </c>
    </row>
    <row r="151" spans="1:17" x14ac:dyDescent="0.2">
      <c r="A151" t="s">
        <v>50</v>
      </c>
      <c r="C151" t="s">
        <v>98</v>
      </c>
      <c r="D151" t="s">
        <v>97</v>
      </c>
      <c r="E151" t="s">
        <v>154</v>
      </c>
      <c r="F151" t="s">
        <v>41</v>
      </c>
      <c r="G151" t="s">
        <v>378</v>
      </c>
      <c r="H151" t="s">
        <v>14</v>
      </c>
      <c r="I151" t="s">
        <v>42</v>
      </c>
      <c r="J151" t="s">
        <v>43</v>
      </c>
      <c r="K151" t="s">
        <v>44</v>
      </c>
      <c r="L151">
        <v>4.2</v>
      </c>
      <c r="M151">
        <v>4.2</v>
      </c>
      <c r="Q151">
        <v>202509</v>
      </c>
    </row>
    <row r="152" spans="1:17" x14ac:dyDescent="0.2">
      <c r="A152" t="s">
        <v>50</v>
      </c>
      <c r="C152" t="s">
        <v>98</v>
      </c>
      <c r="D152" t="s">
        <v>97</v>
      </c>
      <c r="E152" t="s">
        <v>154</v>
      </c>
      <c r="F152" t="s">
        <v>41</v>
      </c>
      <c r="G152" t="s">
        <v>379</v>
      </c>
      <c r="H152" t="s">
        <v>14</v>
      </c>
      <c r="I152" t="s">
        <v>42</v>
      </c>
      <c r="J152" t="s">
        <v>43</v>
      </c>
      <c r="K152" t="s">
        <v>44</v>
      </c>
      <c r="L152">
        <v>9.6</v>
      </c>
      <c r="M152">
        <v>9.6</v>
      </c>
      <c r="Q152">
        <v>202509</v>
      </c>
    </row>
    <row r="153" spans="1:17" x14ac:dyDescent="0.2">
      <c r="A153" t="s">
        <v>50</v>
      </c>
      <c r="C153" t="s">
        <v>98</v>
      </c>
      <c r="D153" t="s">
        <v>97</v>
      </c>
      <c r="E153" t="s">
        <v>182</v>
      </c>
      <c r="F153" t="s">
        <v>41</v>
      </c>
      <c r="G153" t="s">
        <v>380</v>
      </c>
      <c r="H153" t="s">
        <v>14</v>
      </c>
      <c r="I153" t="s">
        <v>42</v>
      </c>
      <c r="J153" t="s">
        <v>43</v>
      </c>
      <c r="K153" t="s">
        <v>44</v>
      </c>
      <c r="L153">
        <v>27</v>
      </c>
      <c r="M153">
        <v>27</v>
      </c>
      <c r="Q153">
        <v>202509</v>
      </c>
    </row>
    <row r="154" spans="1:17" x14ac:dyDescent="0.2">
      <c r="A154" t="s">
        <v>50</v>
      </c>
      <c r="C154" t="s">
        <v>98</v>
      </c>
      <c r="D154" t="s">
        <v>97</v>
      </c>
      <c r="E154" t="s">
        <v>186</v>
      </c>
      <c r="F154" t="s">
        <v>41</v>
      </c>
      <c r="G154" t="s">
        <v>381</v>
      </c>
      <c r="H154" t="s">
        <v>14</v>
      </c>
      <c r="I154" t="s">
        <v>42</v>
      </c>
      <c r="J154" t="s">
        <v>43</v>
      </c>
      <c r="K154" t="s">
        <v>44</v>
      </c>
      <c r="L154">
        <v>4.2</v>
      </c>
      <c r="M154">
        <v>4.2</v>
      </c>
      <c r="Q154">
        <v>202509</v>
      </c>
    </row>
    <row r="155" spans="1:17" x14ac:dyDescent="0.2">
      <c r="A155" t="s">
        <v>50</v>
      </c>
      <c r="C155" t="s">
        <v>98</v>
      </c>
      <c r="D155" t="s">
        <v>97</v>
      </c>
      <c r="E155" t="s">
        <v>186</v>
      </c>
      <c r="F155" t="s">
        <v>41</v>
      </c>
      <c r="G155" t="s">
        <v>382</v>
      </c>
      <c r="H155" t="s">
        <v>14</v>
      </c>
      <c r="I155" t="s">
        <v>42</v>
      </c>
      <c r="J155" t="s">
        <v>43</v>
      </c>
      <c r="K155" t="s">
        <v>44</v>
      </c>
      <c r="L155">
        <v>4.2</v>
      </c>
      <c r="M155">
        <v>4.2</v>
      </c>
      <c r="Q155">
        <v>202509</v>
      </c>
    </row>
    <row r="156" spans="1:17" x14ac:dyDescent="0.2">
      <c r="A156" t="s">
        <v>50</v>
      </c>
      <c r="C156" t="s">
        <v>98</v>
      </c>
      <c r="D156" t="s">
        <v>97</v>
      </c>
      <c r="E156" t="s">
        <v>186</v>
      </c>
      <c r="F156" t="s">
        <v>41</v>
      </c>
      <c r="G156" t="s">
        <v>383</v>
      </c>
      <c r="H156" t="s">
        <v>14</v>
      </c>
      <c r="I156" t="s">
        <v>42</v>
      </c>
      <c r="J156" t="s">
        <v>43</v>
      </c>
      <c r="K156" t="s">
        <v>44</v>
      </c>
      <c r="L156">
        <v>9.6</v>
      </c>
      <c r="M156">
        <v>9.6</v>
      </c>
      <c r="Q156">
        <v>202509</v>
      </c>
    </row>
    <row r="157" spans="1:17" x14ac:dyDescent="0.2">
      <c r="A157" t="s">
        <v>50</v>
      </c>
      <c r="C157" t="s">
        <v>98</v>
      </c>
      <c r="D157" t="s">
        <v>97</v>
      </c>
      <c r="E157" t="s">
        <v>97</v>
      </c>
      <c r="F157" t="s">
        <v>41</v>
      </c>
      <c r="G157" t="s">
        <v>384</v>
      </c>
      <c r="H157" t="s">
        <v>14</v>
      </c>
      <c r="I157" t="s">
        <v>42</v>
      </c>
      <c r="J157" t="s">
        <v>43</v>
      </c>
      <c r="K157" t="s">
        <v>44</v>
      </c>
      <c r="L157">
        <v>7</v>
      </c>
      <c r="M157">
        <v>7</v>
      </c>
      <c r="Q157">
        <v>202508</v>
      </c>
    </row>
    <row r="158" spans="1:17" x14ac:dyDescent="0.2">
      <c r="A158" t="s">
        <v>50</v>
      </c>
      <c r="C158" t="s">
        <v>98</v>
      </c>
      <c r="D158" t="s">
        <v>97</v>
      </c>
      <c r="E158" t="s">
        <v>97</v>
      </c>
      <c r="F158" t="s">
        <v>41</v>
      </c>
      <c r="G158" t="s">
        <v>385</v>
      </c>
      <c r="H158" t="s">
        <v>14</v>
      </c>
      <c r="I158" t="s">
        <v>42</v>
      </c>
      <c r="J158" t="s">
        <v>43</v>
      </c>
      <c r="K158" t="s">
        <v>44</v>
      </c>
      <c r="L158">
        <v>7</v>
      </c>
      <c r="M158">
        <v>7</v>
      </c>
      <c r="Q158">
        <v>202508</v>
      </c>
    </row>
    <row r="159" spans="1:17" x14ac:dyDescent="0.2">
      <c r="A159" t="s">
        <v>50</v>
      </c>
      <c r="C159" t="s">
        <v>98</v>
      </c>
      <c r="D159" t="s">
        <v>97</v>
      </c>
      <c r="E159" t="s">
        <v>97</v>
      </c>
      <c r="F159" t="s">
        <v>41</v>
      </c>
      <c r="G159" t="s">
        <v>386</v>
      </c>
      <c r="H159" t="s">
        <v>14</v>
      </c>
      <c r="I159" t="s">
        <v>42</v>
      </c>
      <c r="J159" t="s">
        <v>43</v>
      </c>
      <c r="K159" t="s">
        <v>44</v>
      </c>
      <c r="L159">
        <v>7</v>
      </c>
      <c r="M159">
        <v>7</v>
      </c>
      <c r="Q159">
        <v>202508</v>
      </c>
    </row>
    <row r="160" spans="1:17" x14ac:dyDescent="0.2">
      <c r="A160" t="s">
        <v>50</v>
      </c>
      <c r="C160" t="s">
        <v>98</v>
      </c>
      <c r="D160" t="s">
        <v>97</v>
      </c>
      <c r="E160" t="s">
        <v>97</v>
      </c>
      <c r="F160" t="s">
        <v>41</v>
      </c>
      <c r="G160" t="s">
        <v>387</v>
      </c>
      <c r="H160" t="s">
        <v>14</v>
      </c>
      <c r="I160" t="s">
        <v>42</v>
      </c>
      <c r="J160" t="s">
        <v>43</v>
      </c>
      <c r="K160" t="s">
        <v>44</v>
      </c>
      <c r="L160">
        <v>7</v>
      </c>
      <c r="M160">
        <v>7</v>
      </c>
      <c r="Q160">
        <v>202508</v>
      </c>
    </row>
    <row r="161" spans="1:17" x14ac:dyDescent="0.2">
      <c r="A161" t="s">
        <v>50</v>
      </c>
      <c r="C161" t="s">
        <v>98</v>
      </c>
      <c r="D161" t="s">
        <v>97</v>
      </c>
      <c r="E161" t="s">
        <v>97</v>
      </c>
      <c r="F161" t="s">
        <v>41</v>
      </c>
      <c r="G161" t="s">
        <v>388</v>
      </c>
      <c r="H161" t="s">
        <v>14</v>
      </c>
      <c r="I161" t="s">
        <v>42</v>
      </c>
      <c r="J161" t="s">
        <v>43</v>
      </c>
      <c r="K161" t="s">
        <v>44</v>
      </c>
      <c r="L161">
        <v>7</v>
      </c>
      <c r="M161">
        <v>7</v>
      </c>
      <c r="Q161">
        <v>202508</v>
      </c>
    </row>
    <row r="162" spans="1:17" x14ac:dyDescent="0.2">
      <c r="A162" t="s">
        <v>50</v>
      </c>
      <c r="C162" t="s">
        <v>98</v>
      </c>
      <c r="D162" t="s">
        <v>97</v>
      </c>
      <c r="E162" t="s">
        <v>107</v>
      </c>
      <c r="F162" t="s">
        <v>41</v>
      </c>
      <c r="G162" t="s">
        <v>389</v>
      </c>
      <c r="H162" t="s">
        <v>14</v>
      </c>
      <c r="I162" t="s">
        <v>42</v>
      </c>
      <c r="J162" t="s">
        <v>43</v>
      </c>
      <c r="K162" t="s">
        <v>44</v>
      </c>
      <c r="L162">
        <v>7</v>
      </c>
      <c r="M162">
        <v>7</v>
      </c>
      <c r="Q162">
        <v>202508</v>
      </c>
    </row>
    <row r="163" spans="1:17" x14ac:dyDescent="0.2">
      <c r="A163" t="s">
        <v>50</v>
      </c>
      <c r="C163" t="s">
        <v>98</v>
      </c>
      <c r="D163" t="s">
        <v>97</v>
      </c>
      <c r="E163" t="s">
        <v>107</v>
      </c>
      <c r="F163" t="s">
        <v>41</v>
      </c>
      <c r="G163" t="s">
        <v>390</v>
      </c>
      <c r="H163" t="s">
        <v>14</v>
      </c>
      <c r="I163" t="s">
        <v>42</v>
      </c>
      <c r="J163" t="s">
        <v>43</v>
      </c>
      <c r="K163" t="s">
        <v>44</v>
      </c>
      <c r="L163">
        <v>7</v>
      </c>
      <c r="M163">
        <v>7</v>
      </c>
      <c r="Q163">
        <v>202508</v>
      </c>
    </row>
    <row r="164" spans="1:17" x14ac:dyDescent="0.2">
      <c r="A164" t="s">
        <v>50</v>
      </c>
      <c r="C164" t="s">
        <v>98</v>
      </c>
      <c r="D164" t="s">
        <v>97</v>
      </c>
      <c r="E164" t="s">
        <v>195</v>
      </c>
      <c r="F164" t="s">
        <v>41</v>
      </c>
      <c r="G164" t="s">
        <v>391</v>
      </c>
      <c r="H164" t="s">
        <v>14</v>
      </c>
      <c r="I164" t="s">
        <v>42</v>
      </c>
      <c r="J164" t="s">
        <v>43</v>
      </c>
      <c r="K164" t="s">
        <v>44</v>
      </c>
      <c r="L164">
        <v>4.2</v>
      </c>
      <c r="M164">
        <v>4.2</v>
      </c>
      <c r="Q164">
        <v>202508</v>
      </c>
    </row>
    <row r="165" spans="1:17" x14ac:dyDescent="0.2">
      <c r="A165" t="s">
        <v>50</v>
      </c>
      <c r="C165" t="s">
        <v>98</v>
      </c>
      <c r="D165" t="s">
        <v>97</v>
      </c>
      <c r="E165" t="s">
        <v>125</v>
      </c>
      <c r="F165" t="s">
        <v>41</v>
      </c>
      <c r="G165" t="s">
        <v>392</v>
      </c>
      <c r="H165" t="s">
        <v>14</v>
      </c>
      <c r="I165" t="s">
        <v>42</v>
      </c>
      <c r="J165" t="s">
        <v>43</v>
      </c>
      <c r="K165" t="s">
        <v>44</v>
      </c>
      <c r="L165">
        <v>7</v>
      </c>
      <c r="M165">
        <v>7</v>
      </c>
      <c r="Q165">
        <v>202508</v>
      </c>
    </row>
    <row r="166" spans="1:17" x14ac:dyDescent="0.2">
      <c r="A166" t="s">
        <v>50</v>
      </c>
      <c r="C166" t="s">
        <v>98</v>
      </c>
      <c r="D166" t="s">
        <v>97</v>
      </c>
      <c r="E166" t="s">
        <v>186</v>
      </c>
      <c r="F166" t="s">
        <v>41</v>
      </c>
      <c r="G166" t="s">
        <v>393</v>
      </c>
      <c r="H166" t="s">
        <v>14</v>
      </c>
      <c r="I166" t="s">
        <v>42</v>
      </c>
      <c r="J166" t="s">
        <v>43</v>
      </c>
      <c r="K166" t="s">
        <v>44</v>
      </c>
      <c r="L166">
        <v>9.6</v>
      </c>
      <c r="M166">
        <v>9.6</v>
      </c>
      <c r="Q166">
        <v>202508</v>
      </c>
    </row>
    <row r="167" spans="1:17" x14ac:dyDescent="0.2">
      <c r="A167" t="s">
        <v>50</v>
      </c>
      <c r="C167" t="s">
        <v>98</v>
      </c>
      <c r="D167" t="s">
        <v>97</v>
      </c>
      <c r="E167" t="s">
        <v>186</v>
      </c>
      <c r="F167" t="s">
        <v>41</v>
      </c>
      <c r="G167" t="s">
        <v>394</v>
      </c>
      <c r="H167" t="s">
        <v>14</v>
      </c>
      <c r="I167" t="s">
        <v>42</v>
      </c>
      <c r="J167" t="s">
        <v>43</v>
      </c>
      <c r="K167" t="s">
        <v>44</v>
      </c>
      <c r="L167">
        <v>4.2</v>
      </c>
      <c r="M167">
        <v>4.2</v>
      </c>
      <c r="Q167">
        <v>202508</v>
      </c>
    </row>
    <row r="168" spans="1:17" x14ac:dyDescent="0.2">
      <c r="A168" t="s">
        <v>50</v>
      </c>
      <c r="C168" t="s">
        <v>98</v>
      </c>
      <c r="D168" t="s">
        <v>97</v>
      </c>
      <c r="E168" t="s">
        <v>186</v>
      </c>
      <c r="F168" t="s">
        <v>41</v>
      </c>
      <c r="G168" t="s">
        <v>395</v>
      </c>
      <c r="H168" t="s">
        <v>14</v>
      </c>
      <c r="I168" t="s">
        <v>42</v>
      </c>
      <c r="J168" t="s">
        <v>43</v>
      </c>
      <c r="K168" t="s">
        <v>44</v>
      </c>
      <c r="L168">
        <v>4.2</v>
      </c>
      <c r="M168">
        <v>4.2</v>
      </c>
      <c r="Q168">
        <v>202508</v>
      </c>
    </row>
    <row r="169" spans="1:17" x14ac:dyDescent="0.2">
      <c r="A169" t="s">
        <v>50</v>
      </c>
      <c r="C169" t="s">
        <v>98</v>
      </c>
      <c r="D169" t="s">
        <v>97</v>
      </c>
      <c r="E169" t="s">
        <v>186</v>
      </c>
      <c r="F169" t="s">
        <v>41</v>
      </c>
      <c r="G169" t="s">
        <v>396</v>
      </c>
      <c r="H169" t="s">
        <v>14</v>
      </c>
      <c r="I169" t="s">
        <v>42</v>
      </c>
      <c r="J169" t="s">
        <v>43</v>
      </c>
      <c r="K169" t="s">
        <v>44</v>
      </c>
      <c r="L169">
        <v>4.2</v>
      </c>
      <c r="M169">
        <v>4.2</v>
      </c>
      <c r="Q169">
        <v>202508</v>
      </c>
    </row>
    <row r="170" spans="1:17" x14ac:dyDescent="0.2">
      <c r="A170" t="s">
        <v>50</v>
      </c>
      <c r="C170" t="s">
        <v>98</v>
      </c>
      <c r="D170" t="s">
        <v>97</v>
      </c>
      <c r="E170" t="s">
        <v>186</v>
      </c>
      <c r="F170" t="s">
        <v>41</v>
      </c>
      <c r="G170" t="s">
        <v>397</v>
      </c>
      <c r="H170" t="s">
        <v>14</v>
      </c>
      <c r="I170" t="s">
        <v>42</v>
      </c>
      <c r="J170" t="s">
        <v>43</v>
      </c>
      <c r="K170" t="s">
        <v>44</v>
      </c>
      <c r="L170">
        <v>4.2</v>
      </c>
      <c r="M170">
        <v>4.2</v>
      </c>
      <c r="Q170">
        <v>202508</v>
      </c>
    </row>
    <row r="171" spans="1:17" x14ac:dyDescent="0.2">
      <c r="A171" t="s">
        <v>50</v>
      </c>
      <c r="C171" t="s">
        <v>98</v>
      </c>
      <c r="D171" t="s">
        <v>97</v>
      </c>
      <c r="E171" t="s">
        <v>161</v>
      </c>
      <c r="F171" t="s">
        <v>41</v>
      </c>
      <c r="G171" t="s">
        <v>398</v>
      </c>
      <c r="H171" t="s">
        <v>14</v>
      </c>
      <c r="I171" t="s">
        <v>42</v>
      </c>
      <c r="J171" t="s">
        <v>43</v>
      </c>
      <c r="K171" t="s">
        <v>44</v>
      </c>
      <c r="L171">
        <v>2.8</v>
      </c>
      <c r="M171">
        <v>2.8</v>
      </c>
      <c r="Q171">
        <v>202508</v>
      </c>
    </row>
    <row r="172" spans="1:17" x14ac:dyDescent="0.2">
      <c r="A172" t="s">
        <v>50</v>
      </c>
      <c r="C172" t="s">
        <v>98</v>
      </c>
      <c r="D172" t="s">
        <v>97</v>
      </c>
      <c r="E172" t="s">
        <v>161</v>
      </c>
      <c r="F172" t="s">
        <v>41</v>
      </c>
      <c r="G172" t="s">
        <v>399</v>
      </c>
      <c r="H172" t="s">
        <v>14</v>
      </c>
      <c r="I172" t="s">
        <v>42</v>
      </c>
      <c r="J172" t="s">
        <v>43</v>
      </c>
      <c r="K172" t="s">
        <v>44</v>
      </c>
      <c r="L172">
        <v>2.8</v>
      </c>
      <c r="M172">
        <v>2.8</v>
      </c>
      <c r="Q172">
        <v>202508</v>
      </c>
    </row>
    <row r="173" spans="1:17" x14ac:dyDescent="0.2">
      <c r="A173" t="s">
        <v>50</v>
      </c>
      <c r="C173" t="s">
        <v>98</v>
      </c>
      <c r="D173" t="s">
        <v>97</v>
      </c>
      <c r="E173" t="s">
        <v>161</v>
      </c>
      <c r="F173" t="s">
        <v>41</v>
      </c>
      <c r="G173" t="s">
        <v>400</v>
      </c>
      <c r="H173" t="s">
        <v>14</v>
      </c>
      <c r="I173" t="s">
        <v>42</v>
      </c>
      <c r="J173" t="s">
        <v>43</v>
      </c>
      <c r="K173" t="s">
        <v>44</v>
      </c>
      <c r="L173">
        <v>6.4</v>
      </c>
      <c r="M173">
        <v>6.4</v>
      </c>
      <c r="Q173">
        <v>202508</v>
      </c>
    </row>
    <row r="174" spans="1:17" x14ac:dyDescent="0.2">
      <c r="A174" t="s">
        <v>50</v>
      </c>
      <c r="C174" t="s">
        <v>98</v>
      </c>
      <c r="D174" t="s">
        <v>97</v>
      </c>
      <c r="E174" t="s">
        <v>355</v>
      </c>
      <c r="F174" t="s">
        <v>41</v>
      </c>
      <c r="G174" t="s">
        <v>401</v>
      </c>
      <c r="H174" t="s">
        <v>14</v>
      </c>
      <c r="I174" t="s">
        <v>42</v>
      </c>
      <c r="J174" t="s">
        <v>43</v>
      </c>
      <c r="K174" t="s">
        <v>44</v>
      </c>
      <c r="L174">
        <v>2.8</v>
      </c>
      <c r="M174">
        <v>2.8</v>
      </c>
      <c r="Q174">
        <v>202508</v>
      </c>
    </row>
    <row r="175" spans="1:17" x14ac:dyDescent="0.2">
      <c r="A175" t="s">
        <v>50</v>
      </c>
      <c r="C175" t="s">
        <v>98</v>
      </c>
      <c r="D175" t="s">
        <v>97</v>
      </c>
      <c r="E175" t="s">
        <v>118</v>
      </c>
      <c r="F175" t="s">
        <v>41</v>
      </c>
      <c r="G175" t="s">
        <v>402</v>
      </c>
      <c r="H175" t="s">
        <v>14</v>
      </c>
      <c r="I175" t="s">
        <v>42</v>
      </c>
      <c r="J175" t="s">
        <v>43</v>
      </c>
      <c r="K175" t="s">
        <v>44</v>
      </c>
      <c r="L175">
        <v>7</v>
      </c>
      <c r="M175">
        <v>7</v>
      </c>
      <c r="Q175">
        <v>202508</v>
      </c>
    </row>
    <row r="176" spans="1:17" x14ac:dyDescent="0.2">
      <c r="A176" t="s">
        <v>50</v>
      </c>
      <c r="C176" t="s">
        <v>98</v>
      </c>
      <c r="D176" t="s">
        <v>97</v>
      </c>
      <c r="E176" t="s">
        <v>182</v>
      </c>
      <c r="F176" t="s">
        <v>41</v>
      </c>
      <c r="G176" t="s">
        <v>403</v>
      </c>
      <c r="H176" t="s">
        <v>14</v>
      </c>
      <c r="I176" t="s">
        <v>42</v>
      </c>
      <c r="J176" t="s">
        <v>43</v>
      </c>
      <c r="K176" t="s">
        <v>44</v>
      </c>
      <c r="L176">
        <v>7</v>
      </c>
      <c r="M176">
        <v>7</v>
      </c>
      <c r="Q176">
        <v>202508</v>
      </c>
    </row>
    <row r="177" spans="1:17" x14ac:dyDescent="0.2">
      <c r="A177" t="s">
        <v>50</v>
      </c>
      <c r="C177" t="s">
        <v>98</v>
      </c>
      <c r="D177" t="s">
        <v>97</v>
      </c>
      <c r="E177" t="s">
        <v>97</v>
      </c>
      <c r="F177" t="s">
        <v>41</v>
      </c>
      <c r="G177" t="s">
        <v>404</v>
      </c>
      <c r="H177" t="s">
        <v>14</v>
      </c>
      <c r="I177" t="s">
        <v>42</v>
      </c>
      <c r="J177" t="s">
        <v>43</v>
      </c>
      <c r="K177" t="s">
        <v>44</v>
      </c>
      <c r="L177">
        <v>27</v>
      </c>
      <c r="M177">
        <v>27</v>
      </c>
      <c r="Q177">
        <v>202507</v>
      </c>
    </row>
    <row r="178" spans="1:17" x14ac:dyDescent="0.2">
      <c r="A178" t="s">
        <v>50</v>
      </c>
      <c r="C178" t="s">
        <v>98</v>
      </c>
      <c r="D178" t="s">
        <v>97</v>
      </c>
      <c r="E178" t="s">
        <v>97</v>
      </c>
      <c r="F178" t="s">
        <v>41</v>
      </c>
      <c r="G178" t="s">
        <v>405</v>
      </c>
      <c r="H178" t="s">
        <v>14</v>
      </c>
      <c r="I178" t="s">
        <v>42</v>
      </c>
      <c r="J178" t="s">
        <v>43</v>
      </c>
      <c r="K178" t="s">
        <v>44</v>
      </c>
      <c r="L178">
        <v>7</v>
      </c>
      <c r="M178">
        <v>7</v>
      </c>
      <c r="Q178">
        <v>202507</v>
      </c>
    </row>
    <row r="179" spans="1:17" x14ac:dyDescent="0.2">
      <c r="A179" t="s">
        <v>50</v>
      </c>
      <c r="C179" t="s">
        <v>98</v>
      </c>
      <c r="D179" t="s">
        <v>97</v>
      </c>
      <c r="E179" t="s">
        <v>97</v>
      </c>
      <c r="F179" t="s">
        <v>41</v>
      </c>
      <c r="G179" t="s">
        <v>406</v>
      </c>
      <c r="H179" t="s">
        <v>14</v>
      </c>
      <c r="I179" t="s">
        <v>42</v>
      </c>
      <c r="J179" t="s">
        <v>43</v>
      </c>
      <c r="K179" t="s">
        <v>44</v>
      </c>
      <c r="L179">
        <v>7</v>
      </c>
      <c r="M179">
        <v>7</v>
      </c>
      <c r="Q179">
        <v>202507</v>
      </c>
    </row>
    <row r="180" spans="1:17" x14ac:dyDescent="0.2">
      <c r="A180" t="s">
        <v>50</v>
      </c>
      <c r="C180" t="s">
        <v>98</v>
      </c>
      <c r="D180" t="s">
        <v>97</v>
      </c>
      <c r="E180" t="s">
        <v>97</v>
      </c>
      <c r="F180" t="s">
        <v>41</v>
      </c>
      <c r="G180" t="s">
        <v>407</v>
      </c>
      <c r="H180" t="s">
        <v>14</v>
      </c>
      <c r="I180" t="s">
        <v>42</v>
      </c>
      <c r="J180" t="s">
        <v>43</v>
      </c>
      <c r="K180" t="s">
        <v>44</v>
      </c>
      <c r="L180">
        <v>27</v>
      </c>
      <c r="M180">
        <v>27</v>
      </c>
      <c r="Q180">
        <v>202507</v>
      </c>
    </row>
    <row r="181" spans="1:17" x14ac:dyDescent="0.2">
      <c r="A181" t="s">
        <v>50</v>
      </c>
      <c r="C181" t="s">
        <v>98</v>
      </c>
      <c r="D181" t="s">
        <v>97</v>
      </c>
      <c r="E181" t="s">
        <v>97</v>
      </c>
      <c r="F181" t="s">
        <v>41</v>
      </c>
      <c r="G181" t="s">
        <v>408</v>
      </c>
      <c r="H181" t="s">
        <v>14</v>
      </c>
      <c r="I181" t="s">
        <v>42</v>
      </c>
      <c r="J181" t="s">
        <v>43</v>
      </c>
      <c r="K181" t="s">
        <v>44</v>
      </c>
      <c r="L181">
        <v>7</v>
      </c>
      <c r="M181">
        <v>7</v>
      </c>
      <c r="Q181">
        <v>202507</v>
      </c>
    </row>
    <row r="182" spans="1:17" x14ac:dyDescent="0.2">
      <c r="A182" t="s">
        <v>50</v>
      </c>
      <c r="C182" t="s">
        <v>98</v>
      </c>
      <c r="D182" t="s">
        <v>97</v>
      </c>
      <c r="E182" t="s">
        <v>97</v>
      </c>
      <c r="F182" t="s">
        <v>41</v>
      </c>
      <c r="G182" t="s">
        <v>409</v>
      </c>
      <c r="H182" t="s">
        <v>14</v>
      </c>
      <c r="I182" t="s">
        <v>42</v>
      </c>
      <c r="J182" t="s">
        <v>43</v>
      </c>
      <c r="K182" t="s">
        <v>44</v>
      </c>
      <c r="L182">
        <v>7</v>
      </c>
      <c r="M182">
        <v>7</v>
      </c>
      <c r="Q182">
        <v>202507</v>
      </c>
    </row>
    <row r="183" spans="1:17" x14ac:dyDescent="0.2">
      <c r="A183" t="s">
        <v>50</v>
      </c>
      <c r="C183" t="s">
        <v>98</v>
      </c>
      <c r="D183" t="s">
        <v>97</v>
      </c>
      <c r="E183" t="s">
        <v>97</v>
      </c>
      <c r="F183" t="s">
        <v>41</v>
      </c>
      <c r="G183" t="s">
        <v>410</v>
      </c>
      <c r="H183" t="s">
        <v>14</v>
      </c>
      <c r="I183" t="s">
        <v>42</v>
      </c>
      <c r="J183" t="s">
        <v>43</v>
      </c>
      <c r="K183" t="s">
        <v>44</v>
      </c>
      <c r="L183">
        <v>7</v>
      </c>
      <c r="M183">
        <v>7</v>
      </c>
      <c r="Q183">
        <v>202507</v>
      </c>
    </row>
    <row r="184" spans="1:17" x14ac:dyDescent="0.2">
      <c r="A184" t="s">
        <v>50</v>
      </c>
      <c r="C184" t="s">
        <v>98</v>
      </c>
      <c r="D184" t="s">
        <v>97</v>
      </c>
      <c r="E184" t="s">
        <v>97</v>
      </c>
      <c r="F184" t="s">
        <v>41</v>
      </c>
      <c r="G184" t="s">
        <v>411</v>
      </c>
      <c r="H184" t="s">
        <v>14</v>
      </c>
      <c r="I184" t="s">
        <v>42</v>
      </c>
      <c r="J184" t="s">
        <v>43</v>
      </c>
      <c r="K184" t="s">
        <v>44</v>
      </c>
      <c r="L184">
        <v>16</v>
      </c>
      <c r="M184">
        <v>16</v>
      </c>
      <c r="Q184">
        <v>202507</v>
      </c>
    </row>
    <row r="185" spans="1:17" x14ac:dyDescent="0.2">
      <c r="A185" t="s">
        <v>50</v>
      </c>
      <c r="C185" t="s">
        <v>98</v>
      </c>
      <c r="D185" t="s">
        <v>97</v>
      </c>
      <c r="E185" t="s">
        <v>107</v>
      </c>
      <c r="F185" t="s">
        <v>41</v>
      </c>
      <c r="G185" t="s">
        <v>412</v>
      </c>
      <c r="H185" t="s">
        <v>14</v>
      </c>
      <c r="I185" t="s">
        <v>42</v>
      </c>
      <c r="J185" t="s">
        <v>43</v>
      </c>
      <c r="K185" t="s">
        <v>44</v>
      </c>
      <c r="L185">
        <v>7</v>
      </c>
      <c r="M185">
        <v>7</v>
      </c>
      <c r="Q185">
        <v>202507</v>
      </c>
    </row>
    <row r="186" spans="1:17" x14ac:dyDescent="0.2">
      <c r="A186" t="s">
        <v>50</v>
      </c>
      <c r="C186" t="s">
        <v>98</v>
      </c>
      <c r="D186" t="s">
        <v>97</v>
      </c>
      <c r="E186" t="s">
        <v>107</v>
      </c>
      <c r="F186" t="s">
        <v>41</v>
      </c>
      <c r="G186" t="s">
        <v>413</v>
      </c>
      <c r="H186" t="s">
        <v>14</v>
      </c>
      <c r="I186" t="s">
        <v>42</v>
      </c>
      <c r="J186" t="s">
        <v>43</v>
      </c>
      <c r="K186" t="s">
        <v>44</v>
      </c>
      <c r="L186">
        <v>27</v>
      </c>
      <c r="M186">
        <v>27</v>
      </c>
      <c r="Q186">
        <v>202507</v>
      </c>
    </row>
    <row r="187" spans="1:17" x14ac:dyDescent="0.2">
      <c r="A187" t="s">
        <v>50</v>
      </c>
      <c r="C187" t="s">
        <v>98</v>
      </c>
      <c r="D187" t="s">
        <v>97</v>
      </c>
      <c r="E187" t="s">
        <v>107</v>
      </c>
      <c r="F187" t="s">
        <v>41</v>
      </c>
      <c r="G187" t="s">
        <v>414</v>
      </c>
      <c r="H187" t="s">
        <v>14</v>
      </c>
      <c r="I187" t="s">
        <v>42</v>
      </c>
      <c r="J187" t="s">
        <v>43</v>
      </c>
      <c r="K187" t="s">
        <v>44</v>
      </c>
      <c r="L187">
        <v>7</v>
      </c>
      <c r="M187">
        <v>7</v>
      </c>
      <c r="Q187">
        <v>202507</v>
      </c>
    </row>
    <row r="188" spans="1:17" x14ac:dyDescent="0.2">
      <c r="A188" t="s">
        <v>50</v>
      </c>
      <c r="C188" t="s">
        <v>98</v>
      </c>
      <c r="D188" t="s">
        <v>97</v>
      </c>
      <c r="E188" t="s">
        <v>195</v>
      </c>
      <c r="F188" t="s">
        <v>41</v>
      </c>
      <c r="G188" t="s">
        <v>415</v>
      </c>
      <c r="H188" t="s">
        <v>14</v>
      </c>
      <c r="I188" t="s">
        <v>42</v>
      </c>
      <c r="J188" t="s">
        <v>43</v>
      </c>
      <c r="K188" t="s">
        <v>44</v>
      </c>
      <c r="L188">
        <v>4.2</v>
      </c>
      <c r="M188">
        <v>4.2</v>
      </c>
      <c r="Q188">
        <v>202507</v>
      </c>
    </row>
    <row r="189" spans="1:17" x14ac:dyDescent="0.2">
      <c r="A189" t="s">
        <v>50</v>
      </c>
      <c r="C189" t="s">
        <v>98</v>
      </c>
      <c r="D189" t="s">
        <v>97</v>
      </c>
      <c r="E189" t="s">
        <v>195</v>
      </c>
      <c r="F189" t="s">
        <v>41</v>
      </c>
      <c r="G189" t="s">
        <v>416</v>
      </c>
      <c r="H189" t="s">
        <v>14</v>
      </c>
      <c r="I189" t="s">
        <v>42</v>
      </c>
      <c r="J189" t="s">
        <v>43</v>
      </c>
      <c r="K189" t="s">
        <v>44</v>
      </c>
      <c r="L189">
        <v>9.6</v>
      </c>
      <c r="M189">
        <v>9.6</v>
      </c>
      <c r="Q189">
        <v>202507</v>
      </c>
    </row>
    <row r="190" spans="1:17" x14ac:dyDescent="0.2">
      <c r="A190" t="s">
        <v>50</v>
      </c>
      <c r="C190" t="s">
        <v>98</v>
      </c>
      <c r="D190" t="s">
        <v>97</v>
      </c>
      <c r="E190" t="s">
        <v>125</v>
      </c>
      <c r="F190" t="s">
        <v>41</v>
      </c>
      <c r="G190" t="s">
        <v>417</v>
      </c>
      <c r="H190" t="s">
        <v>14</v>
      </c>
      <c r="I190" t="s">
        <v>42</v>
      </c>
      <c r="J190" t="s">
        <v>43</v>
      </c>
      <c r="K190" t="s">
        <v>44</v>
      </c>
      <c r="L190">
        <v>7</v>
      </c>
      <c r="M190">
        <v>7</v>
      </c>
      <c r="Q190">
        <v>202507</v>
      </c>
    </row>
    <row r="191" spans="1:17" x14ac:dyDescent="0.2">
      <c r="A191" t="s">
        <v>50</v>
      </c>
      <c r="C191" t="s">
        <v>98</v>
      </c>
      <c r="D191" t="s">
        <v>97</v>
      </c>
      <c r="E191" t="s">
        <v>226</v>
      </c>
      <c r="F191" t="s">
        <v>41</v>
      </c>
      <c r="G191" t="s">
        <v>418</v>
      </c>
      <c r="H191" t="s">
        <v>14</v>
      </c>
      <c r="I191" t="s">
        <v>42</v>
      </c>
      <c r="J191" t="s">
        <v>43</v>
      </c>
      <c r="K191" t="s">
        <v>44</v>
      </c>
      <c r="L191">
        <v>7</v>
      </c>
      <c r="M191">
        <v>7</v>
      </c>
      <c r="Q191">
        <v>202507</v>
      </c>
    </row>
    <row r="192" spans="1:17" x14ac:dyDescent="0.2">
      <c r="A192" t="s">
        <v>50</v>
      </c>
      <c r="C192" t="s">
        <v>98</v>
      </c>
      <c r="D192" t="s">
        <v>97</v>
      </c>
      <c r="E192" t="s">
        <v>226</v>
      </c>
      <c r="F192" t="s">
        <v>41</v>
      </c>
      <c r="G192" t="s">
        <v>419</v>
      </c>
      <c r="H192" t="s">
        <v>14</v>
      </c>
      <c r="I192" t="s">
        <v>42</v>
      </c>
      <c r="J192" t="s">
        <v>43</v>
      </c>
      <c r="K192" t="s">
        <v>44</v>
      </c>
      <c r="L192">
        <v>7</v>
      </c>
      <c r="M192">
        <v>7</v>
      </c>
      <c r="Q192">
        <v>202507</v>
      </c>
    </row>
    <row r="193" spans="1:17" x14ac:dyDescent="0.2">
      <c r="A193" t="s">
        <v>50</v>
      </c>
      <c r="C193" t="s">
        <v>98</v>
      </c>
      <c r="D193" t="s">
        <v>97</v>
      </c>
      <c r="E193" t="s">
        <v>154</v>
      </c>
      <c r="F193" t="s">
        <v>41</v>
      </c>
      <c r="G193" t="s">
        <v>420</v>
      </c>
      <c r="H193" t="s">
        <v>14</v>
      </c>
      <c r="I193" t="s">
        <v>42</v>
      </c>
      <c r="J193" t="s">
        <v>43</v>
      </c>
      <c r="K193" t="s">
        <v>44</v>
      </c>
      <c r="L193">
        <v>4.2</v>
      </c>
      <c r="M193">
        <v>4.2</v>
      </c>
      <c r="Q193">
        <v>202507</v>
      </c>
    </row>
    <row r="194" spans="1:17" x14ac:dyDescent="0.2">
      <c r="A194" t="s">
        <v>50</v>
      </c>
      <c r="C194" t="s">
        <v>98</v>
      </c>
      <c r="D194" t="s">
        <v>97</v>
      </c>
      <c r="E194" t="s">
        <v>421</v>
      </c>
      <c r="F194" t="s">
        <v>41</v>
      </c>
      <c r="G194" t="s">
        <v>422</v>
      </c>
      <c r="H194" t="s">
        <v>14</v>
      </c>
      <c r="I194" t="s">
        <v>42</v>
      </c>
      <c r="J194" t="s">
        <v>43</v>
      </c>
      <c r="K194" t="s">
        <v>44</v>
      </c>
      <c r="L194">
        <v>7</v>
      </c>
      <c r="M194">
        <v>7</v>
      </c>
      <c r="Q194">
        <v>202507</v>
      </c>
    </row>
    <row r="195" spans="1:17" x14ac:dyDescent="0.2">
      <c r="A195" t="s">
        <v>50</v>
      </c>
      <c r="C195" t="s">
        <v>98</v>
      </c>
      <c r="D195" t="s">
        <v>97</v>
      </c>
      <c r="E195" t="s">
        <v>186</v>
      </c>
      <c r="F195" t="s">
        <v>41</v>
      </c>
      <c r="G195" t="s">
        <v>423</v>
      </c>
      <c r="H195" t="s">
        <v>14</v>
      </c>
      <c r="I195" t="s">
        <v>42</v>
      </c>
      <c r="J195" t="s">
        <v>43</v>
      </c>
      <c r="K195" t="s">
        <v>44</v>
      </c>
      <c r="L195">
        <v>16.2</v>
      </c>
      <c r="M195">
        <v>16.2</v>
      </c>
      <c r="Q195">
        <v>202507</v>
      </c>
    </row>
    <row r="196" spans="1:17" x14ac:dyDescent="0.2">
      <c r="A196" t="s">
        <v>50</v>
      </c>
      <c r="C196" t="s">
        <v>98</v>
      </c>
      <c r="D196" t="s">
        <v>97</v>
      </c>
      <c r="E196" t="s">
        <v>186</v>
      </c>
      <c r="F196" t="s">
        <v>41</v>
      </c>
      <c r="G196" t="s">
        <v>424</v>
      </c>
      <c r="H196" t="s">
        <v>14</v>
      </c>
      <c r="I196" t="s">
        <v>42</v>
      </c>
      <c r="J196" t="s">
        <v>43</v>
      </c>
      <c r="K196" t="s">
        <v>44</v>
      </c>
      <c r="L196">
        <v>9.6</v>
      </c>
      <c r="M196">
        <v>9.6</v>
      </c>
      <c r="Q196">
        <v>202507</v>
      </c>
    </row>
    <row r="197" spans="1:17" x14ac:dyDescent="0.2">
      <c r="A197" t="s">
        <v>50</v>
      </c>
      <c r="C197" t="s">
        <v>98</v>
      </c>
      <c r="D197" t="s">
        <v>97</v>
      </c>
      <c r="E197" t="s">
        <v>186</v>
      </c>
      <c r="F197" t="s">
        <v>41</v>
      </c>
      <c r="G197" t="s">
        <v>425</v>
      </c>
      <c r="H197" t="s">
        <v>14</v>
      </c>
      <c r="I197" t="s">
        <v>42</v>
      </c>
      <c r="J197" t="s">
        <v>43</v>
      </c>
      <c r="K197" t="s">
        <v>44</v>
      </c>
      <c r="L197">
        <v>4.2</v>
      </c>
      <c r="M197">
        <v>4.2</v>
      </c>
      <c r="Q197">
        <v>202507</v>
      </c>
    </row>
    <row r="198" spans="1:17" x14ac:dyDescent="0.2">
      <c r="A198" t="s">
        <v>50</v>
      </c>
      <c r="C198" t="s">
        <v>98</v>
      </c>
      <c r="D198" t="s">
        <v>97</v>
      </c>
      <c r="E198" t="s">
        <v>186</v>
      </c>
      <c r="F198" t="s">
        <v>41</v>
      </c>
      <c r="G198" t="s">
        <v>426</v>
      </c>
      <c r="H198" t="s">
        <v>14</v>
      </c>
      <c r="I198" t="s">
        <v>42</v>
      </c>
      <c r="J198" t="s">
        <v>43</v>
      </c>
      <c r="K198" t="s">
        <v>44</v>
      </c>
      <c r="L198">
        <v>4.2</v>
      </c>
      <c r="M198">
        <v>4.2</v>
      </c>
      <c r="Q198">
        <v>202507</v>
      </c>
    </row>
    <row r="199" spans="1:17" x14ac:dyDescent="0.2">
      <c r="A199" t="s">
        <v>50</v>
      </c>
      <c r="C199" t="s">
        <v>98</v>
      </c>
      <c r="D199" t="s">
        <v>97</v>
      </c>
      <c r="E199" t="s">
        <v>186</v>
      </c>
      <c r="F199" t="s">
        <v>41</v>
      </c>
      <c r="G199" t="s">
        <v>427</v>
      </c>
      <c r="H199" t="s">
        <v>14</v>
      </c>
      <c r="I199" t="s">
        <v>42</v>
      </c>
      <c r="J199" t="s">
        <v>43</v>
      </c>
      <c r="K199" t="s">
        <v>44</v>
      </c>
      <c r="L199">
        <v>4.2</v>
      </c>
      <c r="M199">
        <v>4.2</v>
      </c>
      <c r="Q199">
        <v>202507</v>
      </c>
    </row>
    <row r="200" spans="1:17" x14ac:dyDescent="0.2">
      <c r="A200" t="s">
        <v>50</v>
      </c>
      <c r="C200" t="s">
        <v>98</v>
      </c>
      <c r="D200" t="s">
        <v>97</v>
      </c>
      <c r="E200" t="s">
        <v>233</v>
      </c>
      <c r="F200" t="s">
        <v>41</v>
      </c>
      <c r="G200" t="s">
        <v>428</v>
      </c>
      <c r="H200" t="s">
        <v>14</v>
      </c>
      <c r="I200" t="s">
        <v>42</v>
      </c>
      <c r="J200" t="s">
        <v>43</v>
      </c>
      <c r="K200" t="s">
        <v>44</v>
      </c>
      <c r="L200">
        <v>4.2</v>
      </c>
      <c r="M200">
        <v>4.2</v>
      </c>
      <c r="Q200">
        <v>202507</v>
      </c>
    </row>
    <row r="201" spans="1:17" x14ac:dyDescent="0.2">
      <c r="A201" t="s">
        <v>50</v>
      </c>
      <c r="C201" t="s">
        <v>98</v>
      </c>
      <c r="D201" t="s">
        <v>97</v>
      </c>
      <c r="E201" t="s">
        <v>233</v>
      </c>
      <c r="F201" t="s">
        <v>41</v>
      </c>
      <c r="G201" t="s">
        <v>429</v>
      </c>
      <c r="H201" t="s">
        <v>14</v>
      </c>
      <c r="I201" t="s">
        <v>42</v>
      </c>
      <c r="J201" t="s">
        <v>43</v>
      </c>
      <c r="K201" t="s">
        <v>44</v>
      </c>
      <c r="L201">
        <v>4.2</v>
      </c>
      <c r="M201">
        <v>4.2</v>
      </c>
      <c r="Q201">
        <v>202507</v>
      </c>
    </row>
    <row r="202" spans="1:17" x14ac:dyDescent="0.2">
      <c r="A202" t="s">
        <v>50</v>
      </c>
      <c r="C202" t="s">
        <v>98</v>
      </c>
      <c r="D202" t="s">
        <v>97</v>
      </c>
      <c r="E202" t="s">
        <v>97</v>
      </c>
      <c r="F202" t="s">
        <v>41</v>
      </c>
      <c r="G202" t="s">
        <v>430</v>
      </c>
      <c r="H202" t="s">
        <v>14</v>
      </c>
      <c r="I202" t="s">
        <v>42</v>
      </c>
      <c r="J202" t="s">
        <v>43</v>
      </c>
      <c r="K202" t="s">
        <v>44</v>
      </c>
      <c r="L202">
        <v>7</v>
      </c>
      <c r="M202">
        <v>7</v>
      </c>
      <c r="Q202">
        <v>202506</v>
      </c>
    </row>
    <row r="203" spans="1:17" x14ac:dyDescent="0.2">
      <c r="A203" t="s">
        <v>50</v>
      </c>
      <c r="C203" t="s">
        <v>98</v>
      </c>
      <c r="D203" t="s">
        <v>97</v>
      </c>
      <c r="E203" t="s">
        <v>97</v>
      </c>
      <c r="F203" t="s">
        <v>41</v>
      </c>
      <c r="G203" t="s">
        <v>431</v>
      </c>
      <c r="H203" t="s">
        <v>14</v>
      </c>
      <c r="I203" t="s">
        <v>42</v>
      </c>
      <c r="J203" t="s">
        <v>43</v>
      </c>
      <c r="K203" t="s">
        <v>44</v>
      </c>
      <c r="L203">
        <v>7</v>
      </c>
      <c r="M203">
        <v>7</v>
      </c>
      <c r="Q203">
        <v>202506</v>
      </c>
    </row>
    <row r="204" spans="1:17" x14ac:dyDescent="0.2">
      <c r="A204" t="s">
        <v>50</v>
      </c>
      <c r="C204" t="s">
        <v>98</v>
      </c>
      <c r="D204" t="s">
        <v>97</v>
      </c>
      <c r="E204" t="s">
        <v>97</v>
      </c>
      <c r="F204" t="s">
        <v>41</v>
      </c>
      <c r="G204" t="s">
        <v>432</v>
      </c>
      <c r="H204" t="s">
        <v>14</v>
      </c>
      <c r="I204" t="s">
        <v>42</v>
      </c>
      <c r="J204" t="s">
        <v>43</v>
      </c>
      <c r="K204" t="s">
        <v>44</v>
      </c>
      <c r="L204">
        <v>7</v>
      </c>
      <c r="M204">
        <v>7</v>
      </c>
      <c r="Q204">
        <v>202506</v>
      </c>
    </row>
    <row r="205" spans="1:17" x14ac:dyDescent="0.2">
      <c r="A205" t="s">
        <v>50</v>
      </c>
      <c r="C205" t="s">
        <v>98</v>
      </c>
      <c r="D205" t="s">
        <v>97</v>
      </c>
      <c r="E205" t="s">
        <v>97</v>
      </c>
      <c r="F205" t="s">
        <v>41</v>
      </c>
      <c r="G205" t="s">
        <v>433</v>
      </c>
      <c r="H205" t="s">
        <v>14</v>
      </c>
      <c r="I205" t="s">
        <v>42</v>
      </c>
      <c r="J205" t="s">
        <v>43</v>
      </c>
      <c r="K205" t="s">
        <v>44</v>
      </c>
      <c r="L205">
        <v>7</v>
      </c>
      <c r="M205">
        <v>7</v>
      </c>
      <c r="Q205">
        <v>202506</v>
      </c>
    </row>
    <row r="206" spans="1:17" x14ac:dyDescent="0.2">
      <c r="A206" t="s">
        <v>50</v>
      </c>
      <c r="C206" t="s">
        <v>98</v>
      </c>
      <c r="D206" t="s">
        <v>97</v>
      </c>
      <c r="E206" t="s">
        <v>97</v>
      </c>
      <c r="F206" t="s">
        <v>41</v>
      </c>
      <c r="G206" t="s">
        <v>434</v>
      </c>
      <c r="H206" t="s">
        <v>14</v>
      </c>
      <c r="I206" t="s">
        <v>42</v>
      </c>
      <c r="J206" t="s">
        <v>43</v>
      </c>
      <c r="K206" t="s">
        <v>44</v>
      </c>
      <c r="L206">
        <v>7</v>
      </c>
      <c r="M206">
        <v>7</v>
      </c>
      <c r="Q206">
        <v>202506</v>
      </c>
    </row>
    <row r="207" spans="1:17" x14ac:dyDescent="0.2">
      <c r="A207" t="s">
        <v>50</v>
      </c>
      <c r="C207" t="s">
        <v>98</v>
      </c>
      <c r="D207" t="s">
        <v>97</v>
      </c>
      <c r="E207" t="s">
        <v>97</v>
      </c>
      <c r="F207" t="s">
        <v>41</v>
      </c>
      <c r="G207" t="s">
        <v>435</v>
      </c>
      <c r="H207" t="s">
        <v>14</v>
      </c>
      <c r="I207" t="s">
        <v>42</v>
      </c>
      <c r="J207" t="s">
        <v>43</v>
      </c>
      <c r="K207" t="s">
        <v>44</v>
      </c>
      <c r="L207">
        <v>7</v>
      </c>
      <c r="M207">
        <v>7</v>
      </c>
      <c r="Q207">
        <v>202506</v>
      </c>
    </row>
    <row r="208" spans="1:17" x14ac:dyDescent="0.2">
      <c r="A208" t="s">
        <v>50</v>
      </c>
      <c r="C208" t="s">
        <v>98</v>
      </c>
      <c r="D208" t="s">
        <v>97</v>
      </c>
      <c r="E208" t="s">
        <v>97</v>
      </c>
      <c r="F208" t="s">
        <v>41</v>
      </c>
      <c r="G208" t="s">
        <v>436</v>
      </c>
      <c r="H208" t="s">
        <v>14</v>
      </c>
      <c r="I208" t="s">
        <v>42</v>
      </c>
      <c r="J208" t="s">
        <v>43</v>
      </c>
      <c r="K208" t="s">
        <v>44</v>
      </c>
      <c r="L208">
        <v>7</v>
      </c>
      <c r="M208">
        <v>7</v>
      </c>
      <c r="Q208">
        <v>202506</v>
      </c>
    </row>
    <row r="209" spans="1:17" x14ac:dyDescent="0.2">
      <c r="A209" t="s">
        <v>50</v>
      </c>
      <c r="C209" t="s">
        <v>98</v>
      </c>
      <c r="D209" t="s">
        <v>97</v>
      </c>
      <c r="E209" t="s">
        <v>97</v>
      </c>
      <c r="F209" t="s">
        <v>41</v>
      </c>
      <c r="G209" t="s">
        <v>437</v>
      </c>
      <c r="H209" t="s">
        <v>14</v>
      </c>
      <c r="I209" t="s">
        <v>42</v>
      </c>
      <c r="J209" t="s">
        <v>43</v>
      </c>
      <c r="K209" t="s">
        <v>44</v>
      </c>
      <c r="L209">
        <v>7</v>
      </c>
      <c r="M209">
        <v>7</v>
      </c>
      <c r="Q209">
        <v>202506</v>
      </c>
    </row>
    <row r="210" spans="1:17" x14ac:dyDescent="0.2">
      <c r="A210" t="s">
        <v>50</v>
      </c>
      <c r="C210" t="s">
        <v>98</v>
      </c>
      <c r="D210" t="s">
        <v>97</v>
      </c>
      <c r="E210" t="s">
        <v>97</v>
      </c>
      <c r="F210" t="s">
        <v>41</v>
      </c>
      <c r="G210" t="s">
        <v>438</v>
      </c>
      <c r="H210" t="s">
        <v>14</v>
      </c>
      <c r="I210" t="s">
        <v>42</v>
      </c>
      <c r="J210" t="s">
        <v>43</v>
      </c>
      <c r="K210" t="s">
        <v>44</v>
      </c>
      <c r="L210">
        <v>7</v>
      </c>
      <c r="M210">
        <v>7</v>
      </c>
      <c r="Q210">
        <v>202506</v>
      </c>
    </row>
    <row r="211" spans="1:17" x14ac:dyDescent="0.2">
      <c r="A211" t="s">
        <v>50</v>
      </c>
      <c r="C211" t="s">
        <v>98</v>
      </c>
      <c r="D211" t="s">
        <v>97</v>
      </c>
      <c r="E211" t="s">
        <v>97</v>
      </c>
      <c r="F211" t="s">
        <v>41</v>
      </c>
      <c r="G211" t="s">
        <v>439</v>
      </c>
      <c r="H211" t="s">
        <v>14</v>
      </c>
      <c r="I211" t="s">
        <v>42</v>
      </c>
      <c r="J211" t="s">
        <v>43</v>
      </c>
      <c r="K211" t="s">
        <v>44</v>
      </c>
      <c r="L211">
        <v>7</v>
      </c>
      <c r="M211">
        <v>7</v>
      </c>
      <c r="Q211">
        <v>202506</v>
      </c>
    </row>
    <row r="212" spans="1:17" x14ac:dyDescent="0.2">
      <c r="A212" t="s">
        <v>50</v>
      </c>
      <c r="C212" t="s">
        <v>98</v>
      </c>
      <c r="D212" t="s">
        <v>97</v>
      </c>
      <c r="E212" t="s">
        <v>97</v>
      </c>
      <c r="F212" t="s">
        <v>41</v>
      </c>
      <c r="G212" t="s">
        <v>440</v>
      </c>
      <c r="H212" t="s">
        <v>14</v>
      </c>
      <c r="I212" t="s">
        <v>42</v>
      </c>
      <c r="J212" t="s">
        <v>43</v>
      </c>
      <c r="K212" t="s">
        <v>44</v>
      </c>
      <c r="L212">
        <v>7</v>
      </c>
      <c r="M212">
        <v>7</v>
      </c>
      <c r="Q212">
        <v>202506</v>
      </c>
    </row>
    <row r="213" spans="1:17" x14ac:dyDescent="0.2">
      <c r="A213" t="s">
        <v>50</v>
      </c>
      <c r="C213" t="s">
        <v>98</v>
      </c>
      <c r="D213" t="s">
        <v>97</v>
      </c>
      <c r="E213" t="s">
        <v>97</v>
      </c>
      <c r="F213" t="s">
        <v>41</v>
      </c>
      <c r="G213" t="s">
        <v>441</v>
      </c>
      <c r="H213" t="s">
        <v>14</v>
      </c>
      <c r="I213" t="s">
        <v>42</v>
      </c>
      <c r="J213" t="s">
        <v>43</v>
      </c>
      <c r="K213" t="s">
        <v>44</v>
      </c>
      <c r="L213">
        <v>7</v>
      </c>
      <c r="M213">
        <v>7</v>
      </c>
      <c r="Q213">
        <v>202506</v>
      </c>
    </row>
    <row r="214" spans="1:17" x14ac:dyDescent="0.2">
      <c r="A214" t="s">
        <v>50</v>
      </c>
      <c r="C214" t="s">
        <v>98</v>
      </c>
      <c r="D214" t="s">
        <v>97</v>
      </c>
      <c r="E214" t="s">
        <v>97</v>
      </c>
      <c r="F214" t="s">
        <v>41</v>
      </c>
      <c r="G214" t="s">
        <v>442</v>
      </c>
      <c r="H214" t="s">
        <v>14</v>
      </c>
      <c r="I214" t="s">
        <v>42</v>
      </c>
      <c r="J214" t="s">
        <v>43</v>
      </c>
      <c r="K214" t="s">
        <v>44</v>
      </c>
      <c r="L214">
        <v>7</v>
      </c>
      <c r="M214">
        <v>7</v>
      </c>
      <c r="Q214">
        <v>202506</v>
      </c>
    </row>
    <row r="215" spans="1:17" x14ac:dyDescent="0.2">
      <c r="A215" t="s">
        <v>50</v>
      </c>
      <c r="C215" t="s">
        <v>98</v>
      </c>
      <c r="D215" t="s">
        <v>97</v>
      </c>
      <c r="E215" t="s">
        <v>97</v>
      </c>
      <c r="F215" t="s">
        <v>41</v>
      </c>
      <c r="G215" t="s">
        <v>443</v>
      </c>
      <c r="H215" t="s">
        <v>14</v>
      </c>
      <c r="I215" t="s">
        <v>42</v>
      </c>
      <c r="J215" t="s">
        <v>43</v>
      </c>
      <c r="K215" t="s">
        <v>44</v>
      </c>
      <c r="L215">
        <v>7</v>
      </c>
      <c r="M215">
        <v>7</v>
      </c>
      <c r="Q215">
        <v>202506</v>
      </c>
    </row>
    <row r="216" spans="1:17" x14ac:dyDescent="0.2">
      <c r="A216" t="s">
        <v>50</v>
      </c>
      <c r="C216" t="s">
        <v>98</v>
      </c>
      <c r="D216" t="s">
        <v>97</v>
      </c>
      <c r="E216" t="s">
        <v>97</v>
      </c>
      <c r="F216" t="s">
        <v>41</v>
      </c>
      <c r="G216" t="s">
        <v>444</v>
      </c>
      <c r="H216" t="s">
        <v>14</v>
      </c>
      <c r="I216" t="s">
        <v>42</v>
      </c>
      <c r="J216" t="s">
        <v>43</v>
      </c>
      <c r="K216" t="s">
        <v>44</v>
      </c>
      <c r="L216">
        <v>7</v>
      </c>
      <c r="M216">
        <v>7</v>
      </c>
      <c r="Q216">
        <v>202506</v>
      </c>
    </row>
    <row r="217" spans="1:17" x14ac:dyDescent="0.2">
      <c r="A217" t="s">
        <v>50</v>
      </c>
      <c r="C217" t="s">
        <v>98</v>
      </c>
      <c r="D217" t="s">
        <v>97</v>
      </c>
      <c r="E217" t="s">
        <v>97</v>
      </c>
      <c r="F217" t="s">
        <v>41</v>
      </c>
      <c r="G217" t="s">
        <v>445</v>
      </c>
      <c r="H217" t="s">
        <v>14</v>
      </c>
      <c r="I217" t="s">
        <v>42</v>
      </c>
      <c r="J217" t="s">
        <v>43</v>
      </c>
      <c r="K217" t="s">
        <v>44</v>
      </c>
      <c r="L217">
        <v>7</v>
      </c>
      <c r="M217">
        <v>7</v>
      </c>
      <c r="Q217">
        <v>202506</v>
      </c>
    </row>
    <row r="218" spans="1:17" x14ac:dyDescent="0.2">
      <c r="A218" t="s">
        <v>50</v>
      </c>
      <c r="C218" t="s">
        <v>98</v>
      </c>
      <c r="D218" t="s">
        <v>97</v>
      </c>
      <c r="E218" t="s">
        <v>97</v>
      </c>
      <c r="F218" t="s">
        <v>41</v>
      </c>
      <c r="G218" t="s">
        <v>446</v>
      </c>
      <c r="H218" t="s">
        <v>14</v>
      </c>
      <c r="I218" t="s">
        <v>42</v>
      </c>
      <c r="J218" t="s">
        <v>43</v>
      </c>
      <c r="K218" t="s">
        <v>44</v>
      </c>
      <c r="L218">
        <v>27</v>
      </c>
      <c r="M218">
        <v>27</v>
      </c>
      <c r="Q218">
        <v>202506</v>
      </c>
    </row>
    <row r="219" spans="1:17" x14ac:dyDescent="0.2">
      <c r="A219" t="s">
        <v>50</v>
      </c>
      <c r="C219" t="s">
        <v>98</v>
      </c>
      <c r="D219" t="s">
        <v>97</v>
      </c>
      <c r="E219" t="s">
        <v>182</v>
      </c>
      <c r="F219" t="s">
        <v>41</v>
      </c>
      <c r="G219" t="s">
        <v>447</v>
      </c>
      <c r="H219" t="s">
        <v>14</v>
      </c>
      <c r="I219" t="s">
        <v>42</v>
      </c>
      <c r="J219" t="s">
        <v>43</v>
      </c>
      <c r="K219" t="s">
        <v>44</v>
      </c>
      <c r="L219">
        <v>7</v>
      </c>
      <c r="M219">
        <v>7</v>
      </c>
      <c r="Q219">
        <v>202506</v>
      </c>
    </row>
    <row r="220" spans="1:17" x14ac:dyDescent="0.2">
      <c r="A220" t="s">
        <v>50</v>
      </c>
      <c r="C220" t="s">
        <v>98</v>
      </c>
      <c r="D220" t="s">
        <v>97</v>
      </c>
      <c r="E220" t="s">
        <v>182</v>
      </c>
      <c r="F220" t="s">
        <v>41</v>
      </c>
      <c r="G220" t="s">
        <v>448</v>
      </c>
      <c r="H220" t="s">
        <v>14</v>
      </c>
      <c r="I220" t="s">
        <v>42</v>
      </c>
      <c r="J220" t="s">
        <v>43</v>
      </c>
      <c r="K220" t="s">
        <v>44</v>
      </c>
      <c r="L220">
        <v>7</v>
      </c>
      <c r="M220">
        <v>7</v>
      </c>
      <c r="Q220">
        <v>202506</v>
      </c>
    </row>
    <row r="221" spans="1:17" x14ac:dyDescent="0.2">
      <c r="A221" t="s">
        <v>50</v>
      </c>
      <c r="C221" t="s">
        <v>98</v>
      </c>
      <c r="D221" t="s">
        <v>97</v>
      </c>
      <c r="E221" t="s">
        <v>107</v>
      </c>
      <c r="F221" t="s">
        <v>41</v>
      </c>
      <c r="G221" t="s">
        <v>449</v>
      </c>
      <c r="H221" t="s">
        <v>14</v>
      </c>
      <c r="I221" t="s">
        <v>42</v>
      </c>
      <c r="J221" t="s">
        <v>43</v>
      </c>
      <c r="K221" t="s">
        <v>44</v>
      </c>
      <c r="L221">
        <v>7</v>
      </c>
      <c r="M221">
        <v>7</v>
      </c>
      <c r="Q221">
        <v>202506</v>
      </c>
    </row>
    <row r="222" spans="1:17" x14ac:dyDescent="0.2">
      <c r="A222" t="s">
        <v>50</v>
      </c>
      <c r="C222" t="s">
        <v>98</v>
      </c>
      <c r="D222" t="s">
        <v>97</v>
      </c>
      <c r="E222" t="s">
        <v>107</v>
      </c>
      <c r="F222" t="s">
        <v>41</v>
      </c>
      <c r="G222" t="s">
        <v>450</v>
      </c>
      <c r="H222" t="s">
        <v>14</v>
      </c>
      <c r="I222" t="s">
        <v>42</v>
      </c>
      <c r="J222" t="s">
        <v>43</v>
      </c>
      <c r="K222" t="s">
        <v>44</v>
      </c>
      <c r="L222">
        <v>27</v>
      </c>
      <c r="M222">
        <v>27</v>
      </c>
      <c r="Q222">
        <v>202506</v>
      </c>
    </row>
    <row r="223" spans="1:17" x14ac:dyDescent="0.2">
      <c r="A223" t="s">
        <v>50</v>
      </c>
      <c r="C223" t="s">
        <v>98</v>
      </c>
      <c r="D223" t="s">
        <v>97</v>
      </c>
      <c r="E223" t="s">
        <v>107</v>
      </c>
      <c r="F223" t="s">
        <v>41</v>
      </c>
      <c r="G223" t="s">
        <v>451</v>
      </c>
      <c r="H223" t="s">
        <v>14</v>
      </c>
      <c r="I223" t="s">
        <v>42</v>
      </c>
      <c r="J223" t="s">
        <v>43</v>
      </c>
      <c r="K223" t="s">
        <v>44</v>
      </c>
      <c r="L223">
        <v>27</v>
      </c>
      <c r="M223">
        <v>27</v>
      </c>
      <c r="Q223">
        <v>202506</v>
      </c>
    </row>
    <row r="224" spans="1:17" x14ac:dyDescent="0.2">
      <c r="A224" t="s">
        <v>50</v>
      </c>
      <c r="C224" t="s">
        <v>98</v>
      </c>
      <c r="D224" t="s">
        <v>97</v>
      </c>
      <c r="E224" t="s">
        <v>195</v>
      </c>
      <c r="F224" t="s">
        <v>41</v>
      </c>
      <c r="G224" t="s">
        <v>452</v>
      </c>
      <c r="H224" t="s">
        <v>14</v>
      </c>
      <c r="I224" t="s">
        <v>42</v>
      </c>
      <c r="J224" t="s">
        <v>43</v>
      </c>
      <c r="K224" t="s">
        <v>44</v>
      </c>
      <c r="L224">
        <v>4.2</v>
      </c>
      <c r="M224">
        <v>4.2</v>
      </c>
      <c r="Q224">
        <v>202506</v>
      </c>
    </row>
    <row r="225" spans="1:17" x14ac:dyDescent="0.2">
      <c r="A225" t="s">
        <v>50</v>
      </c>
      <c r="C225" t="s">
        <v>98</v>
      </c>
      <c r="D225" t="s">
        <v>97</v>
      </c>
      <c r="E225" t="s">
        <v>125</v>
      </c>
      <c r="F225" t="s">
        <v>41</v>
      </c>
      <c r="G225" t="s">
        <v>453</v>
      </c>
      <c r="H225" t="s">
        <v>14</v>
      </c>
      <c r="I225" t="s">
        <v>42</v>
      </c>
      <c r="J225" t="s">
        <v>43</v>
      </c>
      <c r="K225" t="s">
        <v>44</v>
      </c>
      <c r="L225">
        <v>7</v>
      </c>
      <c r="M225">
        <v>7</v>
      </c>
      <c r="Q225">
        <v>202506</v>
      </c>
    </row>
    <row r="226" spans="1:17" x14ac:dyDescent="0.2">
      <c r="A226" t="s">
        <v>50</v>
      </c>
      <c r="C226" t="s">
        <v>98</v>
      </c>
      <c r="D226" t="s">
        <v>97</v>
      </c>
      <c r="E226" t="s">
        <v>125</v>
      </c>
      <c r="F226" t="s">
        <v>41</v>
      </c>
      <c r="G226" t="s">
        <v>454</v>
      </c>
      <c r="H226" t="s">
        <v>14</v>
      </c>
      <c r="I226" t="s">
        <v>42</v>
      </c>
      <c r="J226" t="s">
        <v>43</v>
      </c>
      <c r="K226" t="s">
        <v>44</v>
      </c>
      <c r="L226">
        <v>7</v>
      </c>
      <c r="M226">
        <v>7</v>
      </c>
      <c r="Q226">
        <v>202506</v>
      </c>
    </row>
    <row r="227" spans="1:17" x14ac:dyDescent="0.2">
      <c r="A227" t="s">
        <v>50</v>
      </c>
      <c r="C227" t="s">
        <v>98</v>
      </c>
      <c r="D227" t="s">
        <v>97</v>
      </c>
      <c r="E227" t="s">
        <v>125</v>
      </c>
      <c r="F227" t="s">
        <v>41</v>
      </c>
      <c r="G227" t="s">
        <v>455</v>
      </c>
      <c r="H227" t="s">
        <v>14</v>
      </c>
      <c r="I227" t="s">
        <v>42</v>
      </c>
      <c r="J227" t="s">
        <v>43</v>
      </c>
      <c r="K227" t="s">
        <v>44</v>
      </c>
      <c r="L227">
        <v>27</v>
      </c>
      <c r="M227">
        <v>27</v>
      </c>
      <c r="Q227">
        <v>202506</v>
      </c>
    </row>
    <row r="228" spans="1:17" x14ac:dyDescent="0.2">
      <c r="A228" t="s">
        <v>50</v>
      </c>
      <c r="C228" t="s">
        <v>98</v>
      </c>
      <c r="D228" t="s">
        <v>97</v>
      </c>
      <c r="E228" t="s">
        <v>125</v>
      </c>
      <c r="F228" t="s">
        <v>41</v>
      </c>
      <c r="G228" t="s">
        <v>456</v>
      </c>
      <c r="H228" t="s">
        <v>14</v>
      </c>
      <c r="I228" t="s">
        <v>42</v>
      </c>
      <c r="J228" t="s">
        <v>43</v>
      </c>
      <c r="K228" t="s">
        <v>44</v>
      </c>
      <c r="L228">
        <v>27</v>
      </c>
      <c r="M228">
        <v>27</v>
      </c>
      <c r="Q228">
        <v>202506</v>
      </c>
    </row>
    <row r="229" spans="1:17" x14ac:dyDescent="0.2">
      <c r="A229" t="s">
        <v>50</v>
      </c>
      <c r="C229" t="s">
        <v>98</v>
      </c>
      <c r="D229" t="s">
        <v>97</v>
      </c>
      <c r="E229" t="s">
        <v>125</v>
      </c>
      <c r="F229" t="s">
        <v>41</v>
      </c>
      <c r="G229" t="s">
        <v>457</v>
      </c>
      <c r="H229" t="s">
        <v>14</v>
      </c>
      <c r="I229" t="s">
        <v>42</v>
      </c>
      <c r="J229" t="s">
        <v>43</v>
      </c>
      <c r="K229" t="s">
        <v>44</v>
      </c>
      <c r="L229">
        <v>7</v>
      </c>
      <c r="M229">
        <v>7</v>
      </c>
      <c r="Q229">
        <v>202506</v>
      </c>
    </row>
    <row r="230" spans="1:17" x14ac:dyDescent="0.2">
      <c r="A230" t="s">
        <v>50</v>
      </c>
      <c r="C230" t="s">
        <v>98</v>
      </c>
      <c r="D230" t="s">
        <v>97</v>
      </c>
      <c r="E230" t="s">
        <v>125</v>
      </c>
      <c r="F230" t="s">
        <v>41</v>
      </c>
      <c r="G230" t="s">
        <v>458</v>
      </c>
      <c r="H230" t="s">
        <v>14</v>
      </c>
      <c r="I230" t="s">
        <v>42</v>
      </c>
      <c r="J230" t="s">
        <v>43</v>
      </c>
      <c r="K230" t="s">
        <v>44</v>
      </c>
      <c r="L230">
        <v>27</v>
      </c>
      <c r="M230">
        <v>27</v>
      </c>
      <c r="Q230">
        <v>202506</v>
      </c>
    </row>
    <row r="231" spans="1:17" x14ac:dyDescent="0.2">
      <c r="A231" t="s">
        <v>50</v>
      </c>
      <c r="C231" t="s">
        <v>98</v>
      </c>
      <c r="D231" t="s">
        <v>97</v>
      </c>
      <c r="E231" t="s">
        <v>161</v>
      </c>
      <c r="F231" t="s">
        <v>41</v>
      </c>
      <c r="G231" t="s">
        <v>459</v>
      </c>
      <c r="H231" t="s">
        <v>14</v>
      </c>
      <c r="I231" t="s">
        <v>42</v>
      </c>
      <c r="J231" t="s">
        <v>43</v>
      </c>
      <c r="K231" t="s">
        <v>44</v>
      </c>
      <c r="L231">
        <v>2.8</v>
      </c>
      <c r="M231">
        <v>2.8</v>
      </c>
      <c r="Q231">
        <v>202506</v>
      </c>
    </row>
    <row r="232" spans="1:17" x14ac:dyDescent="0.2">
      <c r="A232" t="s">
        <v>50</v>
      </c>
      <c r="C232" t="s">
        <v>98</v>
      </c>
      <c r="D232" t="s">
        <v>97</v>
      </c>
      <c r="E232" t="s">
        <v>226</v>
      </c>
      <c r="F232" t="s">
        <v>41</v>
      </c>
      <c r="G232" t="s">
        <v>460</v>
      </c>
      <c r="H232" t="s">
        <v>14</v>
      </c>
      <c r="I232" t="s">
        <v>42</v>
      </c>
      <c r="J232" t="s">
        <v>43</v>
      </c>
      <c r="K232" t="s">
        <v>44</v>
      </c>
      <c r="L232">
        <v>7</v>
      </c>
      <c r="M232">
        <v>7</v>
      </c>
      <c r="Q232">
        <v>202506</v>
      </c>
    </row>
    <row r="233" spans="1:17" x14ac:dyDescent="0.2">
      <c r="A233" t="s">
        <v>50</v>
      </c>
      <c r="C233" t="s">
        <v>98</v>
      </c>
      <c r="D233" t="s">
        <v>97</v>
      </c>
      <c r="E233" t="s">
        <v>154</v>
      </c>
      <c r="F233" t="s">
        <v>41</v>
      </c>
      <c r="G233" t="s">
        <v>461</v>
      </c>
      <c r="H233" t="s">
        <v>14</v>
      </c>
      <c r="I233" t="s">
        <v>42</v>
      </c>
      <c r="J233" t="s">
        <v>43</v>
      </c>
      <c r="K233" t="s">
        <v>44</v>
      </c>
      <c r="L233">
        <v>16.2</v>
      </c>
      <c r="M233">
        <v>16.2</v>
      </c>
      <c r="Q233">
        <v>202506</v>
      </c>
    </row>
    <row r="234" spans="1:17" x14ac:dyDescent="0.2">
      <c r="A234" t="s">
        <v>50</v>
      </c>
      <c r="C234" t="s">
        <v>98</v>
      </c>
      <c r="D234" t="s">
        <v>97</v>
      </c>
      <c r="E234" t="s">
        <v>154</v>
      </c>
      <c r="F234" t="s">
        <v>41</v>
      </c>
      <c r="G234" t="s">
        <v>462</v>
      </c>
      <c r="H234" t="s">
        <v>14</v>
      </c>
      <c r="I234" t="s">
        <v>42</v>
      </c>
      <c r="J234" t="s">
        <v>43</v>
      </c>
      <c r="K234" t="s">
        <v>44</v>
      </c>
      <c r="L234">
        <v>16.2</v>
      </c>
      <c r="M234">
        <v>16.2</v>
      </c>
      <c r="Q234">
        <v>202506</v>
      </c>
    </row>
    <row r="235" spans="1:17" x14ac:dyDescent="0.2">
      <c r="A235" t="s">
        <v>50</v>
      </c>
      <c r="C235" t="s">
        <v>98</v>
      </c>
      <c r="D235" t="s">
        <v>97</v>
      </c>
      <c r="E235" t="s">
        <v>154</v>
      </c>
      <c r="F235" t="s">
        <v>41</v>
      </c>
      <c r="G235" t="s">
        <v>463</v>
      </c>
      <c r="H235" t="s">
        <v>14</v>
      </c>
      <c r="I235" t="s">
        <v>42</v>
      </c>
      <c r="J235" t="s">
        <v>43</v>
      </c>
      <c r="K235" t="s">
        <v>44</v>
      </c>
      <c r="L235">
        <v>9.6</v>
      </c>
      <c r="M235">
        <v>9.6</v>
      </c>
      <c r="Q235">
        <v>202506</v>
      </c>
    </row>
    <row r="236" spans="1:17" x14ac:dyDescent="0.2">
      <c r="A236" t="s">
        <v>50</v>
      </c>
      <c r="C236" t="s">
        <v>98</v>
      </c>
      <c r="D236" t="s">
        <v>97</v>
      </c>
      <c r="E236" t="s">
        <v>154</v>
      </c>
      <c r="F236" t="s">
        <v>41</v>
      </c>
      <c r="G236" t="s">
        <v>464</v>
      </c>
      <c r="H236" t="s">
        <v>14</v>
      </c>
      <c r="I236" t="s">
        <v>42</v>
      </c>
      <c r="J236" t="s">
        <v>43</v>
      </c>
      <c r="K236" t="s">
        <v>44</v>
      </c>
      <c r="L236">
        <v>16.2</v>
      </c>
      <c r="M236">
        <v>16.2</v>
      </c>
      <c r="Q236">
        <v>202506</v>
      </c>
    </row>
    <row r="237" spans="1:17" x14ac:dyDescent="0.2">
      <c r="A237" t="s">
        <v>50</v>
      </c>
      <c r="C237" t="s">
        <v>98</v>
      </c>
      <c r="D237" t="s">
        <v>97</v>
      </c>
      <c r="E237" t="s">
        <v>421</v>
      </c>
      <c r="F237" t="s">
        <v>41</v>
      </c>
      <c r="G237" t="s">
        <v>465</v>
      </c>
      <c r="H237" t="s">
        <v>14</v>
      </c>
      <c r="I237" t="s">
        <v>42</v>
      </c>
      <c r="J237" t="s">
        <v>43</v>
      </c>
      <c r="K237" t="s">
        <v>44</v>
      </c>
      <c r="L237">
        <v>7</v>
      </c>
      <c r="M237">
        <v>7</v>
      </c>
      <c r="Q237">
        <v>202506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7C73-2A66-4169-BB28-1E48C7A60BF9}">
  <dimension ref="A1:Q60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3.25" customWidth="1"/>
    <col min="2" max="2" width="15.125" customWidth="1"/>
    <col min="3" max="3" width="15.75" customWidth="1"/>
    <col min="4" max="4" width="17.125" customWidth="1"/>
    <col min="5" max="5" width="14.375" customWidth="1"/>
    <col min="6" max="6" width="16.5" customWidth="1"/>
    <col min="7" max="7" width="15.75" customWidth="1"/>
    <col min="8" max="8" width="8.625" customWidth="1"/>
    <col min="9" max="9" width="9.5" customWidth="1"/>
    <col min="10" max="10" width="17.5" customWidth="1"/>
    <col min="11" max="11" width="9.125" customWidth="1"/>
    <col min="12" max="12" width="13.375" customWidth="1"/>
    <col min="13" max="15" width="11.25" customWidth="1"/>
    <col min="16" max="16" width="9.25" customWidth="1"/>
    <col min="17" max="17" width="7.5" customWidth="1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25" t="s">
        <v>40</v>
      </c>
    </row>
    <row r="2" spans="1:17" x14ac:dyDescent="0.2">
      <c r="A2" t="s">
        <v>51</v>
      </c>
      <c r="B2" s="59">
        <v>46043.49863425926</v>
      </c>
      <c r="C2" t="s">
        <v>98</v>
      </c>
      <c r="D2" t="s">
        <v>97</v>
      </c>
      <c r="E2" t="s">
        <v>161</v>
      </c>
      <c r="F2" t="s">
        <v>41</v>
      </c>
      <c r="G2" t="s">
        <v>162</v>
      </c>
      <c r="H2" t="s">
        <v>52</v>
      </c>
      <c r="I2" t="s">
        <v>42</v>
      </c>
      <c r="J2" t="s">
        <v>43</v>
      </c>
      <c r="K2" t="s">
        <v>44</v>
      </c>
      <c r="L2">
        <v>34.22</v>
      </c>
      <c r="M2">
        <v>34.22</v>
      </c>
      <c r="Q2">
        <v>202512</v>
      </c>
    </row>
    <row r="3" spans="1:17" x14ac:dyDescent="0.2">
      <c r="A3" t="s">
        <v>51</v>
      </c>
      <c r="B3" s="59">
        <v>46043.49863425926</v>
      </c>
      <c r="C3" t="s">
        <v>98</v>
      </c>
      <c r="D3" t="s">
        <v>97</v>
      </c>
      <c r="E3" t="s">
        <v>125</v>
      </c>
      <c r="F3" t="s">
        <v>41</v>
      </c>
      <c r="G3" t="s">
        <v>163</v>
      </c>
      <c r="H3" t="s">
        <v>52</v>
      </c>
      <c r="I3" t="s">
        <v>42</v>
      </c>
      <c r="J3" t="s">
        <v>43</v>
      </c>
      <c r="K3" t="s">
        <v>44</v>
      </c>
      <c r="L3">
        <v>70.03</v>
      </c>
      <c r="M3">
        <v>70.03</v>
      </c>
      <c r="Q3">
        <v>202512</v>
      </c>
    </row>
    <row r="4" spans="1:17" x14ac:dyDescent="0.2">
      <c r="A4" t="s">
        <v>51</v>
      </c>
      <c r="B4" s="59">
        <v>46043.49863425926</v>
      </c>
      <c r="C4" t="s">
        <v>98</v>
      </c>
      <c r="D4" t="s">
        <v>97</v>
      </c>
      <c r="E4" t="s">
        <v>125</v>
      </c>
      <c r="F4" t="s">
        <v>41</v>
      </c>
      <c r="G4" t="s">
        <v>164</v>
      </c>
      <c r="H4" t="s">
        <v>52</v>
      </c>
      <c r="I4" t="s">
        <v>42</v>
      </c>
      <c r="J4" t="s">
        <v>43</v>
      </c>
      <c r="K4" t="s">
        <v>44</v>
      </c>
      <c r="L4">
        <v>70.03</v>
      </c>
      <c r="M4">
        <v>70.03</v>
      </c>
      <c r="Q4">
        <v>202512</v>
      </c>
    </row>
    <row r="5" spans="1:17" x14ac:dyDescent="0.2">
      <c r="A5" t="s">
        <v>51</v>
      </c>
      <c r="B5" s="59">
        <v>46043.49863425926</v>
      </c>
      <c r="C5" t="s">
        <v>98</v>
      </c>
      <c r="D5" t="s">
        <v>97</v>
      </c>
      <c r="E5" t="s">
        <v>125</v>
      </c>
      <c r="F5" t="s">
        <v>41</v>
      </c>
      <c r="G5" t="s">
        <v>165</v>
      </c>
      <c r="H5" t="s">
        <v>52</v>
      </c>
      <c r="I5" t="s">
        <v>42</v>
      </c>
      <c r="J5" t="s">
        <v>43</v>
      </c>
      <c r="K5" t="s">
        <v>44</v>
      </c>
      <c r="L5">
        <v>12.69</v>
      </c>
      <c r="M5">
        <v>12.69</v>
      </c>
      <c r="Q5">
        <v>202512</v>
      </c>
    </row>
    <row r="6" spans="1:17" x14ac:dyDescent="0.2">
      <c r="A6" t="s">
        <v>51</v>
      </c>
      <c r="B6" s="59">
        <v>46043.49863425926</v>
      </c>
      <c r="C6" t="s">
        <v>98</v>
      </c>
      <c r="D6" t="s">
        <v>97</v>
      </c>
      <c r="E6" t="s">
        <v>125</v>
      </c>
      <c r="F6" t="s">
        <v>41</v>
      </c>
      <c r="G6" t="s">
        <v>126</v>
      </c>
      <c r="H6" t="s">
        <v>52</v>
      </c>
      <c r="I6" t="s">
        <v>42</v>
      </c>
      <c r="J6" t="s">
        <v>43</v>
      </c>
      <c r="K6" t="s">
        <v>44</v>
      </c>
      <c r="L6">
        <v>267.89999999999998</v>
      </c>
      <c r="M6">
        <v>267.89999999999998</v>
      </c>
      <c r="Q6">
        <v>202512</v>
      </c>
    </row>
    <row r="7" spans="1:17" x14ac:dyDescent="0.2">
      <c r="A7" t="s">
        <v>51</v>
      </c>
      <c r="B7" s="59">
        <v>46043.49863425926</v>
      </c>
      <c r="C7" t="s">
        <v>98</v>
      </c>
      <c r="D7" t="s">
        <v>97</v>
      </c>
      <c r="E7" t="s">
        <v>125</v>
      </c>
      <c r="F7" t="s">
        <v>41</v>
      </c>
      <c r="G7" t="s">
        <v>136</v>
      </c>
      <c r="H7" t="s">
        <v>52</v>
      </c>
      <c r="I7" t="s">
        <v>42</v>
      </c>
      <c r="J7" t="s">
        <v>43</v>
      </c>
      <c r="K7" t="s">
        <v>44</v>
      </c>
      <c r="L7">
        <v>493.11</v>
      </c>
      <c r="M7">
        <v>493.11</v>
      </c>
      <c r="Q7">
        <v>202512</v>
      </c>
    </row>
    <row r="8" spans="1:17" x14ac:dyDescent="0.2">
      <c r="A8" t="s">
        <v>51</v>
      </c>
      <c r="B8" s="59">
        <v>46043.49863425926</v>
      </c>
      <c r="C8" t="s">
        <v>98</v>
      </c>
      <c r="D8" t="s">
        <v>97</v>
      </c>
      <c r="E8" t="s">
        <v>125</v>
      </c>
      <c r="F8" t="s">
        <v>41</v>
      </c>
      <c r="G8" t="s">
        <v>140</v>
      </c>
      <c r="H8" t="s">
        <v>52</v>
      </c>
      <c r="I8" t="s">
        <v>42</v>
      </c>
      <c r="J8" t="s">
        <v>43</v>
      </c>
      <c r="K8" t="s">
        <v>44</v>
      </c>
      <c r="L8">
        <v>42.3</v>
      </c>
      <c r="M8">
        <v>42.3</v>
      </c>
      <c r="Q8">
        <v>202512</v>
      </c>
    </row>
    <row r="9" spans="1:17" x14ac:dyDescent="0.2">
      <c r="A9" t="s">
        <v>51</v>
      </c>
      <c r="B9" s="59">
        <v>46043.49863425926</v>
      </c>
      <c r="C9" t="s">
        <v>98</v>
      </c>
      <c r="D9" t="s">
        <v>97</v>
      </c>
      <c r="E9" t="s">
        <v>118</v>
      </c>
      <c r="F9" t="s">
        <v>41</v>
      </c>
      <c r="G9" t="s">
        <v>119</v>
      </c>
      <c r="H9" t="s">
        <v>52</v>
      </c>
      <c r="I9" t="s">
        <v>42</v>
      </c>
      <c r="J9" t="s">
        <v>43</v>
      </c>
      <c r="K9" t="s">
        <v>44</v>
      </c>
      <c r="L9">
        <v>267.89999999999998</v>
      </c>
      <c r="M9">
        <v>267.89999999999998</v>
      </c>
      <c r="Q9">
        <v>202512</v>
      </c>
    </row>
    <row r="10" spans="1:17" x14ac:dyDescent="0.2">
      <c r="A10" t="s">
        <v>51</v>
      </c>
      <c r="B10" s="59">
        <v>46043.49863425926</v>
      </c>
      <c r="C10" t="s">
        <v>98</v>
      </c>
      <c r="D10" t="s">
        <v>97</v>
      </c>
      <c r="E10" t="s">
        <v>118</v>
      </c>
      <c r="F10" t="s">
        <v>41</v>
      </c>
      <c r="G10" t="s">
        <v>123</v>
      </c>
      <c r="H10" t="s">
        <v>52</v>
      </c>
      <c r="I10" t="s">
        <v>42</v>
      </c>
      <c r="J10" t="s">
        <v>43</v>
      </c>
      <c r="K10" t="s">
        <v>44</v>
      </c>
      <c r="L10">
        <v>203.04</v>
      </c>
      <c r="M10">
        <v>203.04</v>
      </c>
      <c r="Q10">
        <v>202512</v>
      </c>
    </row>
    <row r="11" spans="1:17" x14ac:dyDescent="0.2">
      <c r="A11" t="s">
        <v>51</v>
      </c>
      <c r="B11" s="59">
        <v>46043.49863425926</v>
      </c>
      <c r="C11" t="s">
        <v>98</v>
      </c>
      <c r="D11" t="s">
        <v>97</v>
      </c>
      <c r="E11" t="s">
        <v>118</v>
      </c>
      <c r="F11" t="s">
        <v>41</v>
      </c>
      <c r="G11" t="s">
        <v>130</v>
      </c>
      <c r="H11" t="s">
        <v>52</v>
      </c>
      <c r="I11" t="s">
        <v>42</v>
      </c>
      <c r="J11" t="s">
        <v>43</v>
      </c>
      <c r="K11" t="s">
        <v>44</v>
      </c>
      <c r="L11">
        <v>203.04</v>
      </c>
      <c r="M11">
        <v>203.04</v>
      </c>
      <c r="Q11">
        <v>202512</v>
      </c>
    </row>
    <row r="12" spans="1:17" x14ac:dyDescent="0.2">
      <c r="A12" t="s">
        <v>51</v>
      </c>
      <c r="B12" s="59">
        <v>46043.49863425926</v>
      </c>
      <c r="C12" t="s">
        <v>98</v>
      </c>
      <c r="D12" t="s">
        <v>97</v>
      </c>
      <c r="E12" t="s">
        <v>118</v>
      </c>
      <c r="F12" t="s">
        <v>41</v>
      </c>
      <c r="G12" t="s">
        <v>147</v>
      </c>
      <c r="H12" t="s">
        <v>52</v>
      </c>
      <c r="I12" t="s">
        <v>42</v>
      </c>
      <c r="J12" t="s">
        <v>43</v>
      </c>
      <c r="K12" t="s">
        <v>44</v>
      </c>
      <c r="L12">
        <v>54.99</v>
      </c>
      <c r="M12">
        <v>54.99</v>
      </c>
      <c r="Q12">
        <v>202512</v>
      </c>
    </row>
    <row r="13" spans="1:17" x14ac:dyDescent="0.2">
      <c r="A13" t="s">
        <v>51</v>
      </c>
      <c r="B13" s="59">
        <v>46043.49863425926</v>
      </c>
      <c r="C13" t="s">
        <v>98</v>
      </c>
      <c r="D13" t="s">
        <v>97</v>
      </c>
      <c r="E13" t="s">
        <v>97</v>
      </c>
      <c r="F13" t="s">
        <v>41</v>
      </c>
      <c r="G13" t="s">
        <v>166</v>
      </c>
      <c r="H13" t="s">
        <v>52</v>
      </c>
      <c r="I13" t="s">
        <v>42</v>
      </c>
      <c r="J13" t="s">
        <v>43</v>
      </c>
      <c r="K13" t="s">
        <v>44</v>
      </c>
      <c r="L13">
        <v>203.04</v>
      </c>
      <c r="M13">
        <v>203.04</v>
      </c>
      <c r="Q13">
        <v>202512</v>
      </c>
    </row>
    <row r="14" spans="1:17" x14ac:dyDescent="0.2">
      <c r="A14" t="s">
        <v>51</v>
      </c>
      <c r="B14" s="59">
        <v>46043.49863425926</v>
      </c>
      <c r="C14" t="s">
        <v>98</v>
      </c>
      <c r="D14" t="s">
        <v>97</v>
      </c>
      <c r="E14" t="s">
        <v>97</v>
      </c>
      <c r="F14" t="s">
        <v>41</v>
      </c>
      <c r="G14" t="s">
        <v>167</v>
      </c>
      <c r="H14" t="s">
        <v>52</v>
      </c>
      <c r="I14" t="s">
        <v>42</v>
      </c>
      <c r="J14" t="s">
        <v>43</v>
      </c>
      <c r="K14" t="s">
        <v>44</v>
      </c>
      <c r="L14">
        <v>203.04</v>
      </c>
      <c r="M14">
        <v>203.04</v>
      </c>
      <c r="Q14">
        <v>202512</v>
      </c>
    </row>
    <row r="15" spans="1:17" x14ac:dyDescent="0.2">
      <c r="A15" t="s">
        <v>51</v>
      </c>
      <c r="B15" s="59">
        <v>46043.49863425926</v>
      </c>
      <c r="C15" t="s">
        <v>98</v>
      </c>
      <c r="D15" t="s">
        <v>97</v>
      </c>
      <c r="E15" t="s">
        <v>97</v>
      </c>
      <c r="F15" t="s">
        <v>41</v>
      </c>
      <c r="G15" t="s">
        <v>168</v>
      </c>
      <c r="H15" t="s">
        <v>52</v>
      </c>
      <c r="I15" t="s">
        <v>42</v>
      </c>
      <c r="J15" t="s">
        <v>43</v>
      </c>
      <c r="K15" t="s">
        <v>44</v>
      </c>
      <c r="L15">
        <v>34.22</v>
      </c>
      <c r="M15">
        <v>34.22</v>
      </c>
      <c r="Q15">
        <v>202512</v>
      </c>
    </row>
    <row r="16" spans="1:17" x14ac:dyDescent="0.2">
      <c r="A16" t="s">
        <v>51</v>
      </c>
      <c r="B16" s="59">
        <v>46043.49863425926</v>
      </c>
      <c r="C16" t="s">
        <v>98</v>
      </c>
      <c r="D16" t="s">
        <v>97</v>
      </c>
      <c r="E16" t="s">
        <v>97</v>
      </c>
      <c r="F16" t="s">
        <v>41</v>
      </c>
      <c r="G16" t="s">
        <v>169</v>
      </c>
      <c r="H16" t="s">
        <v>52</v>
      </c>
      <c r="I16" t="s">
        <v>42</v>
      </c>
      <c r="J16" t="s">
        <v>43</v>
      </c>
      <c r="K16" t="s">
        <v>44</v>
      </c>
      <c r="L16">
        <v>168.26</v>
      </c>
      <c r="M16">
        <v>168.26</v>
      </c>
      <c r="Q16">
        <v>202512</v>
      </c>
    </row>
    <row r="17" spans="1:17" x14ac:dyDescent="0.2">
      <c r="A17" t="s">
        <v>51</v>
      </c>
      <c r="B17" s="59">
        <v>46043.49863425926</v>
      </c>
      <c r="C17" t="s">
        <v>98</v>
      </c>
      <c r="D17" t="s">
        <v>97</v>
      </c>
      <c r="E17" t="s">
        <v>97</v>
      </c>
      <c r="F17" t="s">
        <v>41</v>
      </c>
      <c r="G17" t="s">
        <v>170</v>
      </c>
      <c r="H17" t="s">
        <v>52</v>
      </c>
      <c r="I17" t="s">
        <v>42</v>
      </c>
      <c r="J17" t="s">
        <v>43</v>
      </c>
      <c r="K17" t="s">
        <v>44</v>
      </c>
      <c r="L17">
        <v>168.26</v>
      </c>
      <c r="M17">
        <v>168.26</v>
      </c>
      <c r="Q17">
        <v>202512</v>
      </c>
    </row>
    <row r="18" spans="1:17" x14ac:dyDescent="0.2">
      <c r="A18" t="s">
        <v>51</v>
      </c>
      <c r="B18" s="59">
        <v>46043.49863425926</v>
      </c>
      <c r="C18" t="s">
        <v>98</v>
      </c>
      <c r="D18" t="s">
        <v>97</v>
      </c>
      <c r="E18" t="s">
        <v>97</v>
      </c>
      <c r="F18" t="s">
        <v>41</v>
      </c>
      <c r="G18" t="s">
        <v>171</v>
      </c>
      <c r="H18" t="s">
        <v>52</v>
      </c>
      <c r="I18" t="s">
        <v>42</v>
      </c>
      <c r="J18" t="s">
        <v>43</v>
      </c>
      <c r="K18" t="s">
        <v>44</v>
      </c>
      <c r="L18">
        <v>203.04</v>
      </c>
      <c r="M18">
        <v>203.04</v>
      </c>
      <c r="Q18">
        <v>202512</v>
      </c>
    </row>
    <row r="19" spans="1:17" x14ac:dyDescent="0.2">
      <c r="A19" t="s">
        <v>51</v>
      </c>
      <c r="B19" s="59">
        <v>46043.49863425926</v>
      </c>
      <c r="C19" t="s">
        <v>98</v>
      </c>
      <c r="D19" t="s">
        <v>97</v>
      </c>
      <c r="E19" t="s">
        <v>97</v>
      </c>
      <c r="F19" t="s">
        <v>41</v>
      </c>
      <c r="G19" t="s">
        <v>172</v>
      </c>
      <c r="H19" t="s">
        <v>52</v>
      </c>
      <c r="I19" t="s">
        <v>42</v>
      </c>
      <c r="J19" t="s">
        <v>43</v>
      </c>
      <c r="K19" t="s">
        <v>44</v>
      </c>
      <c r="L19">
        <v>203.04</v>
      </c>
      <c r="M19">
        <v>203.04</v>
      </c>
      <c r="Q19">
        <v>202512</v>
      </c>
    </row>
    <row r="20" spans="1:17" x14ac:dyDescent="0.2">
      <c r="A20" t="s">
        <v>51</v>
      </c>
      <c r="B20" s="59">
        <v>46043.49863425926</v>
      </c>
      <c r="C20" t="s">
        <v>98</v>
      </c>
      <c r="D20" t="s">
        <v>97</v>
      </c>
      <c r="E20" t="s">
        <v>97</v>
      </c>
      <c r="F20" t="s">
        <v>41</v>
      </c>
      <c r="G20" t="s">
        <v>173</v>
      </c>
      <c r="H20" t="s">
        <v>52</v>
      </c>
      <c r="I20" t="s">
        <v>42</v>
      </c>
      <c r="J20" t="s">
        <v>43</v>
      </c>
      <c r="K20" t="s">
        <v>44</v>
      </c>
      <c r="L20">
        <v>148.99</v>
      </c>
      <c r="M20">
        <v>148.99</v>
      </c>
      <c r="Q20">
        <v>202512</v>
      </c>
    </row>
    <row r="21" spans="1:17" x14ac:dyDescent="0.2">
      <c r="A21" t="s">
        <v>51</v>
      </c>
      <c r="B21" s="59">
        <v>46043.49863425926</v>
      </c>
      <c r="C21" t="s">
        <v>98</v>
      </c>
      <c r="D21" t="s">
        <v>97</v>
      </c>
      <c r="E21" t="s">
        <v>97</v>
      </c>
      <c r="F21" t="s">
        <v>41</v>
      </c>
      <c r="G21" t="s">
        <v>174</v>
      </c>
      <c r="H21" t="s">
        <v>52</v>
      </c>
      <c r="I21" t="s">
        <v>42</v>
      </c>
      <c r="J21" t="s">
        <v>43</v>
      </c>
      <c r="K21" t="s">
        <v>44</v>
      </c>
      <c r="L21">
        <v>235.47</v>
      </c>
      <c r="M21">
        <v>235.47</v>
      </c>
      <c r="Q21">
        <v>202512</v>
      </c>
    </row>
    <row r="22" spans="1:17" x14ac:dyDescent="0.2">
      <c r="A22" t="s">
        <v>51</v>
      </c>
      <c r="B22" s="59">
        <v>46043.49863425926</v>
      </c>
      <c r="C22" t="s">
        <v>98</v>
      </c>
      <c r="D22" t="s">
        <v>97</v>
      </c>
      <c r="E22" t="s">
        <v>97</v>
      </c>
      <c r="F22" t="s">
        <v>41</v>
      </c>
      <c r="G22" t="s">
        <v>175</v>
      </c>
      <c r="H22" t="s">
        <v>52</v>
      </c>
      <c r="I22" t="s">
        <v>42</v>
      </c>
      <c r="J22" t="s">
        <v>43</v>
      </c>
      <c r="K22" t="s">
        <v>44</v>
      </c>
      <c r="L22">
        <v>142.41</v>
      </c>
      <c r="M22">
        <v>142.41</v>
      </c>
      <c r="Q22">
        <v>202512</v>
      </c>
    </row>
    <row r="23" spans="1:17" x14ac:dyDescent="0.2">
      <c r="A23" t="s">
        <v>51</v>
      </c>
      <c r="B23" s="59">
        <v>46043.49863425926</v>
      </c>
      <c r="C23" t="s">
        <v>98</v>
      </c>
      <c r="D23" t="s">
        <v>97</v>
      </c>
      <c r="E23" t="s">
        <v>97</v>
      </c>
      <c r="F23" t="s">
        <v>41</v>
      </c>
      <c r="G23" t="s">
        <v>176</v>
      </c>
      <c r="H23" t="s">
        <v>52</v>
      </c>
      <c r="I23" t="s">
        <v>42</v>
      </c>
      <c r="J23" t="s">
        <v>43</v>
      </c>
      <c r="K23" t="s">
        <v>44</v>
      </c>
      <c r="L23">
        <v>122.79</v>
      </c>
      <c r="M23">
        <v>122.79</v>
      </c>
      <c r="Q23">
        <v>202512</v>
      </c>
    </row>
    <row r="24" spans="1:17" x14ac:dyDescent="0.2">
      <c r="A24" t="s">
        <v>51</v>
      </c>
      <c r="B24" s="59">
        <v>46043.49863425926</v>
      </c>
      <c r="C24" t="s">
        <v>98</v>
      </c>
      <c r="D24" t="s">
        <v>97</v>
      </c>
      <c r="E24" t="s">
        <v>97</v>
      </c>
      <c r="F24" t="s">
        <v>41</v>
      </c>
      <c r="G24" t="s">
        <v>114</v>
      </c>
      <c r="H24" t="s">
        <v>52</v>
      </c>
      <c r="I24" t="s">
        <v>42</v>
      </c>
      <c r="J24" t="s">
        <v>43</v>
      </c>
      <c r="K24" t="s">
        <v>44</v>
      </c>
      <c r="L24">
        <v>168.26</v>
      </c>
      <c r="M24">
        <v>168.26</v>
      </c>
      <c r="Q24">
        <v>202512</v>
      </c>
    </row>
    <row r="25" spans="1:17" x14ac:dyDescent="0.2">
      <c r="A25" t="s">
        <v>51</v>
      </c>
      <c r="B25" s="59">
        <v>46043.49863425926</v>
      </c>
      <c r="C25" t="s">
        <v>98</v>
      </c>
      <c r="D25" t="s">
        <v>97</v>
      </c>
      <c r="E25" t="s">
        <v>97</v>
      </c>
      <c r="F25" t="s">
        <v>41</v>
      </c>
      <c r="G25" t="s">
        <v>112</v>
      </c>
      <c r="H25" t="s">
        <v>52</v>
      </c>
      <c r="I25" t="s">
        <v>42</v>
      </c>
      <c r="J25" t="s">
        <v>43</v>
      </c>
      <c r="K25" t="s">
        <v>44</v>
      </c>
      <c r="L25">
        <v>122.79</v>
      </c>
      <c r="M25">
        <v>122.79</v>
      </c>
      <c r="Q25">
        <v>202512</v>
      </c>
    </row>
    <row r="26" spans="1:17" x14ac:dyDescent="0.2">
      <c r="A26" t="s">
        <v>51</v>
      </c>
      <c r="B26" s="59">
        <v>46043.49863425926</v>
      </c>
      <c r="C26" t="s">
        <v>98</v>
      </c>
      <c r="D26" t="s">
        <v>97</v>
      </c>
      <c r="E26" t="s">
        <v>97</v>
      </c>
      <c r="F26" t="s">
        <v>41</v>
      </c>
      <c r="G26" t="s">
        <v>110</v>
      </c>
      <c r="H26" t="s">
        <v>52</v>
      </c>
      <c r="I26" t="s">
        <v>42</v>
      </c>
      <c r="J26" t="s">
        <v>43</v>
      </c>
      <c r="K26" t="s">
        <v>44</v>
      </c>
      <c r="L26">
        <v>105.28</v>
      </c>
      <c r="M26">
        <v>105.28</v>
      </c>
      <c r="Q26">
        <v>202512</v>
      </c>
    </row>
    <row r="27" spans="1:17" x14ac:dyDescent="0.2">
      <c r="A27" t="s">
        <v>51</v>
      </c>
      <c r="B27" s="59">
        <v>46043.49863425926</v>
      </c>
      <c r="C27" t="s">
        <v>98</v>
      </c>
      <c r="D27" t="s">
        <v>97</v>
      </c>
      <c r="E27" t="s">
        <v>97</v>
      </c>
      <c r="F27" t="s">
        <v>41</v>
      </c>
      <c r="G27" t="s">
        <v>105</v>
      </c>
      <c r="H27" t="s">
        <v>52</v>
      </c>
      <c r="I27" t="s">
        <v>42</v>
      </c>
      <c r="J27" t="s">
        <v>43</v>
      </c>
      <c r="K27" t="s">
        <v>44</v>
      </c>
      <c r="L27">
        <v>34.22</v>
      </c>
      <c r="M27">
        <v>34.22</v>
      </c>
      <c r="Q27">
        <v>202512</v>
      </c>
    </row>
    <row r="28" spans="1:17" x14ac:dyDescent="0.2">
      <c r="A28" t="s">
        <v>51</v>
      </c>
      <c r="B28" s="59">
        <v>46043.49863425926</v>
      </c>
      <c r="C28" t="s">
        <v>98</v>
      </c>
      <c r="D28" t="s">
        <v>97</v>
      </c>
      <c r="E28" t="s">
        <v>97</v>
      </c>
      <c r="F28" t="s">
        <v>41</v>
      </c>
      <c r="G28" t="s">
        <v>116</v>
      </c>
      <c r="H28" t="s">
        <v>52</v>
      </c>
      <c r="I28" t="s">
        <v>42</v>
      </c>
      <c r="J28" t="s">
        <v>43</v>
      </c>
      <c r="K28" t="s">
        <v>44</v>
      </c>
      <c r="L28">
        <v>203.04</v>
      </c>
      <c r="M28">
        <v>203.04</v>
      </c>
      <c r="Q28">
        <v>202512</v>
      </c>
    </row>
    <row r="29" spans="1:17" x14ac:dyDescent="0.2">
      <c r="A29" t="s">
        <v>51</v>
      </c>
      <c r="B29" s="59">
        <v>46043.49863425926</v>
      </c>
      <c r="C29" t="s">
        <v>98</v>
      </c>
      <c r="D29" t="s">
        <v>97</v>
      </c>
      <c r="E29" t="s">
        <v>97</v>
      </c>
      <c r="F29" t="s">
        <v>41</v>
      </c>
      <c r="G29" t="s">
        <v>121</v>
      </c>
      <c r="H29" t="s">
        <v>52</v>
      </c>
      <c r="I29" t="s">
        <v>42</v>
      </c>
      <c r="J29" t="s">
        <v>43</v>
      </c>
      <c r="K29" t="s">
        <v>44</v>
      </c>
      <c r="L29">
        <v>12.69</v>
      </c>
      <c r="M29">
        <v>12.69</v>
      </c>
      <c r="Q29">
        <v>202512</v>
      </c>
    </row>
    <row r="30" spans="1:17" x14ac:dyDescent="0.2">
      <c r="A30" t="s">
        <v>51</v>
      </c>
      <c r="B30" s="59">
        <v>46043.49863425926</v>
      </c>
      <c r="C30" t="s">
        <v>98</v>
      </c>
      <c r="D30" t="s">
        <v>97</v>
      </c>
      <c r="E30" t="s">
        <v>97</v>
      </c>
      <c r="F30" t="s">
        <v>41</v>
      </c>
      <c r="G30" t="s">
        <v>177</v>
      </c>
      <c r="H30" t="s">
        <v>52</v>
      </c>
      <c r="I30" t="s">
        <v>42</v>
      </c>
      <c r="J30" t="s">
        <v>43</v>
      </c>
      <c r="K30" t="s">
        <v>44</v>
      </c>
      <c r="L30">
        <v>246.75</v>
      </c>
      <c r="M30">
        <v>246.75</v>
      </c>
      <c r="Q30">
        <v>202512</v>
      </c>
    </row>
    <row r="31" spans="1:17" x14ac:dyDescent="0.2">
      <c r="A31" t="s">
        <v>51</v>
      </c>
      <c r="B31" s="59">
        <v>46043.49863425926</v>
      </c>
      <c r="C31" t="s">
        <v>98</v>
      </c>
      <c r="D31" t="s">
        <v>97</v>
      </c>
      <c r="E31" t="s">
        <v>97</v>
      </c>
      <c r="F31" t="s">
        <v>41</v>
      </c>
      <c r="G31" t="s">
        <v>178</v>
      </c>
      <c r="H31" t="s">
        <v>52</v>
      </c>
      <c r="I31" t="s">
        <v>42</v>
      </c>
      <c r="J31" t="s">
        <v>43</v>
      </c>
      <c r="K31" t="s">
        <v>44</v>
      </c>
      <c r="L31">
        <v>532.27</v>
      </c>
      <c r="M31">
        <v>532.27</v>
      </c>
      <c r="Q31">
        <v>202512</v>
      </c>
    </row>
    <row r="32" spans="1:17" x14ac:dyDescent="0.2">
      <c r="A32" t="s">
        <v>51</v>
      </c>
      <c r="B32" s="59">
        <v>46043.49863425926</v>
      </c>
      <c r="C32" t="s">
        <v>98</v>
      </c>
      <c r="D32" t="s">
        <v>97</v>
      </c>
      <c r="E32" t="s">
        <v>97</v>
      </c>
      <c r="F32" t="s">
        <v>41</v>
      </c>
      <c r="G32" t="s">
        <v>134</v>
      </c>
      <c r="H32" t="s">
        <v>52</v>
      </c>
      <c r="I32" t="s">
        <v>42</v>
      </c>
      <c r="J32" t="s">
        <v>43</v>
      </c>
      <c r="K32" t="s">
        <v>44</v>
      </c>
      <c r="L32">
        <v>85.28</v>
      </c>
      <c r="M32">
        <v>85.28</v>
      </c>
      <c r="Q32">
        <v>202512</v>
      </c>
    </row>
    <row r="33" spans="1:17" x14ac:dyDescent="0.2">
      <c r="A33" t="s">
        <v>51</v>
      </c>
      <c r="B33" s="59">
        <v>46043.49863425926</v>
      </c>
      <c r="C33" t="s">
        <v>98</v>
      </c>
      <c r="D33" t="s">
        <v>97</v>
      </c>
      <c r="E33" t="s">
        <v>97</v>
      </c>
      <c r="F33" t="s">
        <v>41</v>
      </c>
      <c r="G33" t="s">
        <v>132</v>
      </c>
      <c r="H33" t="s">
        <v>52</v>
      </c>
      <c r="I33" t="s">
        <v>42</v>
      </c>
      <c r="J33" t="s">
        <v>43</v>
      </c>
      <c r="K33" t="s">
        <v>44</v>
      </c>
      <c r="L33">
        <v>105.28</v>
      </c>
      <c r="M33">
        <v>105.28</v>
      </c>
      <c r="Q33">
        <v>202512</v>
      </c>
    </row>
    <row r="34" spans="1:17" x14ac:dyDescent="0.2">
      <c r="A34" t="s">
        <v>51</v>
      </c>
      <c r="B34" s="59">
        <v>46043.49863425926</v>
      </c>
      <c r="C34" t="s">
        <v>98</v>
      </c>
      <c r="D34" t="s">
        <v>97</v>
      </c>
      <c r="E34" t="s">
        <v>97</v>
      </c>
      <c r="F34" t="s">
        <v>41</v>
      </c>
      <c r="G34" t="s">
        <v>128</v>
      </c>
      <c r="H34" t="s">
        <v>52</v>
      </c>
      <c r="I34" t="s">
        <v>42</v>
      </c>
      <c r="J34" t="s">
        <v>43</v>
      </c>
      <c r="K34" t="s">
        <v>44</v>
      </c>
      <c r="L34">
        <v>105.28</v>
      </c>
      <c r="M34">
        <v>105.28</v>
      </c>
      <c r="Q34">
        <v>202512</v>
      </c>
    </row>
    <row r="35" spans="1:17" x14ac:dyDescent="0.2">
      <c r="A35" t="s">
        <v>51</v>
      </c>
      <c r="B35" s="59">
        <v>46043.49863425926</v>
      </c>
      <c r="C35" t="s">
        <v>98</v>
      </c>
      <c r="D35" t="s">
        <v>97</v>
      </c>
      <c r="E35" t="s">
        <v>97</v>
      </c>
      <c r="F35" t="s">
        <v>41</v>
      </c>
      <c r="G35" t="s">
        <v>138</v>
      </c>
      <c r="H35" t="s">
        <v>52</v>
      </c>
      <c r="I35" t="s">
        <v>42</v>
      </c>
      <c r="J35" t="s">
        <v>43</v>
      </c>
      <c r="K35" t="s">
        <v>44</v>
      </c>
      <c r="L35">
        <v>122.79</v>
      </c>
      <c r="M35">
        <v>122.79</v>
      </c>
      <c r="Q35">
        <v>202512</v>
      </c>
    </row>
    <row r="36" spans="1:17" x14ac:dyDescent="0.2">
      <c r="A36" t="s">
        <v>51</v>
      </c>
      <c r="B36" s="59">
        <v>46043.49863425926</v>
      </c>
      <c r="C36" t="s">
        <v>98</v>
      </c>
      <c r="D36" t="s">
        <v>97</v>
      </c>
      <c r="E36" t="s">
        <v>97</v>
      </c>
      <c r="F36" t="s">
        <v>41</v>
      </c>
      <c r="G36" t="s">
        <v>159</v>
      </c>
      <c r="H36" t="s">
        <v>52</v>
      </c>
      <c r="I36" t="s">
        <v>42</v>
      </c>
      <c r="J36" t="s">
        <v>43</v>
      </c>
      <c r="K36" t="s">
        <v>44</v>
      </c>
      <c r="L36">
        <v>293.27999999999997</v>
      </c>
      <c r="M36">
        <v>293.27999999999997</v>
      </c>
      <c r="Q36">
        <v>202512</v>
      </c>
    </row>
    <row r="37" spans="1:17" x14ac:dyDescent="0.2">
      <c r="A37" t="s">
        <v>51</v>
      </c>
      <c r="B37" s="59">
        <v>46043.49863425926</v>
      </c>
      <c r="C37" t="s">
        <v>98</v>
      </c>
      <c r="D37" t="s">
        <v>97</v>
      </c>
      <c r="E37" t="s">
        <v>97</v>
      </c>
      <c r="F37" t="s">
        <v>41</v>
      </c>
      <c r="G37" t="s">
        <v>145</v>
      </c>
      <c r="H37" t="s">
        <v>52</v>
      </c>
      <c r="I37" t="s">
        <v>42</v>
      </c>
      <c r="J37" t="s">
        <v>43</v>
      </c>
      <c r="K37" t="s">
        <v>44</v>
      </c>
      <c r="L37">
        <v>148.99</v>
      </c>
      <c r="M37">
        <v>148.99</v>
      </c>
      <c r="Q37">
        <v>202512</v>
      </c>
    </row>
    <row r="38" spans="1:17" x14ac:dyDescent="0.2">
      <c r="A38" t="s">
        <v>51</v>
      </c>
      <c r="B38" s="59">
        <v>46043.49863425926</v>
      </c>
      <c r="C38" t="s">
        <v>98</v>
      </c>
      <c r="D38" t="s">
        <v>97</v>
      </c>
      <c r="E38" t="s">
        <v>97</v>
      </c>
      <c r="F38" t="s">
        <v>41</v>
      </c>
      <c r="G38" t="s">
        <v>157</v>
      </c>
      <c r="H38" t="s">
        <v>52</v>
      </c>
      <c r="I38" t="s">
        <v>42</v>
      </c>
      <c r="J38" t="s">
        <v>43</v>
      </c>
      <c r="K38" t="s">
        <v>44</v>
      </c>
      <c r="L38">
        <v>148.99</v>
      </c>
      <c r="M38">
        <v>148.99</v>
      </c>
      <c r="Q38">
        <v>202512</v>
      </c>
    </row>
    <row r="39" spans="1:17" x14ac:dyDescent="0.2">
      <c r="A39" t="s">
        <v>51</v>
      </c>
      <c r="B39" s="59">
        <v>46043.49863425926</v>
      </c>
      <c r="C39" t="s">
        <v>98</v>
      </c>
      <c r="D39" t="s">
        <v>97</v>
      </c>
      <c r="E39" t="s">
        <v>107</v>
      </c>
      <c r="F39" t="s">
        <v>41</v>
      </c>
      <c r="G39" t="s">
        <v>179</v>
      </c>
      <c r="H39" t="s">
        <v>52</v>
      </c>
      <c r="I39" t="s">
        <v>42</v>
      </c>
      <c r="J39" t="s">
        <v>43</v>
      </c>
      <c r="K39" t="s">
        <v>44</v>
      </c>
      <c r="L39">
        <v>203.04</v>
      </c>
      <c r="M39">
        <v>203.04</v>
      </c>
      <c r="Q39">
        <v>202512</v>
      </c>
    </row>
    <row r="40" spans="1:17" x14ac:dyDescent="0.2">
      <c r="A40" t="s">
        <v>51</v>
      </c>
      <c r="B40" s="59">
        <v>46043.49863425926</v>
      </c>
      <c r="C40" t="s">
        <v>98</v>
      </c>
      <c r="D40" t="s">
        <v>97</v>
      </c>
      <c r="E40" t="s">
        <v>107</v>
      </c>
      <c r="F40" t="s">
        <v>41</v>
      </c>
      <c r="G40" t="s">
        <v>180</v>
      </c>
      <c r="H40" t="s">
        <v>52</v>
      </c>
      <c r="I40" t="s">
        <v>42</v>
      </c>
      <c r="J40" t="s">
        <v>43</v>
      </c>
      <c r="K40" t="s">
        <v>44</v>
      </c>
      <c r="L40">
        <v>235.47</v>
      </c>
      <c r="M40">
        <v>235.47</v>
      </c>
      <c r="Q40">
        <v>202512</v>
      </c>
    </row>
    <row r="41" spans="1:17" x14ac:dyDescent="0.2">
      <c r="A41" t="s">
        <v>51</v>
      </c>
      <c r="B41" s="59">
        <v>46043.49863425926</v>
      </c>
      <c r="C41" t="s">
        <v>98</v>
      </c>
      <c r="D41" t="s">
        <v>97</v>
      </c>
      <c r="E41" t="s">
        <v>107</v>
      </c>
      <c r="F41" t="s">
        <v>41</v>
      </c>
      <c r="G41" t="s">
        <v>181</v>
      </c>
      <c r="H41" t="s">
        <v>52</v>
      </c>
      <c r="I41" t="s">
        <v>42</v>
      </c>
      <c r="J41" t="s">
        <v>43</v>
      </c>
      <c r="K41" t="s">
        <v>44</v>
      </c>
      <c r="L41">
        <v>295.58</v>
      </c>
      <c r="M41">
        <v>295.58</v>
      </c>
      <c r="Q41">
        <v>202512</v>
      </c>
    </row>
    <row r="42" spans="1:17" x14ac:dyDescent="0.2">
      <c r="A42" t="s">
        <v>51</v>
      </c>
      <c r="B42" s="59">
        <v>46043.49863425926</v>
      </c>
      <c r="C42" t="s">
        <v>98</v>
      </c>
      <c r="D42" t="s">
        <v>97</v>
      </c>
      <c r="E42" t="s">
        <v>107</v>
      </c>
      <c r="F42" t="s">
        <v>41</v>
      </c>
      <c r="G42" t="s">
        <v>108</v>
      </c>
      <c r="H42" t="s">
        <v>52</v>
      </c>
      <c r="I42" t="s">
        <v>42</v>
      </c>
      <c r="J42" t="s">
        <v>43</v>
      </c>
      <c r="K42" t="s">
        <v>44</v>
      </c>
      <c r="L42">
        <v>40.53</v>
      </c>
      <c r="M42">
        <v>40.53</v>
      </c>
      <c r="Q42">
        <v>202512</v>
      </c>
    </row>
    <row r="43" spans="1:17" x14ac:dyDescent="0.2">
      <c r="A43" t="s">
        <v>51</v>
      </c>
      <c r="B43" s="59">
        <v>46043.49863425926</v>
      </c>
      <c r="C43" t="s">
        <v>98</v>
      </c>
      <c r="D43" t="s">
        <v>97</v>
      </c>
      <c r="E43" t="s">
        <v>107</v>
      </c>
      <c r="F43" t="s">
        <v>41</v>
      </c>
      <c r="G43" t="s">
        <v>149</v>
      </c>
      <c r="H43" t="s">
        <v>52</v>
      </c>
      <c r="I43" t="s">
        <v>42</v>
      </c>
      <c r="J43" t="s">
        <v>43</v>
      </c>
      <c r="K43" t="s">
        <v>44</v>
      </c>
      <c r="L43">
        <v>198.45</v>
      </c>
      <c r="M43">
        <v>198.45</v>
      </c>
      <c r="Q43">
        <v>202512</v>
      </c>
    </row>
    <row r="44" spans="1:17" x14ac:dyDescent="0.2">
      <c r="A44" t="s">
        <v>51</v>
      </c>
      <c r="B44" s="59">
        <v>46043.49863425926</v>
      </c>
      <c r="C44" t="s">
        <v>98</v>
      </c>
      <c r="D44" t="s">
        <v>97</v>
      </c>
      <c r="E44" t="s">
        <v>154</v>
      </c>
      <c r="F44" t="s">
        <v>41</v>
      </c>
      <c r="G44" t="s">
        <v>155</v>
      </c>
      <c r="H44" t="s">
        <v>52</v>
      </c>
      <c r="I44" t="s">
        <v>42</v>
      </c>
      <c r="J44" t="s">
        <v>43</v>
      </c>
      <c r="K44" t="s">
        <v>44</v>
      </c>
      <c r="L44">
        <v>195.21</v>
      </c>
      <c r="M44">
        <v>195.21</v>
      </c>
      <c r="Q44">
        <v>202512</v>
      </c>
    </row>
    <row r="45" spans="1:17" x14ac:dyDescent="0.2">
      <c r="A45" t="s">
        <v>51</v>
      </c>
      <c r="B45" s="59">
        <v>46043.49863425926</v>
      </c>
      <c r="C45" t="s">
        <v>98</v>
      </c>
      <c r="D45" t="s">
        <v>97</v>
      </c>
      <c r="E45" t="s">
        <v>182</v>
      </c>
      <c r="F45" t="s">
        <v>41</v>
      </c>
      <c r="G45" t="s">
        <v>183</v>
      </c>
      <c r="H45" t="s">
        <v>52</v>
      </c>
      <c r="I45" t="s">
        <v>42</v>
      </c>
      <c r="J45" t="s">
        <v>43</v>
      </c>
      <c r="K45" t="s">
        <v>44</v>
      </c>
      <c r="L45">
        <v>6.84</v>
      </c>
      <c r="M45">
        <v>6.84</v>
      </c>
      <c r="Q45">
        <v>202512</v>
      </c>
    </row>
    <row r="46" spans="1:17" x14ac:dyDescent="0.2">
      <c r="A46" t="s">
        <v>51</v>
      </c>
      <c r="B46" s="59">
        <v>46043.49863425926</v>
      </c>
      <c r="C46" t="s">
        <v>98</v>
      </c>
      <c r="D46" t="s">
        <v>97</v>
      </c>
      <c r="E46" t="s">
        <v>182</v>
      </c>
      <c r="F46" t="s">
        <v>41</v>
      </c>
      <c r="G46" t="s">
        <v>184</v>
      </c>
      <c r="H46" t="s">
        <v>52</v>
      </c>
      <c r="I46" t="s">
        <v>42</v>
      </c>
      <c r="J46" t="s">
        <v>43</v>
      </c>
      <c r="K46" t="s">
        <v>44</v>
      </c>
      <c r="L46">
        <v>203.04</v>
      </c>
      <c r="M46">
        <v>203.04</v>
      </c>
      <c r="Q46">
        <v>202512</v>
      </c>
    </row>
    <row r="47" spans="1:17" x14ac:dyDescent="0.2">
      <c r="A47" t="s">
        <v>51</v>
      </c>
      <c r="B47" s="59">
        <v>46043.49863425926</v>
      </c>
      <c r="C47" t="s">
        <v>98</v>
      </c>
      <c r="D47" t="s">
        <v>97</v>
      </c>
      <c r="E47" t="s">
        <v>182</v>
      </c>
      <c r="F47" t="s">
        <v>41</v>
      </c>
      <c r="G47" t="s">
        <v>185</v>
      </c>
      <c r="H47" t="s">
        <v>52</v>
      </c>
      <c r="I47" t="s">
        <v>42</v>
      </c>
      <c r="J47" t="s">
        <v>43</v>
      </c>
      <c r="K47" t="s">
        <v>44</v>
      </c>
      <c r="L47">
        <v>203.04</v>
      </c>
      <c r="M47">
        <v>203.04</v>
      </c>
      <c r="Q47">
        <v>202512</v>
      </c>
    </row>
    <row r="48" spans="1:17" x14ac:dyDescent="0.2">
      <c r="A48" t="s">
        <v>51</v>
      </c>
      <c r="B48" s="59">
        <v>46043.49863425926</v>
      </c>
      <c r="C48" t="s">
        <v>98</v>
      </c>
      <c r="D48" t="s">
        <v>97</v>
      </c>
      <c r="E48" t="s">
        <v>186</v>
      </c>
      <c r="F48" t="s">
        <v>41</v>
      </c>
      <c r="G48" t="s">
        <v>187</v>
      </c>
      <c r="H48" t="s">
        <v>52</v>
      </c>
      <c r="I48" t="s">
        <v>42</v>
      </c>
      <c r="J48" t="s">
        <v>43</v>
      </c>
      <c r="K48" t="s">
        <v>44</v>
      </c>
      <c r="L48">
        <v>15.27</v>
      </c>
      <c r="M48">
        <v>15.27</v>
      </c>
      <c r="Q48">
        <v>202512</v>
      </c>
    </row>
    <row r="49" spans="1:17" x14ac:dyDescent="0.2">
      <c r="A49" t="s">
        <v>51</v>
      </c>
      <c r="B49" s="59">
        <v>46043.49863425926</v>
      </c>
      <c r="C49" t="s">
        <v>98</v>
      </c>
      <c r="D49" t="s">
        <v>97</v>
      </c>
      <c r="E49" t="s">
        <v>186</v>
      </c>
      <c r="F49" t="s">
        <v>41</v>
      </c>
      <c r="G49" t="s">
        <v>188</v>
      </c>
      <c r="H49" t="s">
        <v>52</v>
      </c>
      <c r="I49" t="s">
        <v>42</v>
      </c>
      <c r="J49" t="s">
        <v>43</v>
      </c>
      <c r="K49" t="s">
        <v>44</v>
      </c>
      <c r="L49">
        <v>20.68</v>
      </c>
      <c r="M49">
        <v>20.68</v>
      </c>
      <c r="Q49">
        <v>202512</v>
      </c>
    </row>
    <row r="50" spans="1:17" x14ac:dyDescent="0.2">
      <c r="A50" t="s">
        <v>51</v>
      </c>
      <c r="B50" s="59">
        <v>46043.49863425926</v>
      </c>
      <c r="C50" t="s">
        <v>98</v>
      </c>
      <c r="D50" t="s">
        <v>97</v>
      </c>
      <c r="E50" t="s">
        <v>186</v>
      </c>
      <c r="F50" t="s">
        <v>41</v>
      </c>
      <c r="G50" t="s">
        <v>189</v>
      </c>
      <c r="H50" t="s">
        <v>52</v>
      </c>
      <c r="I50" t="s">
        <v>42</v>
      </c>
      <c r="J50" t="s">
        <v>43</v>
      </c>
      <c r="K50" t="s">
        <v>44</v>
      </c>
      <c r="L50">
        <v>223.78</v>
      </c>
      <c r="M50">
        <v>223.78</v>
      </c>
      <c r="Q50">
        <v>202512</v>
      </c>
    </row>
    <row r="51" spans="1:17" x14ac:dyDescent="0.2">
      <c r="A51" t="s">
        <v>51</v>
      </c>
      <c r="B51" s="59">
        <v>46043.49863425926</v>
      </c>
      <c r="C51" t="s">
        <v>98</v>
      </c>
      <c r="D51" t="s">
        <v>97</v>
      </c>
      <c r="E51" t="s">
        <v>186</v>
      </c>
      <c r="F51" t="s">
        <v>41</v>
      </c>
      <c r="G51" t="s">
        <v>190</v>
      </c>
      <c r="H51" t="s">
        <v>52</v>
      </c>
      <c r="I51" t="s">
        <v>42</v>
      </c>
      <c r="J51" t="s">
        <v>43</v>
      </c>
      <c r="K51" t="s">
        <v>44</v>
      </c>
      <c r="L51">
        <v>170.98</v>
      </c>
      <c r="M51">
        <v>170.98</v>
      </c>
      <c r="Q51">
        <v>202512</v>
      </c>
    </row>
    <row r="52" spans="1:17" x14ac:dyDescent="0.2">
      <c r="A52" t="s">
        <v>51</v>
      </c>
      <c r="B52" s="59">
        <v>46043.49863425926</v>
      </c>
      <c r="C52" t="s">
        <v>98</v>
      </c>
      <c r="D52" t="s">
        <v>97</v>
      </c>
      <c r="E52" t="s">
        <v>142</v>
      </c>
      <c r="F52" t="s">
        <v>41</v>
      </c>
      <c r="G52" t="s">
        <v>191</v>
      </c>
      <c r="H52" t="s">
        <v>52</v>
      </c>
      <c r="I52" t="s">
        <v>42</v>
      </c>
      <c r="J52" t="s">
        <v>43</v>
      </c>
      <c r="K52" t="s">
        <v>44</v>
      </c>
      <c r="L52">
        <v>203.04</v>
      </c>
      <c r="M52">
        <v>203.04</v>
      </c>
      <c r="Q52">
        <v>202512</v>
      </c>
    </row>
    <row r="53" spans="1:17" x14ac:dyDescent="0.2">
      <c r="A53" t="s">
        <v>51</v>
      </c>
      <c r="B53" s="59">
        <v>46043.49863425926</v>
      </c>
      <c r="C53" t="s">
        <v>98</v>
      </c>
      <c r="D53" t="s">
        <v>97</v>
      </c>
      <c r="E53" t="s">
        <v>142</v>
      </c>
      <c r="F53" t="s">
        <v>41</v>
      </c>
      <c r="G53" t="s">
        <v>192</v>
      </c>
      <c r="H53" t="s">
        <v>52</v>
      </c>
      <c r="I53" t="s">
        <v>42</v>
      </c>
      <c r="J53" t="s">
        <v>43</v>
      </c>
      <c r="K53" t="s">
        <v>44</v>
      </c>
      <c r="L53">
        <v>267.89999999999998</v>
      </c>
      <c r="M53">
        <v>267.89999999999998</v>
      </c>
      <c r="Q53">
        <v>202512</v>
      </c>
    </row>
    <row r="54" spans="1:17" x14ac:dyDescent="0.2">
      <c r="A54" t="s">
        <v>51</v>
      </c>
      <c r="B54" s="59">
        <v>46043.49863425926</v>
      </c>
      <c r="C54" t="s">
        <v>98</v>
      </c>
      <c r="D54" t="s">
        <v>97</v>
      </c>
      <c r="E54" t="s">
        <v>142</v>
      </c>
      <c r="F54" t="s">
        <v>41</v>
      </c>
      <c r="G54" t="s">
        <v>143</v>
      </c>
      <c r="H54" t="s">
        <v>52</v>
      </c>
      <c r="I54" t="s">
        <v>42</v>
      </c>
      <c r="J54" t="s">
        <v>43</v>
      </c>
      <c r="K54" t="s">
        <v>44</v>
      </c>
      <c r="L54">
        <v>267.89999999999998</v>
      </c>
      <c r="M54">
        <v>267.89999999999998</v>
      </c>
      <c r="Q54">
        <v>202512</v>
      </c>
    </row>
    <row r="55" spans="1:17" x14ac:dyDescent="0.2">
      <c r="A55" t="s">
        <v>51</v>
      </c>
      <c r="B55" s="59">
        <v>46043.49863425926</v>
      </c>
      <c r="C55" t="s">
        <v>98</v>
      </c>
      <c r="D55" t="s">
        <v>97</v>
      </c>
      <c r="E55" t="s">
        <v>102</v>
      </c>
      <c r="F55" t="s">
        <v>41</v>
      </c>
      <c r="G55" t="s">
        <v>193</v>
      </c>
      <c r="H55" t="s">
        <v>52</v>
      </c>
      <c r="I55" t="s">
        <v>42</v>
      </c>
      <c r="J55" t="s">
        <v>43</v>
      </c>
      <c r="K55" t="s">
        <v>44</v>
      </c>
      <c r="L55">
        <v>106.69</v>
      </c>
      <c r="M55">
        <v>106.69</v>
      </c>
      <c r="Q55">
        <v>202512</v>
      </c>
    </row>
    <row r="56" spans="1:17" x14ac:dyDescent="0.2">
      <c r="A56" t="s">
        <v>51</v>
      </c>
      <c r="B56" s="59">
        <v>46043.49863425926</v>
      </c>
      <c r="C56" t="s">
        <v>98</v>
      </c>
      <c r="D56" t="s">
        <v>97</v>
      </c>
      <c r="E56" t="s">
        <v>102</v>
      </c>
      <c r="F56" t="s">
        <v>41</v>
      </c>
      <c r="G56" t="s">
        <v>194</v>
      </c>
      <c r="H56" t="s">
        <v>52</v>
      </c>
      <c r="I56" t="s">
        <v>42</v>
      </c>
      <c r="J56" t="s">
        <v>43</v>
      </c>
      <c r="K56" t="s">
        <v>44</v>
      </c>
      <c r="L56">
        <v>70.03</v>
      </c>
      <c r="M56">
        <v>70.03</v>
      </c>
      <c r="Q56">
        <v>202512</v>
      </c>
    </row>
    <row r="57" spans="1:17" x14ac:dyDescent="0.2">
      <c r="A57" t="s">
        <v>51</v>
      </c>
      <c r="B57" s="59">
        <v>46043.49863425926</v>
      </c>
      <c r="C57" t="s">
        <v>98</v>
      </c>
      <c r="D57" t="s">
        <v>97</v>
      </c>
      <c r="E57" t="s">
        <v>102</v>
      </c>
      <c r="F57" t="s">
        <v>41</v>
      </c>
      <c r="G57" t="s">
        <v>103</v>
      </c>
      <c r="H57" t="s">
        <v>52</v>
      </c>
      <c r="I57" t="s">
        <v>42</v>
      </c>
      <c r="J57" t="s">
        <v>43</v>
      </c>
      <c r="K57" t="s">
        <v>44</v>
      </c>
      <c r="L57">
        <v>4.74</v>
      </c>
      <c r="M57">
        <v>4.74</v>
      </c>
      <c r="Q57">
        <v>202512</v>
      </c>
    </row>
    <row r="58" spans="1:17" x14ac:dyDescent="0.2">
      <c r="A58" t="s">
        <v>51</v>
      </c>
      <c r="B58" s="59">
        <v>46043.49863425926</v>
      </c>
      <c r="C58" t="s">
        <v>98</v>
      </c>
      <c r="D58" t="s">
        <v>97</v>
      </c>
      <c r="E58" t="s">
        <v>151</v>
      </c>
      <c r="F58" t="s">
        <v>41</v>
      </c>
      <c r="G58" t="s">
        <v>152</v>
      </c>
      <c r="H58" t="s">
        <v>52</v>
      </c>
      <c r="I58" t="s">
        <v>42</v>
      </c>
      <c r="J58" t="s">
        <v>43</v>
      </c>
      <c r="K58" t="s">
        <v>44</v>
      </c>
      <c r="L58">
        <v>39.159999999999997</v>
      </c>
      <c r="M58">
        <v>39.159999999999997</v>
      </c>
      <c r="Q58">
        <v>202512</v>
      </c>
    </row>
    <row r="59" spans="1:17" x14ac:dyDescent="0.2">
      <c r="A59" t="s">
        <v>51</v>
      </c>
      <c r="B59" s="59">
        <v>46043.49863425926</v>
      </c>
      <c r="C59" t="s">
        <v>98</v>
      </c>
      <c r="D59" t="s">
        <v>97</v>
      </c>
      <c r="E59" t="s">
        <v>195</v>
      </c>
      <c r="F59" t="s">
        <v>41</v>
      </c>
      <c r="G59" t="s">
        <v>196</v>
      </c>
      <c r="H59" t="s">
        <v>52</v>
      </c>
      <c r="I59" t="s">
        <v>42</v>
      </c>
      <c r="J59" t="s">
        <v>43</v>
      </c>
      <c r="K59" t="s">
        <v>44</v>
      </c>
      <c r="L59">
        <v>318.92</v>
      </c>
      <c r="M59">
        <v>318.92</v>
      </c>
      <c r="Q59">
        <v>202512</v>
      </c>
    </row>
    <row r="60" spans="1:17" x14ac:dyDescent="0.2">
      <c r="A60" t="s">
        <v>51</v>
      </c>
      <c r="B60" s="59">
        <v>46043.49863425926</v>
      </c>
      <c r="C60" t="s">
        <v>98</v>
      </c>
      <c r="D60" t="s">
        <v>97</v>
      </c>
      <c r="E60" t="s">
        <v>197</v>
      </c>
      <c r="F60" t="s">
        <v>41</v>
      </c>
      <c r="G60" t="s">
        <v>198</v>
      </c>
      <c r="H60" t="s">
        <v>52</v>
      </c>
      <c r="I60" t="s">
        <v>45</v>
      </c>
      <c r="J60" t="s">
        <v>43</v>
      </c>
      <c r="K60" t="s">
        <v>44</v>
      </c>
      <c r="L60">
        <v>42.3</v>
      </c>
      <c r="M60">
        <v>-42.3</v>
      </c>
      <c r="P60" t="s">
        <v>466</v>
      </c>
      <c r="Q60">
        <v>202507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2CC0-94CB-4990-AAA0-AE03E1C66AC5}">
  <sheetPr codeName="Sheet1"/>
  <dimension ref="A1:J148"/>
  <sheetViews>
    <sheetView zoomScale="85" zoomScaleNormal="85" workbookViewId="0">
      <pane ySplit="1" topLeftCell="A2" activePane="bottomLeft" state="frozen"/>
      <selection pane="bottomLeft" activeCell="C1" sqref="C1:D1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53</v>
      </c>
      <c r="B1" s="28" t="s">
        <v>54</v>
      </c>
      <c r="C1" s="29" t="s">
        <v>55</v>
      </c>
      <c r="D1" s="29" t="s">
        <v>56</v>
      </c>
      <c r="E1" s="28" t="s">
        <v>57</v>
      </c>
      <c r="F1" s="28" t="s">
        <v>58</v>
      </c>
      <c r="G1" s="28" t="s">
        <v>59</v>
      </c>
      <c r="H1" s="28" t="s">
        <v>60</v>
      </c>
      <c r="I1" s="28" t="s">
        <v>61</v>
      </c>
      <c r="J1" s="28" t="s">
        <v>62</v>
      </c>
    </row>
    <row r="2" spans="1:10" x14ac:dyDescent="0.2">
      <c r="A2" t="s">
        <v>191</v>
      </c>
      <c r="B2" t="s">
        <v>142</v>
      </c>
      <c r="C2" t="s">
        <v>97</v>
      </c>
      <c r="D2" t="s">
        <v>98</v>
      </c>
      <c r="E2" t="s">
        <v>467</v>
      </c>
      <c r="F2" t="s">
        <v>468</v>
      </c>
      <c r="G2">
        <v>1</v>
      </c>
      <c r="H2" t="s">
        <v>44</v>
      </c>
      <c r="I2">
        <v>432</v>
      </c>
      <c r="J2">
        <v>432</v>
      </c>
    </row>
    <row r="3" spans="1:10" x14ac:dyDescent="0.2">
      <c r="A3" t="s">
        <v>183</v>
      </c>
      <c r="B3" t="s">
        <v>182</v>
      </c>
      <c r="C3" t="s">
        <v>97</v>
      </c>
      <c r="D3" t="s">
        <v>98</v>
      </c>
      <c r="E3" t="s">
        <v>469</v>
      </c>
      <c r="F3" t="s">
        <v>470</v>
      </c>
      <c r="G3">
        <v>1</v>
      </c>
      <c r="H3" t="s">
        <v>44</v>
      </c>
      <c r="I3">
        <v>14.56</v>
      </c>
      <c r="J3">
        <v>14.56</v>
      </c>
    </row>
    <row r="4" spans="1:10" x14ac:dyDescent="0.2">
      <c r="A4" t="s">
        <v>184</v>
      </c>
      <c r="B4" t="s">
        <v>182</v>
      </c>
      <c r="C4" t="s">
        <v>97</v>
      </c>
      <c r="D4" t="s">
        <v>98</v>
      </c>
      <c r="E4" t="s">
        <v>467</v>
      </c>
      <c r="F4" t="s">
        <v>468</v>
      </c>
      <c r="G4">
        <v>1</v>
      </c>
      <c r="H4" t="s">
        <v>44</v>
      </c>
      <c r="I4">
        <v>432</v>
      </c>
      <c r="J4">
        <v>432</v>
      </c>
    </row>
    <row r="5" spans="1:10" x14ac:dyDescent="0.2">
      <c r="A5" t="s">
        <v>193</v>
      </c>
      <c r="B5" t="s">
        <v>102</v>
      </c>
      <c r="C5" t="s">
        <v>97</v>
      </c>
      <c r="D5" t="s">
        <v>98</v>
      </c>
      <c r="E5" t="s">
        <v>471</v>
      </c>
      <c r="F5" t="s">
        <v>472</v>
      </c>
      <c r="G5">
        <v>1</v>
      </c>
      <c r="H5" t="s">
        <v>44</v>
      </c>
      <c r="I5">
        <v>147</v>
      </c>
      <c r="J5">
        <v>147</v>
      </c>
    </row>
    <row r="6" spans="1:10" x14ac:dyDescent="0.2">
      <c r="A6" t="s">
        <v>193</v>
      </c>
      <c r="B6" t="s">
        <v>102</v>
      </c>
      <c r="C6" t="s">
        <v>97</v>
      </c>
      <c r="D6" t="s">
        <v>98</v>
      </c>
      <c r="E6" t="s">
        <v>473</v>
      </c>
      <c r="F6" t="s">
        <v>474</v>
      </c>
      <c r="G6">
        <v>1</v>
      </c>
      <c r="H6" t="s">
        <v>44</v>
      </c>
      <c r="I6">
        <v>80</v>
      </c>
      <c r="J6">
        <v>80</v>
      </c>
    </row>
    <row r="7" spans="1:10" x14ac:dyDescent="0.2">
      <c r="A7" t="s">
        <v>163</v>
      </c>
      <c r="B7" t="s">
        <v>125</v>
      </c>
      <c r="C7" t="s">
        <v>97</v>
      </c>
      <c r="D7" t="s">
        <v>98</v>
      </c>
      <c r="E7" t="s">
        <v>475</v>
      </c>
      <c r="F7" t="s">
        <v>476</v>
      </c>
      <c r="G7">
        <v>1</v>
      </c>
      <c r="H7" t="s">
        <v>44</v>
      </c>
      <c r="I7">
        <v>149</v>
      </c>
      <c r="J7">
        <v>149</v>
      </c>
    </row>
    <row r="8" spans="1:10" x14ac:dyDescent="0.2">
      <c r="A8" t="s">
        <v>166</v>
      </c>
      <c r="B8" t="s">
        <v>97</v>
      </c>
      <c r="C8" t="s">
        <v>97</v>
      </c>
      <c r="D8" t="s">
        <v>98</v>
      </c>
      <c r="E8" t="s">
        <v>467</v>
      </c>
      <c r="F8" t="s">
        <v>468</v>
      </c>
      <c r="G8">
        <v>1</v>
      </c>
      <c r="H8" t="s">
        <v>44</v>
      </c>
      <c r="I8">
        <v>432</v>
      </c>
      <c r="J8">
        <v>432</v>
      </c>
    </row>
    <row r="9" spans="1:10" x14ac:dyDescent="0.2">
      <c r="A9" t="s">
        <v>185</v>
      </c>
      <c r="B9" t="s">
        <v>182</v>
      </c>
      <c r="C9" t="s">
        <v>97</v>
      </c>
      <c r="D9" t="s">
        <v>98</v>
      </c>
      <c r="E9" t="s">
        <v>467</v>
      </c>
      <c r="F9" t="s">
        <v>468</v>
      </c>
      <c r="G9">
        <v>1</v>
      </c>
      <c r="H9" t="s">
        <v>44</v>
      </c>
      <c r="I9">
        <v>432</v>
      </c>
      <c r="J9">
        <v>432</v>
      </c>
    </row>
    <row r="10" spans="1:10" x14ac:dyDescent="0.2">
      <c r="A10" t="s">
        <v>192</v>
      </c>
      <c r="B10" t="s">
        <v>142</v>
      </c>
      <c r="C10" t="s">
        <v>97</v>
      </c>
      <c r="D10" t="s">
        <v>98</v>
      </c>
      <c r="E10" t="s">
        <v>477</v>
      </c>
      <c r="F10" t="s">
        <v>478</v>
      </c>
      <c r="G10">
        <v>1</v>
      </c>
      <c r="H10" t="s">
        <v>44</v>
      </c>
      <c r="I10">
        <v>570</v>
      </c>
      <c r="J10">
        <v>570</v>
      </c>
    </row>
    <row r="11" spans="1:10" x14ac:dyDescent="0.2">
      <c r="A11" t="s">
        <v>187</v>
      </c>
      <c r="B11" t="s">
        <v>186</v>
      </c>
      <c r="C11" t="s">
        <v>97</v>
      </c>
      <c r="D11" t="s">
        <v>98</v>
      </c>
      <c r="E11" t="s">
        <v>479</v>
      </c>
      <c r="F11" t="s">
        <v>480</v>
      </c>
      <c r="G11">
        <v>1</v>
      </c>
      <c r="H11" t="s">
        <v>44</v>
      </c>
      <c r="I11">
        <v>32.479999999999997</v>
      </c>
      <c r="J11">
        <v>32.479999999999997</v>
      </c>
    </row>
    <row r="12" spans="1:10" x14ac:dyDescent="0.2">
      <c r="A12" t="s">
        <v>167</v>
      </c>
      <c r="B12" t="s">
        <v>97</v>
      </c>
      <c r="C12" t="s">
        <v>97</v>
      </c>
      <c r="D12" t="s">
        <v>98</v>
      </c>
      <c r="E12" t="s">
        <v>467</v>
      </c>
      <c r="F12" t="s">
        <v>468</v>
      </c>
      <c r="G12">
        <v>1</v>
      </c>
      <c r="H12" t="s">
        <v>44</v>
      </c>
      <c r="I12">
        <v>432</v>
      </c>
      <c r="J12">
        <v>432</v>
      </c>
    </row>
    <row r="13" spans="1:10" x14ac:dyDescent="0.2">
      <c r="A13" t="s">
        <v>188</v>
      </c>
      <c r="B13" t="s">
        <v>186</v>
      </c>
      <c r="C13" t="s">
        <v>97</v>
      </c>
      <c r="D13" t="s">
        <v>98</v>
      </c>
      <c r="E13" t="s">
        <v>481</v>
      </c>
      <c r="F13" t="s">
        <v>482</v>
      </c>
      <c r="G13">
        <v>2</v>
      </c>
      <c r="H13" t="s">
        <v>44</v>
      </c>
      <c r="I13">
        <v>11</v>
      </c>
      <c r="J13">
        <v>22</v>
      </c>
    </row>
    <row r="14" spans="1:10" x14ac:dyDescent="0.2">
      <c r="A14" t="s">
        <v>188</v>
      </c>
      <c r="B14" t="s">
        <v>186</v>
      </c>
      <c r="C14" t="s">
        <v>97</v>
      </c>
      <c r="D14" t="s">
        <v>98</v>
      </c>
      <c r="E14" t="s">
        <v>483</v>
      </c>
      <c r="F14" t="s">
        <v>484</v>
      </c>
      <c r="G14">
        <v>2</v>
      </c>
      <c r="H14" t="s">
        <v>44</v>
      </c>
      <c r="I14">
        <v>11</v>
      </c>
      <c r="J14">
        <v>22</v>
      </c>
    </row>
    <row r="15" spans="1:10" x14ac:dyDescent="0.2">
      <c r="A15" t="s">
        <v>194</v>
      </c>
      <c r="B15" t="s">
        <v>102</v>
      </c>
      <c r="C15" t="s">
        <v>97</v>
      </c>
      <c r="D15" t="s">
        <v>98</v>
      </c>
      <c r="E15" t="s">
        <v>475</v>
      </c>
      <c r="F15" t="s">
        <v>476</v>
      </c>
      <c r="G15">
        <v>1</v>
      </c>
      <c r="H15" t="s">
        <v>44</v>
      </c>
      <c r="I15">
        <v>149</v>
      </c>
      <c r="J15">
        <v>149</v>
      </c>
    </row>
    <row r="16" spans="1:10" x14ac:dyDescent="0.2">
      <c r="A16" t="s">
        <v>168</v>
      </c>
      <c r="B16" t="s">
        <v>97</v>
      </c>
      <c r="C16" t="s">
        <v>97</v>
      </c>
      <c r="D16" t="s">
        <v>98</v>
      </c>
      <c r="E16" t="s">
        <v>485</v>
      </c>
      <c r="F16" t="s">
        <v>486</v>
      </c>
      <c r="G16">
        <v>1</v>
      </c>
      <c r="H16" t="s">
        <v>44</v>
      </c>
      <c r="I16">
        <v>72.8</v>
      </c>
      <c r="J16">
        <v>72.8</v>
      </c>
    </row>
    <row r="17" spans="1:10" x14ac:dyDescent="0.2">
      <c r="A17" t="s">
        <v>189</v>
      </c>
      <c r="B17" t="s">
        <v>186</v>
      </c>
      <c r="C17" t="s">
        <v>97</v>
      </c>
      <c r="D17" t="s">
        <v>98</v>
      </c>
      <c r="E17" t="s">
        <v>487</v>
      </c>
      <c r="F17" t="s">
        <v>488</v>
      </c>
      <c r="G17">
        <v>1</v>
      </c>
      <c r="H17" t="s">
        <v>44</v>
      </c>
      <c r="I17">
        <v>476.12</v>
      </c>
      <c r="J17">
        <v>476.12</v>
      </c>
    </row>
    <row r="18" spans="1:10" x14ac:dyDescent="0.2">
      <c r="A18" t="s">
        <v>162</v>
      </c>
      <c r="B18" t="s">
        <v>161</v>
      </c>
      <c r="C18" t="s">
        <v>97</v>
      </c>
      <c r="D18" t="s">
        <v>98</v>
      </c>
      <c r="E18" t="s">
        <v>485</v>
      </c>
      <c r="F18" t="s">
        <v>486</v>
      </c>
      <c r="G18">
        <v>1</v>
      </c>
      <c r="H18" t="s">
        <v>44</v>
      </c>
      <c r="I18">
        <v>72.8</v>
      </c>
      <c r="J18">
        <v>72.8</v>
      </c>
    </row>
    <row r="19" spans="1:10" x14ac:dyDescent="0.2">
      <c r="A19" t="s">
        <v>169</v>
      </c>
      <c r="B19" t="s">
        <v>97</v>
      </c>
      <c r="C19" t="s">
        <v>97</v>
      </c>
      <c r="D19" t="s">
        <v>98</v>
      </c>
      <c r="E19" t="s">
        <v>489</v>
      </c>
      <c r="F19" t="s">
        <v>490</v>
      </c>
      <c r="G19">
        <v>1</v>
      </c>
      <c r="H19" t="s">
        <v>44</v>
      </c>
      <c r="I19">
        <v>358</v>
      </c>
      <c r="J19">
        <v>358</v>
      </c>
    </row>
    <row r="20" spans="1:10" x14ac:dyDescent="0.2">
      <c r="A20" t="s">
        <v>170</v>
      </c>
      <c r="B20" t="s">
        <v>97</v>
      </c>
      <c r="C20" t="s">
        <v>97</v>
      </c>
      <c r="D20" t="s">
        <v>98</v>
      </c>
      <c r="E20" t="s">
        <v>489</v>
      </c>
      <c r="F20" t="s">
        <v>490</v>
      </c>
      <c r="G20">
        <v>1</v>
      </c>
      <c r="H20" t="s">
        <v>44</v>
      </c>
      <c r="I20">
        <v>358</v>
      </c>
      <c r="J20">
        <v>358</v>
      </c>
    </row>
    <row r="21" spans="1:10" x14ac:dyDescent="0.2">
      <c r="A21" t="s">
        <v>171</v>
      </c>
      <c r="B21" t="s">
        <v>97</v>
      </c>
      <c r="C21" t="s">
        <v>97</v>
      </c>
      <c r="D21" t="s">
        <v>98</v>
      </c>
      <c r="E21" t="s">
        <v>467</v>
      </c>
      <c r="F21" t="s">
        <v>468</v>
      </c>
      <c r="G21">
        <v>1</v>
      </c>
      <c r="H21" t="s">
        <v>44</v>
      </c>
      <c r="I21">
        <v>432</v>
      </c>
      <c r="J21">
        <v>432</v>
      </c>
    </row>
    <row r="22" spans="1:10" x14ac:dyDescent="0.2">
      <c r="A22" t="s">
        <v>172</v>
      </c>
      <c r="B22" t="s">
        <v>97</v>
      </c>
      <c r="C22" t="s">
        <v>97</v>
      </c>
      <c r="D22" t="s">
        <v>98</v>
      </c>
      <c r="E22" t="s">
        <v>467</v>
      </c>
      <c r="F22" t="s">
        <v>468</v>
      </c>
      <c r="G22">
        <v>1</v>
      </c>
      <c r="H22" t="s">
        <v>44</v>
      </c>
      <c r="I22">
        <v>432</v>
      </c>
      <c r="J22">
        <v>432</v>
      </c>
    </row>
    <row r="23" spans="1:10" x14ac:dyDescent="0.2">
      <c r="A23" t="s">
        <v>173</v>
      </c>
      <c r="B23" t="s">
        <v>97</v>
      </c>
      <c r="C23" t="s">
        <v>97</v>
      </c>
      <c r="D23" t="s">
        <v>98</v>
      </c>
      <c r="E23" t="s">
        <v>491</v>
      </c>
      <c r="F23" t="s">
        <v>492</v>
      </c>
      <c r="G23">
        <v>1</v>
      </c>
      <c r="H23" t="s">
        <v>44</v>
      </c>
      <c r="I23">
        <v>317</v>
      </c>
      <c r="J23">
        <v>317</v>
      </c>
    </row>
    <row r="24" spans="1:10" x14ac:dyDescent="0.2">
      <c r="A24" t="s">
        <v>164</v>
      </c>
      <c r="B24" t="s">
        <v>125</v>
      </c>
      <c r="C24" t="s">
        <v>97</v>
      </c>
      <c r="D24" t="s">
        <v>98</v>
      </c>
      <c r="E24" t="s">
        <v>475</v>
      </c>
      <c r="F24" t="s">
        <v>476</v>
      </c>
      <c r="G24">
        <v>1</v>
      </c>
      <c r="H24" t="s">
        <v>44</v>
      </c>
      <c r="I24">
        <v>149</v>
      </c>
      <c r="J24">
        <v>149</v>
      </c>
    </row>
    <row r="25" spans="1:10" x14ac:dyDescent="0.2">
      <c r="A25" t="s">
        <v>165</v>
      </c>
      <c r="B25" t="s">
        <v>125</v>
      </c>
      <c r="C25" t="s">
        <v>97</v>
      </c>
      <c r="D25" t="s">
        <v>98</v>
      </c>
      <c r="E25" t="s">
        <v>493</v>
      </c>
      <c r="F25" t="s">
        <v>494</v>
      </c>
      <c r="G25">
        <v>1</v>
      </c>
      <c r="H25" t="s">
        <v>44</v>
      </c>
      <c r="I25">
        <v>27</v>
      </c>
      <c r="J25">
        <v>27</v>
      </c>
    </row>
    <row r="26" spans="1:10" x14ac:dyDescent="0.2">
      <c r="A26" t="s">
        <v>179</v>
      </c>
      <c r="B26" t="s">
        <v>107</v>
      </c>
      <c r="C26" t="s">
        <v>97</v>
      </c>
      <c r="D26" t="s">
        <v>98</v>
      </c>
      <c r="E26" t="s">
        <v>467</v>
      </c>
      <c r="F26" t="s">
        <v>468</v>
      </c>
      <c r="G26">
        <v>1</v>
      </c>
      <c r="H26" t="s">
        <v>44</v>
      </c>
      <c r="I26">
        <v>432</v>
      </c>
      <c r="J26">
        <v>432</v>
      </c>
    </row>
    <row r="27" spans="1:10" x14ac:dyDescent="0.2">
      <c r="A27" t="s">
        <v>174</v>
      </c>
      <c r="B27" t="s">
        <v>97</v>
      </c>
      <c r="C27" t="s">
        <v>97</v>
      </c>
      <c r="D27" t="s">
        <v>98</v>
      </c>
      <c r="E27" t="s">
        <v>495</v>
      </c>
      <c r="F27" t="s">
        <v>496</v>
      </c>
      <c r="G27">
        <v>1</v>
      </c>
      <c r="H27" t="s">
        <v>44</v>
      </c>
      <c r="I27">
        <v>501</v>
      </c>
      <c r="J27">
        <v>501</v>
      </c>
    </row>
    <row r="28" spans="1:10" x14ac:dyDescent="0.2">
      <c r="A28" t="s">
        <v>175</v>
      </c>
      <c r="B28" t="s">
        <v>97</v>
      </c>
      <c r="C28" t="s">
        <v>97</v>
      </c>
      <c r="D28" t="s">
        <v>98</v>
      </c>
      <c r="E28" t="s">
        <v>497</v>
      </c>
      <c r="F28" t="s">
        <v>498</v>
      </c>
      <c r="G28">
        <v>1</v>
      </c>
      <c r="H28" t="s">
        <v>44</v>
      </c>
      <c r="I28">
        <v>32</v>
      </c>
      <c r="J28">
        <v>32</v>
      </c>
    </row>
    <row r="29" spans="1:10" x14ac:dyDescent="0.2">
      <c r="A29" t="s">
        <v>175</v>
      </c>
      <c r="B29" t="s">
        <v>97</v>
      </c>
      <c r="C29" t="s">
        <v>97</v>
      </c>
      <c r="D29" t="s">
        <v>98</v>
      </c>
      <c r="E29" t="s">
        <v>473</v>
      </c>
      <c r="F29" t="s">
        <v>474</v>
      </c>
      <c r="G29">
        <v>1</v>
      </c>
      <c r="H29" t="s">
        <v>44</v>
      </c>
      <c r="I29">
        <v>80</v>
      </c>
      <c r="J29">
        <v>80</v>
      </c>
    </row>
    <row r="30" spans="1:10" x14ac:dyDescent="0.2">
      <c r="A30" t="s">
        <v>175</v>
      </c>
      <c r="B30" t="s">
        <v>97</v>
      </c>
      <c r="C30" t="s">
        <v>97</v>
      </c>
      <c r="D30" t="s">
        <v>98</v>
      </c>
      <c r="E30" t="s">
        <v>481</v>
      </c>
      <c r="F30" t="s">
        <v>482</v>
      </c>
      <c r="G30">
        <v>2</v>
      </c>
      <c r="H30" t="s">
        <v>44</v>
      </c>
      <c r="I30">
        <v>11</v>
      </c>
      <c r="J30">
        <v>22</v>
      </c>
    </row>
    <row r="31" spans="1:10" x14ac:dyDescent="0.2">
      <c r="A31" t="s">
        <v>175</v>
      </c>
      <c r="B31" t="s">
        <v>97</v>
      </c>
      <c r="C31" t="s">
        <v>97</v>
      </c>
      <c r="D31" t="s">
        <v>98</v>
      </c>
      <c r="E31" t="s">
        <v>471</v>
      </c>
      <c r="F31" t="s">
        <v>472</v>
      </c>
      <c r="G31">
        <v>1</v>
      </c>
      <c r="H31" t="s">
        <v>44</v>
      </c>
      <c r="I31">
        <v>147</v>
      </c>
      <c r="J31">
        <v>147</v>
      </c>
    </row>
    <row r="32" spans="1:10" x14ac:dyDescent="0.2">
      <c r="A32" t="s">
        <v>175</v>
      </c>
      <c r="B32" t="s">
        <v>97</v>
      </c>
      <c r="C32" t="s">
        <v>97</v>
      </c>
      <c r="D32" t="s">
        <v>98</v>
      </c>
      <c r="E32" t="s">
        <v>483</v>
      </c>
      <c r="F32" t="s">
        <v>484</v>
      </c>
      <c r="G32">
        <v>2</v>
      </c>
      <c r="H32" t="s">
        <v>44</v>
      </c>
      <c r="I32">
        <v>11</v>
      </c>
      <c r="J32">
        <v>22</v>
      </c>
    </row>
    <row r="33" spans="1:10" x14ac:dyDescent="0.2">
      <c r="A33" t="s">
        <v>180</v>
      </c>
      <c r="B33" t="s">
        <v>107</v>
      </c>
      <c r="C33" t="s">
        <v>97</v>
      </c>
      <c r="D33" t="s">
        <v>98</v>
      </c>
      <c r="E33" t="s">
        <v>495</v>
      </c>
      <c r="F33" t="s">
        <v>496</v>
      </c>
      <c r="G33">
        <v>1</v>
      </c>
      <c r="H33" t="s">
        <v>44</v>
      </c>
      <c r="I33">
        <v>501</v>
      </c>
      <c r="J33">
        <v>501</v>
      </c>
    </row>
    <row r="34" spans="1:10" x14ac:dyDescent="0.2">
      <c r="A34" t="s">
        <v>176</v>
      </c>
      <c r="B34" t="s">
        <v>97</v>
      </c>
      <c r="C34" t="s">
        <v>97</v>
      </c>
      <c r="D34" t="s">
        <v>98</v>
      </c>
      <c r="E34" t="s">
        <v>499</v>
      </c>
      <c r="F34" t="s">
        <v>500</v>
      </c>
      <c r="G34">
        <v>1</v>
      </c>
      <c r="H34" t="s">
        <v>44</v>
      </c>
      <c r="I34">
        <v>261.25</v>
      </c>
      <c r="J34">
        <v>261.25</v>
      </c>
    </row>
    <row r="35" spans="1:10" x14ac:dyDescent="0.2">
      <c r="A35" t="s">
        <v>103</v>
      </c>
      <c r="B35" t="s">
        <v>102</v>
      </c>
      <c r="C35" t="s">
        <v>97</v>
      </c>
      <c r="D35" t="s">
        <v>98</v>
      </c>
      <c r="E35" t="s">
        <v>501</v>
      </c>
      <c r="F35" t="s">
        <v>502</v>
      </c>
      <c r="G35">
        <v>1</v>
      </c>
      <c r="H35" t="s">
        <v>44</v>
      </c>
      <c r="I35">
        <v>10.08</v>
      </c>
      <c r="J35">
        <v>10.08</v>
      </c>
    </row>
    <row r="36" spans="1:10" x14ac:dyDescent="0.2">
      <c r="A36" t="s">
        <v>114</v>
      </c>
      <c r="B36" t="s">
        <v>97</v>
      </c>
      <c r="C36" t="s">
        <v>97</v>
      </c>
      <c r="D36" t="s">
        <v>98</v>
      </c>
      <c r="E36" t="s">
        <v>489</v>
      </c>
      <c r="F36" t="s">
        <v>490</v>
      </c>
      <c r="G36">
        <v>1</v>
      </c>
      <c r="H36" t="s">
        <v>44</v>
      </c>
      <c r="I36">
        <v>358</v>
      </c>
      <c r="J36">
        <v>358</v>
      </c>
    </row>
    <row r="37" spans="1:10" x14ac:dyDescent="0.2">
      <c r="A37" t="s">
        <v>112</v>
      </c>
      <c r="B37" t="s">
        <v>97</v>
      </c>
      <c r="C37" t="s">
        <v>97</v>
      </c>
      <c r="D37" t="s">
        <v>98</v>
      </c>
      <c r="E37" t="s">
        <v>503</v>
      </c>
      <c r="F37" t="s">
        <v>504</v>
      </c>
      <c r="G37">
        <v>1</v>
      </c>
      <c r="H37" t="s">
        <v>44</v>
      </c>
      <c r="I37">
        <v>261.25</v>
      </c>
      <c r="J37">
        <v>261.25</v>
      </c>
    </row>
    <row r="38" spans="1:10" x14ac:dyDescent="0.2">
      <c r="A38" t="s">
        <v>110</v>
      </c>
      <c r="B38" t="s">
        <v>97</v>
      </c>
      <c r="C38" t="s">
        <v>97</v>
      </c>
      <c r="D38" t="s">
        <v>98</v>
      </c>
      <c r="E38" t="s">
        <v>505</v>
      </c>
      <c r="F38" t="s">
        <v>506</v>
      </c>
      <c r="G38">
        <v>1</v>
      </c>
      <c r="H38" t="s">
        <v>44</v>
      </c>
      <c r="I38">
        <v>224</v>
      </c>
      <c r="J38">
        <v>224</v>
      </c>
    </row>
    <row r="39" spans="1:10" x14ac:dyDescent="0.2">
      <c r="A39" t="s">
        <v>181</v>
      </c>
      <c r="B39" t="s">
        <v>107</v>
      </c>
      <c r="C39" t="s">
        <v>97</v>
      </c>
      <c r="D39" t="s">
        <v>98</v>
      </c>
      <c r="E39" t="s">
        <v>507</v>
      </c>
      <c r="F39" t="s">
        <v>508</v>
      </c>
      <c r="G39">
        <v>1</v>
      </c>
      <c r="H39" t="s">
        <v>44</v>
      </c>
      <c r="I39">
        <v>19</v>
      </c>
      <c r="J39">
        <v>19</v>
      </c>
    </row>
    <row r="40" spans="1:10" x14ac:dyDescent="0.2">
      <c r="A40" t="s">
        <v>181</v>
      </c>
      <c r="B40" t="s">
        <v>107</v>
      </c>
      <c r="C40" t="s">
        <v>97</v>
      </c>
      <c r="D40" t="s">
        <v>98</v>
      </c>
      <c r="E40" t="s">
        <v>483</v>
      </c>
      <c r="F40" t="s">
        <v>484</v>
      </c>
      <c r="G40">
        <v>2</v>
      </c>
      <c r="H40" t="s">
        <v>44</v>
      </c>
      <c r="I40">
        <v>11</v>
      </c>
      <c r="J40">
        <v>22</v>
      </c>
    </row>
    <row r="41" spans="1:10" x14ac:dyDescent="0.2">
      <c r="A41" t="s">
        <v>181</v>
      </c>
      <c r="B41" t="s">
        <v>107</v>
      </c>
      <c r="C41" t="s">
        <v>97</v>
      </c>
      <c r="D41" t="s">
        <v>98</v>
      </c>
      <c r="E41" t="s">
        <v>509</v>
      </c>
      <c r="F41" t="s">
        <v>510</v>
      </c>
      <c r="G41">
        <v>2</v>
      </c>
      <c r="H41" t="s">
        <v>44</v>
      </c>
      <c r="I41">
        <v>13</v>
      </c>
      <c r="J41">
        <v>26</v>
      </c>
    </row>
    <row r="42" spans="1:10" x14ac:dyDescent="0.2">
      <c r="A42" t="s">
        <v>181</v>
      </c>
      <c r="B42" t="s">
        <v>107</v>
      </c>
      <c r="C42" t="s">
        <v>97</v>
      </c>
      <c r="D42" t="s">
        <v>98</v>
      </c>
      <c r="E42" t="s">
        <v>511</v>
      </c>
      <c r="F42" t="s">
        <v>512</v>
      </c>
      <c r="G42">
        <v>1</v>
      </c>
      <c r="H42" t="s">
        <v>44</v>
      </c>
      <c r="I42">
        <v>11</v>
      </c>
      <c r="J42">
        <v>11</v>
      </c>
    </row>
    <row r="43" spans="1:10" x14ac:dyDescent="0.2">
      <c r="A43" t="s">
        <v>181</v>
      </c>
      <c r="B43" t="s">
        <v>107</v>
      </c>
      <c r="C43" t="s">
        <v>97</v>
      </c>
      <c r="D43" t="s">
        <v>98</v>
      </c>
      <c r="E43" t="s">
        <v>513</v>
      </c>
      <c r="F43" t="s">
        <v>514</v>
      </c>
      <c r="G43">
        <v>1</v>
      </c>
      <c r="H43" t="s">
        <v>44</v>
      </c>
      <c r="I43">
        <v>0.17</v>
      </c>
      <c r="J43">
        <v>0.17</v>
      </c>
    </row>
    <row r="44" spans="1:10" x14ac:dyDescent="0.2">
      <c r="A44" t="s">
        <v>181</v>
      </c>
      <c r="B44" t="s">
        <v>107</v>
      </c>
      <c r="C44" t="s">
        <v>97</v>
      </c>
      <c r="D44" t="s">
        <v>98</v>
      </c>
      <c r="E44" t="s">
        <v>515</v>
      </c>
      <c r="F44" t="s">
        <v>516</v>
      </c>
      <c r="G44">
        <v>1</v>
      </c>
      <c r="H44" t="s">
        <v>44</v>
      </c>
      <c r="I44">
        <v>2.41</v>
      </c>
      <c r="J44">
        <v>2.41</v>
      </c>
    </row>
    <row r="45" spans="1:10" x14ac:dyDescent="0.2">
      <c r="A45" t="s">
        <v>181</v>
      </c>
      <c r="B45" t="s">
        <v>107</v>
      </c>
      <c r="C45" t="s">
        <v>97</v>
      </c>
      <c r="D45" t="s">
        <v>98</v>
      </c>
      <c r="E45" t="s">
        <v>517</v>
      </c>
      <c r="F45" t="s">
        <v>518</v>
      </c>
      <c r="G45">
        <v>1</v>
      </c>
      <c r="H45" t="s">
        <v>44</v>
      </c>
      <c r="I45">
        <v>11</v>
      </c>
      <c r="J45">
        <v>11</v>
      </c>
    </row>
    <row r="46" spans="1:10" x14ac:dyDescent="0.2">
      <c r="A46" t="s">
        <v>181</v>
      </c>
      <c r="B46" t="s">
        <v>107</v>
      </c>
      <c r="C46" t="s">
        <v>97</v>
      </c>
      <c r="D46" t="s">
        <v>98</v>
      </c>
      <c r="E46" t="s">
        <v>519</v>
      </c>
      <c r="F46" t="s">
        <v>520</v>
      </c>
      <c r="G46">
        <v>1</v>
      </c>
      <c r="H46" t="s">
        <v>44</v>
      </c>
      <c r="I46">
        <v>0.69</v>
      </c>
      <c r="J46">
        <v>0.69</v>
      </c>
    </row>
    <row r="47" spans="1:10" x14ac:dyDescent="0.2">
      <c r="A47" t="s">
        <v>181</v>
      </c>
      <c r="B47" t="s">
        <v>107</v>
      </c>
      <c r="C47" t="s">
        <v>97</v>
      </c>
      <c r="D47" t="s">
        <v>98</v>
      </c>
      <c r="E47" t="s">
        <v>521</v>
      </c>
      <c r="F47" t="s">
        <v>522</v>
      </c>
      <c r="G47">
        <v>2</v>
      </c>
      <c r="H47" t="s">
        <v>44</v>
      </c>
      <c r="I47">
        <v>19</v>
      </c>
      <c r="J47">
        <v>38</v>
      </c>
    </row>
    <row r="48" spans="1:10" x14ac:dyDescent="0.2">
      <c r="A48" t="s">
        <v>181</v>
      </c>
      <c r="B48" t="s">
        <v>107</v>
      </c>
      <c r="C48" t="s">
        <v>97</v>
      </c>
      <c r="D48" t="s">
        <v>98</v>
      </c>
      <c r="E48" t="s">
        <v>523</v>
      </c>
      <c r="F48" t="s">
        <v>524</v>
      </c>
      <c r="G48">
        <v>1</v>
      </c>
      <c r="H48" t="s">
        <v>44</v>
      </c>
      <c r="I48">
        <v>94.54</v>
      </c>
      <c r="J48">
        <v>94.54</v>
      </c>
    </row>
    <row r="49" spans="1:10" x14ac:dyDescent="0.2">
      <c r="A49" t="s">
        <v>181</v>
      </c>
      <c r="B49" t="s">
        <v>107</v>
      </c>
      <c r="C49" t="s">
        <v>97</v>
      </c>
      <c r="D49" t="s">
        <v>98</v>
      </c>
      <c r="E49" t="s">
        <v>471</v>
      </c>
      <c r="F49" t="s">
        <v>472</v>
      </c>
      <c r="G49">
        <v>1</v>
      </c>
      <c r="H49" t="s">
        <v>44</v>
      </c>
      <c r="I49">
        <v>147</v>
      </c>
      <c r="J49">
        <v>147</v>
      </c>
    </row>
    <row r="50" spans="1:10" x14ac:dyDescent="0.2">
      <c r="A50" t="s">
        <v>181</v>
      </c>
      <c r="B50" t="s">
        <v>107</v>
      </c>
      <c r="C50" t="s">
        <v>97</v>
      </c>
      <c r="D50" t="s">
        <v>98</v>
      </c>
      <c r="E50" t="s">
        <v>525</v>
      </c>
      <c r="F50" t="s">
        <v>526</v>
      </c>
      <c r="G50">
        <v>1</v>
      </c>
      <c r="H50" t="s">
        <v>44</v>
      </c>
      <c r="I50">
        <v>1</v>
      </c>
      <c r="J50">
        <v>1</v>
      </c>
    </row>
    <row r="51" spans="1:10" x14ac:dyDescent="0.2">
      <c r="A51" t="s">
        <v>181</v>
      </c>
      <c r="B51" t="s">
        <v>107</v>
      </c>
      <c r="C51" t="s">
        <v>97</v>
      </c>
      <c r="D51" t="s">
        <v>98</v>
      </c>
      <c r="E51" t="s">
        <v>527</v>
      </c>
      <c r="F51" t="s">
        <v>528</v>
      </c>
      <c r="G51">
        <v>2</v>
      </c>
      <c r="H51" t="s">
        <v>44</v>
      </c>
      <c r="I51">
        <v>1</v>
      </c>
      <c r="J51">
        <v>2</v>
      </c>
    </row>
    <row r="52" spans="1:10" x14ac:dyDescent="0.2">
      <c r="A52" t="s">
        <v>181</v>
      </c>
      <c r="B52" t="s">
        <v>107</v>
      </c>
      <c r="C52" t="s">
        <v>97</v>
      </c>
      <c r="D52" t="s">
        <v>98</v>
      </c>
      <c r="E52" t="s">
        <v>529</v>
      </c>
      <c r="F52" t="s">
        <v>530</v>
      </c>
      <c r="G52">
        <v>2</v>
      </c>
      <c r="H52" t="s">
        <v>44</v>
      </c>
      <c r="I52">
        <v>0.22</v>
      </c>
      <c r="J52">
        <v>0.44</v>
      </c>
    </row>
    <row r="53" spans="1:10" x14ac:dyDescent="0.2">
      <c r="A53" t="s">
        <v>181</v>
      </c>
      <c r="B53" t="s">
        <v>107</v>
      </c>
      <c r="C53" t="s">
        <v>97</v>
      </c>
      <c r="D53" t="s">
        <v>98</v>
      </c>
      <c r="E53" t="s">
        <v>481</v>
      </c>
      <c r="F53" t="s">
        <v>482</v>
      </c>
      <c r="G53">
        <v>2</v>
      </c>
      <c r="H53" t="s">
        <v>44</v>
      </c>
      <c r="I53">
        <v>11</v>
      </c>
      <c r="J53">
        <v>22</v>
      </c>
    </row>
    <row r="54" spans="1:10" x14ac:dyDescent="0.2">
      <c r="A54" t="s">
        <v>181</v>
      </c>
      <c r="B54" t="s">
        <v>107</v>
      </c>
      <c r="C54" t="s">
        <v>97</v>
      </c>
      <c r="D54" t="s">
        <v>98</v>
      </c>
      <c r="E54" t="s">
        <v>531</v>
      </c>
      <c r="F54" t="s">
        <v>532</v>
      </c>
      <c r="G54">
        <v>1</v>
      </c>
      <c r="H54" t="s">
        <v>44</v>
      </c>
      <c r="I54">
        <v>0.52</v>
      </c>
      <c r="J54">
        <v>0.52</v>
      </c>
    </row>
    <row r="55" spans="1:10" x14ac:dyDescent="0.2">
      <c r="A55" t="s">
        <v>181</v>
      </c>
      <c r="B55" t="s">
        <v>107</v>
      </c>
      <c r="C55" t="s">
        <v>97</v>
      </c>
      <c r="D55" t="s">
        <v>98</v>
      </c>
      <c r="E55" t="s">
        <v>533</v>
      </c>
      <c r="F55" t="s">
        <v>534</v>
      </c>
      <c r="G55">
        <v>1</v>
      </c>
      <c r="H55" t="s">
        <v>44</v>
      </c>
      <c r="I55">
        <v>3</v>
      </c>
      <c r="J55">
        <v>3</v>
      </c>
    </row>
    <row r="56" spans="1:10" x14ac:dyDescent="0.2">
      <c r="A56" t="s">
        <v>181</v>
      </c>
      <c r="B56" t="s">
        <v>107</v>
      </c>
      <c r="C56" t="s">
        <v>97</v>
      </c>
      <c r="D56" t="s">
        <v>98</v>
      </c>
      <c r="E56" t="s">
        <v>535</v>
      </c>
      <c r="F56" t="s">
        <v>536</v>
      </c>
      <c r="G56">
        <v>1</v>
      </c>
      <c r="H56" t="s">
        <v>44</v>
      </c>
      <c r="I56">
        <v>15</v>
      </c>
      <c r="J56">
        <v>15</v>
      </c>
    </row>
    <row r="57" spans="1:10" x14ac:dyDescent="0.2">
      <c r="A57" t="s">
        <v>181</v>
      </c>
      <c r="B57" t="s">
        <v>107</v>
      </c>
      <c r="C57" t="s">
        <v>97</v>
      </c>
      <c r="D57" t="s">
        <v>98</v>
      </c>
      <c r="E57" t="s">
        <v>537</v>
      </c>
      <c r="F57" t="s">
        <v>538</v>
      </c>
      <c r="G57">
        <v>1</v>
      </c>
      <c r="H57" t="s">
        <v>44</v>
      </c>
      <c r="I57">
        <v>19</v>
      </c>
      <c r="J57">
        <v>19</v>
      </c>
    </row>
    <row r="58" spans="1:10" x14ac:dyDescent="0.2">
      <c r="A58" t="s">
        <v>181</v>
      </c>
      <c r="B58" t="s">
        <v>107</v>
      </c>
      <c r="C58" t="s">
        <v>97</v>
      </c>
      <c r="D58" t="s">
        <v>98</v>
      </c>
      <c r="E58" t="s">
        <v>539</v>
      </c>
      <c r="F58" t="s">
        <v>540</v>
      </c>
      <c r="G58">
        <v>16</v>
      </c>
      <c r="H58" t="s">
        <v>44</v>
      </c>
      <c r="I58">
        <v>0.17</v>
      </c>
      <c r="J58">
        <v>2.72</v>
      </c>
    </row>
    <row r="59" spans="1:10" x14ac:dyDescent="0.2">
      <c r="A59" t="s">
        <v>181</v>
      </c>
      <c r="B59" t="s">
        <v>107</v>
      </c>
      <c r="C59" t="s">
        <v>97</v>
      </c>
      <c r="D59" t="s">
        <v>98</v>
      </c>
      <c r="E59" t="s">
        <v>541</v>
      </c>
      <c r="F59" t="s">
        <v>542</v>
      </c>
      <c r="G59">
        <v>1</v>
      </c>
      <c r="H59" t="s">
        <v>44</v>
      </c>
      <c r="I59">
        <v>11</v>
      </c>
      <c r="J59">
        <v>11</v>
      </c>
    </row>
    <row r="60" spans="1:10" x14ac:dyDescent="0.2">
      <c r="A60" t="s">
        <v>181</v>
      </c>
      <c r="B60" t="s">
        <v>107</v>
      </c>
      <c r="C60" t="s">
        <v>97</v>
      </c>
      <c r="D60" t="s">
        <v>98</v>
      </c>
      <c r="E60" t="s">
        <v>543</v>
      </c>
      <c r="F60" t="s">
        <v>474</v>
      </c>
      <c r="G60">
        <v>2</v>
      </c>
      <c r="H60" t="s">
        <v>44</v>
      </c>
      <c r="I60">
        <v>80</v>
      </c>
      <c r="J60">
        <v>160</v>
      </c>
    </row>
    <row r="61" spans="1:10" x14ac:dyDescent="0.2">
      <c r="A61" t="s">
        <v>181</v>
      </c>
      <c r="B61" t="s">
        <v>107</v>
      </c>
      <c r="C61" t="s">
        <v>97</v>
      </c>
      <c r="D61" t="s">
        <v>98</v>
      </c>
      <c r="E61" t="s">
        <v>544</v>
      </c>
      <c r="F61" t="s">
        <v>545</v>
      </c>
      <c r="G61">
        <v>6</v>
      </c>
      <c r="H61" t="s">
        <v>44</v>
      </c>
      <c r="I61">
        <v>0.4</v>
      </c>
      <c r="J61">
        <v>2.4</v>
      </c>
    </row>
    <row r="62" spans="1:10" x14ac:dyDescent="0.2">
      <c r="A62" t="s">
        <v>181</v>
      </c>
      <c r="B62" t="s">
        <v>107</v>
      </c>
      <c r="C62" t="s">
        <v>97</v>
      </c>
      <c r="D62" t="s">
        <v>98</v>
      </c>
      <c r="E62" t="s">
        <v>546</v>
      </c>
      <c r="F62" t="s">
        <v>547</v>
      </c>
      <c r="G62">
        <v>1</v>
      </c>
      <c r="H62" t="s">
        <v>44</v>
      </c>
      <c r="I62">
        <v>11</v>
      </c>
      <c r="J62">
        <v>11</v>
      </c>
    </row>
    <row r="63" spans="1:10" x14ac:dyDescent="0.2">
      <c r="A63" t="s">
        <v>181</v>
      </c>
      <c r="B63" t="s">
        <v>107</v>
      </c>
      <c r="C63" t="s">
        <v>97</v>
      </c>
      <c r="D63" t="s">
        <v>98</v>
      </c>
      <c r="E63" t="s">
        <v>548</v>
      </c>
      <c r="F63" t="s">
        <v>549</v>
      </c>
      <c r="G63">
        <v>1</v>
      </c>
      <c r="H63" t="s">
        <v>44</v>
      </c>
      <c r="I63">
        <v>7</v>
      </c>
      <c r="J63">
        <v>7</v>
      </c>
    </row>
    <row r="64" spans="1:10" x14ac:dyDescent="0.2">
      <c r="A64" t="s">
        <v>108</v>
      </c>
      <c r="B64" t="s">
        <v>107</v>
      </c>
      <c r="C64" t="s">
        <v>97</v>
      </c>
      <c r="D64" t="s">
        <v>98</v>
      </c>
      <c r="E64" t="s">
        <v>550</v>
      </c>
      <c r="F64" t="s">
        <v>551</v>
      </c>
      <c r="G64">
        <v>1</v>
      </c>
      <c r="H64" t="s">
        <v>44</v>
      </c>
      <c r="I64">
        <v>86.24</v>
      </c>
      <c r="J64">
        <v>86.24</v>
      </c>
    </row>
    <row r="65" spans="1:10" x14ac:dyDescent="0.2">
      <c r="A65" t="s">
        <v>105</v>
      </c>
      <c r="B65" t="s">
        <v>97</v>
      </c>
      <c r="C65" t="s">
        <v>97</v>
      </c>
      <c r="D65" t="s">
        <v>98</v>
      </c>
      <c r="E65" t="s">
        <v>485</v>
      </c>
      <c r="F65" t="s">
        <v>486</v>
      </c>
      <c r="G65">
        <v>1</v>
      </c>
      <c r="H65" t="s">
        <v>44</v>
      </c>
      <c r="I65">
        <v>72.8</v>
      </c>
      <c r="J65">
        <v>72.8</v>
      </c>
    </row>
    <row r="66" spans="1:10" x14ac:dyDescent="0.2">
      <c r="A66" t="s">
        <v>116</v>
      </c>
      <c r="B66" t="s">
        <v>97</v>
      </c>
      <c r="C66" t="s">
        <v>97</v>
      </c>
      <c r="D66" t="s">
        <v>98</v>
      </c>
      <c r="E66" t="s">
        <v>467</v>
      </c>
      <c r="F66" t="s">
        <v>468</v>
      </c>
      <c r="G66">
        <v>1</v>
      </c>
      <c r="H66" t="s">
        <v>44</v>
      </c>
      <c r="I66">
        <v>432</v>
      </c>
      <c r="J66">
        <v>432</v>
      </c>
    </row>
    <row r="67" spans="1:10" x14ac:dyDescent="0.2">
      <c r="A67" t="s">
        <v>119</v>
      </c>
      <c r="B67" t="s">
        <v>118</v>
      </c>
      <c r="C67" t="s">
        <v>97</v>
      </c>
      <c r="D67" t="s">
        <v>98</v>
      </c>
      <c r="E67" t="s">
        <v>477</v>
      </c>
      <c r="F67" t="s">
        <v>478</v>
      </c>
      <c r="G67">
        <v>1</v>
      </c>
      <c r="H67" t="s">
        <v>44</v>
      </c>
      <c r="I67">
        <v>570</v>
      </c>
      <c r="J67">
        <v>570</v>
      </c>
    </row>
    <row r="68" spans="1:10" x14ac:dyDescent="0.2">
      <c r="A68" t="s">
        <v>121</v>
      </c>
      <c r="B68" t="s">
        <v>97</v>
      </c>
      <c r="C68" t="s">
        <v>97</v>
      </c>
      <c r="D68" t="s">
        <v>98</v>
      </c>
      <c r="E68" t="s">
        <v>493</v>
      </c>
      <c r="F68" t="s">
        <v>494</v>
      </c>
      <c r="G68">
        <v>1</v>
      </c>
      <c r="H68" t="s">
        <v>44</v>
      </c>
      <c r="I68">
        <v>27</v>
      </c>
      <c r="J68">
        <v>27</v>
      </c>
    </row>
    <row r="69" spans="1:10" x14ac:dyDescent="0.2">
      <c r="A69" t="s">
        <v>190</v>
      </c>
      <c r="B69" t="s">
        <v>186</v>
      </c>
      <c r="C69" t="s">
        <v>97</v>
      </c>
      <c r="D69" t="s">
        <v>98</v>
      </c>
      <c r="E69" t="s">
        <v>481</v>
      </c>
      <c r="F69" t="s">
        <v>482</v>
      </c>
      <c r="G69">
        <v>2</v>
      </c>
      <c r="H69" t="s">
        <v>44</v>
      </c>
      <c r="I69">
        <v>11</v>
      </c>
      <c r="J69">
        <v>22</v>
      </c>
    </row>
    <row r="70" spans="1:10" x14ac:dyDescent="0.2">
      <c r="A70" t="s">
        <v>190</v>
      </c>
      <c r="B70" t="s">
        <v>186</v>
      </c>
      <c r="C70" t="s">
        <v>97</v>
      </c>
      <c r="D70" t="s">
        <v>98</v>
      </c>
      <c r="E70" t="s">
        <v>483</v>
      </c>
      <c r="F70" t="s">
        <v>484</v>
      </c>
      <c r="G70">
        <v>2</v>
      </c>
      <c r="H70" t="s">
        <v>44</v>
      </c>
      <c r="I70">
        <v>11</v>
      </c>
      <c r="J70">
        <v>22</v>
      </c>
    </row>
    <row r="71" spans="1:10" x14ac:dyDescent="0.2">
      <c r="A71" t="s">
        <v>190</v>
      </c>
      <c r="B71" t="s">
        <v>186</v>
      </c>
      <c r="C71" t="s">
        <v>97</v>
      </c>
      <c r="D71" t="s">
        <v>98</v>
      </c>
      <c r="E71" t="s">
        <v>511</v>
      </c>
      <c r="F71" t="s">
        <v>512</v>
      </c>
      <c r="G71">
        <v>1</v>
      </c>
      <c r="H71" t="s">
        <v>44</v>
      </c>
      <c r="I71">
        <v>11</v>
      </c>
      <c r="J71">
        <v>11</v>
      </c>
    </row>
    <row r="72" spans="1:10" x14ac:dyDescent="0.2">
      <c r="A72" t="s">
        <v>190</v>
      </c>
      <c r="B72" t="s">
        <v>186</v>
      </c>
      <c r="C72" t="s">
        <v>97</v>
      </c>
      <c r="D72" t="s">
        <v>98</v>
      </c>
      <c r="E72" t="s">
        <v>552</v>
      </c>
      <c r="F72" t="s">
        <v>553</v>
      </c>
      <c r="G72">
        <v>1</v>
      </c>
      <c r="H72" t="s">
        <v>44</v>
      </c>
      <c r="I72">
        <v>0.87</v>
      </c>
      <c r="J72">
        <v>0.87</v>
      </c>
    </row>
    <row r="73" spans="1:10" x14ac:dyDescent="0.2">
      <c r="A73" t="s">
        <v>190</v>
      </c>
      <c r="B73" t="s">
        <v>186</v>
      </c>
      <c r="C73" t="s">
        <v>97</v>
      </c>
      <c r="D73" t="s">
        <v>98</v>
      </c>
      <c r="E73" t="s">
        <v>554</v>
      </c>
      <c r="F73" t="s">
        <v>547</v>
      </c>
      <c r="G73">
        <v>1</v>
      </c>
      <c r="H73" t="s">
        <v>44</v>
      </c>
      <c r="I73">
        <v>11</v>
      </c>
      <c r="J73">
        <v>11</v>
      </c>
    </row>
    <row r="74" spans="1:10" x14ac:dyDescent="0.2">
      <c r="A74" t="s">
        <v>190</v>
      </c>
      <c r="B74" t="s">
        <v>186</v>
      </c>
      <c r="C74" t="s">
        <v>97</v>
      </c>
      <c r="D74" t="s">
        <v>98</v>
      </c>
      <c r="E74" t="s">
        <v>544</v>
      </c>
      <c r="F74" t="s">
        <v>545</v>
      </c>
      <c r="G74">
        <v>16</v>
      </c>
      <c r="H74" t="s">
        <v>44</v>
      </c>
      <c r="I74">
        <v>0.4</v>
      </c>
      <c r="J74">
        <v>6.4</v>
      </c>
    </row>
    <row r="75" spans="1:10" x14ac:dyDescent="0.2">
      <c r="A75" t="s">
        <v>190</v>
      </c>
      <c r="B75" t="s">
        <v>186</v>
      </c>
      <c r="C75" t="s">
        <v>97</v>
      </c>
      <c r="D75" t="s">
        <v>98</v>
      </c>
      <c r="E75" t="s">
        <v>555</v>
      </c>
      <c r="F75" t="s">
        <v>536</v>
      </c>
      <c r="G75">
        <v>1</v>
      </c>
      <c r="H75" t="s">
        <v>44</v>
      </c>
      <c r="I75">
        <v>15</v>
      </c>
      <c r="J75">
        <v>15</v>
      </c>
    </row>
    <row r="76" spans="1:10" x14ac:dyDescent="0.2">
      <c r="A76" t="s">
        <v>190</v>
      </c>
      <c r="B76" t="s">
        <v>186</v>
      </c>
      <c r="C76" t="s">
        <v>97</v>
      </c>
      <c r="D76" t="s">
        <v>98</v>
      </c>
      <c r="E76" t="s">
        <v>556</v>
      </c>
      <c r="F76" t="s">
        <v>557</v>
      </c>
      <c r="G76">
        <v>1</v>
      </c>
      <c r="H76" t="s">
        <v>44</v>
      </c>
      <c r="I76">
        <v>0.52</v>
      </c>
      <c r="J76">
        <v>0.52</v>
      </c>
    </row>
    <row r="77" spans="1:10" x14ac:dyDescent="0.2">
      <c r="A77" t="s">
        <v>190</v>
      </c>
      <c r="B77" t="s">
        <v>186</v>
      </c>
      <c r="C77" t="s">
        <v>97</v>
      </c>
      <c r="D77" t="s">
        <v>98</v>
      </c>
      <c r="E77" t="s">
        <v>558</v>
      </c>
      <c r="F77" t="s">
        <v>559</v>
      </c>
      <c r="G77">
        <v>1</v>
      </c>
      <c r="H77" t="s">
        <v>44</v>
      </c>
      <c r="I77">
        <v>1</v>
      </c>
      <c r="J77">
        <v>1</v>
      </c>
    </row>
    <row r="78" spans="1:10" x14ac:dyDescent="0.2">
      <c r="A78" t="s">
        <v>190</v>
      </c>
      <c r="B78" t="s">
        <v>186</v>
      </c>
      <c r="C78" t="s">
        <v>97</v>
      </c>
      <c r="D78" t="s">
        <v>98</v>
      </c>
      <c r="E78" t="s">
        <v>560</v>
      </c>
      <c r="F78" t="s">
        <v>561</v>
      </c>
      <c r="G78">
        <v>1</v>
      </c>
      <c r="H78" t="s">
        <v>44</v>
      </c>
      <c r="I78">
        <v>13</v>
      </c>
      <c r="J78">
        <v>13</v>
      </c>
    </row>
    <row r="79" spans="1:10" x14ac:dyDescent="0.2">
      <c r="A79" t="s">
        <v>190</v>
      </c>
      <c r="B79" t="s">
        <v>186</v>
      </c>
      <c r="C79" t="s">
        <v>97</v>
      </c>
      <c r="D79" t="s">
        <v>98</v>
      </c>
      <c r="E79" t="s">
        <v>509</v>
      </c>
      <c r="F79" t="s">
        <v>510</v>
      </c>
      <c r="G79">
        <v>1</v>
      </c>
      <c r="H79" t="s">
        <v>44</v>
      </c>
      <c r="I79">
        <v>13</v>
      </c>
      <c r="J79">
        <v>13</v>
      </c>
    </row>
    <row r="80" spans="1:10" x14ac:dyDescent="0.2">
      <c r="A80" t="s">
        <v>190</v>
      </c>
      <c r="B80" t="s">
        <v>186</v>
      </c>
      <c r="C80" t="s">
        <v>97</v>
      </c>
      <c r="D80" t="s">
        <v>98</v>
      </c>
      <c r="E80" t="s">
        <v>562</v>
      </c>
      <c r="F80" t="s">
        <v>563</v>
      </c>
      <c r="G80">
        <v>1</v>
      </c>
      <c r="H80" t="s">
        <v>44</v>
      </c>
      <c r="I80">
        <v>6</v>
      </c>
      <c r="J80">
        <v>6</v>
      </c>
    </row>
    <row r="81" spans="1:10" x14ac:dyDescent="0.2">
      <c r="A81" t="s">
        <v>190</v>
      </c>
      <c r="B81" t="s">
        <v>186</v>
      </c>
      <c r="C81" t="s">
        <v>97</v>
      </c>
      <c r="D81" t="s">
        <v>98</v>
      </c>
      <c r="E81" t="s">
        <v>564</v>
      </c>
      <c r="F81" t="s">
        <v>565</v>
      </c>
      <c r="G81">
        <v>1</v>
      </c>
      <c r="H81" t="s">
        <v>44</v>
      </c>
      <c r="I81">
        <v>2</v>
      </c>
      <c r="J81">
        <v>2</v>
      </c>
    </row>
    <row r="82" spans="1:10" x14ac:dyDescent="0.2">
      <c r="A82" t="s">
        <v>190</v>
      </c>
      <c r="B82" t="s">
        <v>186</v>
      </c>
      <c r="C82" t="s">
        <v>97</v>
      </c>
      <c r="D82" t="s">
        <v>98</v>
      </c>
      <c r="E82" t="s">
        <v>475</v>
      </c>
      <c r="F82" t="s">
        <v>476</v>
      </c>
      <c r="G82">
        <v>1</v>
      </c>
      <c r="H82" t="s">
        <v>44</v>
      </c>
      <c r="I82">
        <v>149</v>
      </c>
      <c r="J82">
        <v>149</v>
      </c>
    </row>
    <row r="83" spans="1:10" x14ac:dyDescent="0.2">
      <c r="A83" t="s">
        <v>190</v>
      </c>
      <c r="B83" t="s">
        <v>186</v>
      </c>
      <c r="C83" t="s">
        <v>97</v>
      </c>
      <c r="D83" t="s">
        <v>98</v>
      </c>
      <c r="E83" t="s">
        <v>566</v>
      </c>
      <c r="F83" t="s">
        <v>567</v>
      </c>
      <c r="G83">
        <v>1</v>
      </c>
      <c r="H83" t="s">
        <v>44</v>
      </c>
      <c r="I83">
        <v>5</v>
      </c>
      <c r="J83">
        <v>5</v>
      </c>
    </row>
    <row r="84" spans="1:10" x14ac:dyDescent="0.2">
      <c r="A84" t="s">
        <v>190</v>
      </c>
      <c r="B84" t="s">
        <v>186</v>
      </c>
      <c r="C84" t="s">
        <v>97</v>
      </c>
      <c r="D84" t="s">
        <v>98</v>
      </c>
      <c r="E84" t="s">
        <v>568</v>
      </c>
      <c r="F84" t="s">
        <v>569</v>
      </c>
      <c r="G84">
        <v>1</v>
      </c>
      <c r="H84" t="s">
        <v>44</v>
      </c>
      <c r="I84">
        <v>2</v>
      </c>
      <c r="J84">
        <v>2</v>
      </c>
    </row>
    <row r="85" spans="1:10" x14ac:dyDescent="0.2">
      <c r="A85" t="s">
        <v>190</v>
      </c>
      <c r="B85" t="s">
        <v>186</v>
      </c>
      <c r="C85" t="s">
        <v>97</v>
      </c>
      <c r="D85" t="s">
        <v>98</v>
      </c>
      <c r="E85" t="s">
        <v>570</v>
      </c>
      <c r="F85" t="s">
        <v>571</v>
      </c>
      <c r="G85">
        <v>1</v>
      </c>
      <c r="H85" t="s">
        <v>44</v>
      </c>
      <c r="I85">
        <v>19</v>
      </c>
      <c r="J85">
        <v>19</v>
      </c>
    </row>
    <row r="86" spans="1:10" x14ac:dyDescent="0.2">
      <c r="A86" t="s">
        <v>190</v>
      </c>
      <c r="B86" t="s">
        <v>186</v>
      </c>
      <c r="C86" t="s">
        <v>97</v>
      </c>
      <c r="D86" t="s">
        <v>98</v>
      </c>
      <c r="E86" t="s">
        <v>572</v>
      </c>
      <c r="F86" t="s">
        <v>573</v>
      </c>
      <c r="G86">
        <v>1</v>
      </c>
      <c r="H86" t="s">
        <v>44</v>
      </c>
      <c r="I86">
        <v>65</v>
      </c>
      <c r="J86">
        <v>65</v>
      </c>
    </row>
    <row r="87" spans="1:10" x14ac:dyDescent="0.2">
      <c r="A87" t="s">
        <v>126</v>
      </c>
      <c r="B87" t="s">
        <v>125</v>
      </c>
      <c r="C87" t="s">
        <v>97</v>
      </c>
      <c r="D87" t="s">
        <v>98</v>
      </c>
      <c r="E87" t="s">
        <v>477</v>
      </c>
      <c r="F87" t="s">
        <v>478</v>
      </c>
      <c r="G87">
        <v>1</v>
      </c>
      <c r="H87" t="s">
        <v>44</v>
      </c>
      <c r="I87">
        <v>570</v>
      </c>
      <c r="J87">
        <v>570</v>
      </c>
    </row>
    <row r="88" spans="1:10" x14ac:dyDescent="0.2">
      <c r="A88" t="s">
        <v>123</v>
      </c>
      <c r="B88" t="s">
        <v>118</v>
      </c>
      <c r="C88" t="s">
        <v>97</v>
      </c>
      <c r="D88" t="s">
        <v>98</v>
      </c>
      <c r="E88" t="s">
        <v>467</v>
      </c>
      <c r="F88" t="s">
        <v>468</v>
      </c>
      <c r="G88">
        <v>1</v>
      </c>
      <c r="H88" t="s">
        <v>44</v>
      </c>
      <c r="I88">
        <v>432</v>
      </c>
      <c r="J88">
        <v>432</v>
      </c>
    </row>
    <row r="89" spans="1:10" x14ac:dyDescent="0.2">
      <c r="A89" t="s">
        <v>136</v>
      </c>
      <c r="B89" t="s">
        <v>125</v>
      </c>
      <c r="C89" t="s">
        <v>97</v>
      </c>
      <c r="D89" t="s">
        <v>98</v>
      </c>
      <c r="E89" t="s">
        <v>574</v>
      </c>
      <c r="F89" t="s">
        <v>575</v>
      </c>
      <c r="G89">
        <v>1</v>
      </c>
      <c r="H89" t="s">
        <v>44</v>
      </c>
      <c r="I89">
        <v>12</v>
      </c>
      <c r="J89">
        <v>12</v>
      </c>
    </row>
    <row r="90" spans="1:10" x14ac:dyDescent="0.2">
      <c r="A90" t="s">
        <v>136</v>
      </c>
      <c r="B90" t="s">
        <v>125</v>
      </c>
      <c r="C90" t="s">
        <v>97</v>
      </c>
      <c r="D90" t="s">
        <v>98</v>
      </c>
      <c r="E90" t="s">
        <v>558</v>
      </c>
      <c r="F90" t="s">
        <v>559</v>
      </c>
      <c r="G90">
        <v>2</v>
      </c>
      <c r="H90" t="s">
        <v>44</v>
      </c>
      <c r="I90">
        <v>1</v>
      </c>
      <c r="J90">
        <v>2</v>
      </c>
    </row>
    <row r="91" spans="1:10" x14ac:dyDescent="0.2">
      <c r="A91" t="s">
        <v>136</v>
      </c>
      <c r="B91" t="s">
        <v>125</v>
      </c>
      <c r="C91" t="s">
        <v>97</v>
      </c>
      <c r="D91" t="s">
        <v>98</v>
      </c>
      <c r="E91" t="s">
        <v>495</v>
      </c>
      <c r="F91" t="s">
        <v>496</v>
      </c>
      <c r="G91">
        <v>1</v>
      </c>
      <c r="H91" t="s">
        <v>44</v>
      </c>
      <c r="I91">
        <v>501</v>
      </c>
      <c r="J91">
        <v>501</v>
      </c>
    </row>
    <row r="92" spans="1:10" x14ac:dyDescent="0.2">
      <c r="A92" t="s">
        <v>136</v>
      </c>
      <c r="B92" t="s">
        <v>125</v>
      </c>
      <c r="C92" t="s">
        <v>97</v>
      </c>
      <c r="D92" t="s">
        <v>98</v>
      </c>
      <c r="E92" t="s">
        <v>521</v>
      </c>
      <c r="F92" t="s">
        <v>522</v>
      </c>
      <c r="G92">
        <v>1</v>
      </c>
      <c r="H92" t="s">
        <v>44</v>
      </c>
      <c r="I92">
        <v>19</v>
      </c>
      <c r="J92">
        <v>19</v>
      </c>
    </row>
    <row r="93" spans="1:10" x14ac:dyDescent="0.2">
      <c r="A93" t="s">
        <v>136</v>
      </c>
      <c r="B93" t="s">
        <v>125</v>
      </c>
      <c r="C93" t="s">
        <v>97</v>
      </c>
      <c r="D93" t="s">
        <v>98</v>
      </c>
      <c r="E93" t="s">
        <v>511</v>
      </c>
      <c r="F93" t="s">
        <v>512</v>
      </c>
      <c r="G93">
        <v>1</v>
      </c>
      <c r="H93" t="s">
        <v>44</v>
      </c>
      <c r="I93">
        <v>11</v>
      </c>
      <c r="J93">
        <v>11</v>
      </c>
    </row>
    <row r="94" spans="1:10" x14ac:dyDescent="0.2">
      <c r="A94" t="s">
        <v>136</v>
      </c>
      <c r="B94" t="s">
        <v>125</v>
      </c>
      <c r="C94" t="s">
        <v>97</v>
      </c>
      <c r="D94" t="s">
        <v>98</v>
      </c>
      <c r="E94" t="s">
        <v>471</v>
      </c>
      <c r="F94" t="s">
        <v>472</v>
      </c>
      <c r="G94">
        <v>1</v>
      </c>
      <c r="H94" t="s">
        <v>44</v>
      </c>
      <c r="I94">
        <v>147</v>
      </c>
      <c r="J94">
        <v>147</v>
      </c>
    </row>
    <row r="95" spans="1:10" x14ac:dyDescent="0.2">
      <c r="A95" t="s">
        <v>136</v>
      </c>
      <c r="B95" t="s">
        <v>125</v>
      </c>
      <c r="C95" t="s">
        <v>97</v>
      </c>
      <c r="D95" t="s">
        <v>98</v>
      </c>
      <c r="E95" t="s">
        <v>576</v>
      </c>
      <c r="F95" t="s">
        <v>577</v>
      </c>
      <c r="G95">
        <v>1</v>
      </c>
      <c r="H95" t="s">
        <v>44</v>
      </c>
      <c r="I95">
        <v>10</v>
      </c>
      <c r="J95">
        <v>10</v>
      </c>
    </row>
    <row r="96" spans="1:10" x14ac:dyDescent="0.2">
      <c r="A96" t="s">
        <v>136</v>
      </c>
      <c r="B96" t="s">
        <v>125</v>
      </c>
      <c r="C96" t="s">
        <v>97</v>
      </c>
      <c r="D96" t="s">
        <v>98</v>
      </c>
      <c r="E96" t="s">
        <v>578</v>
      </c>
      <c r="F96" t="s">
        <v>579</v>
      </c>
      <c r="G96">
        <v>1</v>
      </c>
      <c r="H96" t="s">
        <v>44</v>
      </c>
      <c r="I96">
        <v>90</v>
      </c>
      <c r="J96">
        <v>90</v>
      </c>
    </row>
    <row r="97" spans="1:10" x14ac:dyDescent="0.2">
      <c r="A97" t="s">
        <v>136</v>
      </c>
      <c r="B97" t="s">
        <v>125</v>
      </c>
      <c r="C97" t="s">
        <v>97</v>
      </c>
      <c r="D97" t="s">
        <v>98</v>
      </c>
      <c r="E97" t="s">
        <v>541</v>
      </c>
      <c r="F97" t="s">
        <v>542</v>
      </c>
      <c r="G97">
        <v>1</v>
      </c>
      <c r="H97" t="s">
        <v>44</v>
      </c>
      <c r="I97">
        <v>11</v>
      </c>
      <c r="J97">
        <v>11</v>
      </c>
    </row>
    <row r="98" spans="1:10" x14ac:dyDescent="0.2">
      <c r="A98" t="s">
        <v>136</v>
      </c>
      <c r="B98" t="s">
        <v>125</v>
      </c>
      <c r="C98" t="s">
        <v>97</v>
      </c>
      <c r="D98" t="s">
        <v>98</v>
      </c>
      <c r="E98" t="s">
        <v>580</v>
      </c>
      <c r="F98" t="s">
        <v>581</v>
      </c>
      <c r="G98">
        <v>1</v>
      </c>
      <c r="H98" t="s">
        <v>44</v>
      </c>
      <c r="I98">
        <v>0.17</v>
      </c>
      <c r="J98">
        <v>0.17</v>
      </c>
    </row>
    <row r="99" spans="1:10" x14ac:dyDescent="0.2">
      <c r="A99" t="s">
        <v>136</v>
      </c>
      <c r="B99" t="s">
        <v>125</v>
      </c>
      <c r="C99" t="s">
        <v>97</v>
      </c>
      <c r="D99" t="s">
        <v>98</v>
      </c>
      <c r="E99" t="s">
        <v>481</v>
      </c>
      <c r="F99" t="s">
        <v>482</v>
      </c>
      <c r="G99">
        <v>4</v>
      </c>
      <c r="H99" t="s">
        <v>44</v>
      </c>
      <c r="I99">
        <v>11</v>
      </c>
      <c r="J99">
        <v>44</v>
      </c>
    </row>
    <row r="100" spans="1:10" x14ac:dyDescent="0.2">
      <c r="A100" t="s">
        <v>136</v>
      </c>
      <c r="B100" t="s">
        <v>125</v>
      </c>
      <c r="C100" t="s">
        <v>97</v>
      </c>
      <c r="D100" t="s">
        <v>98</v>
      </c>
      <c r="E100" t="s">
        <v>543</v>
      </c>
      <c r="F100" t="s">
        <v>474</v>
      </c>
      <c r="G100">
        <v>1</v>
      </c>
      <c r="H100" t="s">
        <v>44</v>
      </c>
      <c r="I100">
        <v>80</v>
      </c>
      <c r="J100">
        <v>80</v>
      </c>
    </row>
    <row r="101" spans="1:10" x14ac:dyDescent="0.2">
      <c r="A101" t="s">
        <v>136</v>
      </c>
      <c r="B101" t="s">
        <v>125</v>
      </c>
      <c r="C101" t="s">
        <v>97</v>
      </c>
      <c r="D101" t="s">
        <v>98</v>
      </c>
      <c r="E101" t="s">
        <v>483</v>
      </c>
      <c r="F101" t="s">
        <v>484</v>
      </c>
      <c r="G101">
        <v>4</v>
      </c>
      <c r="H101" t="s">
        <v>44</v>
      </c>
      <c r="I101">
        <v>11</v>
      </c>
      <c r="J101">
        <v>44</v>
      </c>
    </row>
    <row r="102" spans="1:10" x14ac:dyDescent="0.2">
      <c r="A102" t="s">
        <v>136</v>
      </c>
      <c r="B102" t="s">
        <v>125</v>
      </c>
      <c r="C102" t="s">
        <v>97</v>
      </c>
      <c r="D102" t="s">
        <v>98</v>
      </c>
      <c r="E102" t="s">
        <v>509</v>
      </c>
      <c r="F102" t="s">
        <v>510</v>
      </c>
      <c r="G102">
        <v>2</v>
      </c>
      <c r="H102" t="s">
        <v>44</v>
      </c>
      <c r="I102">
        <v>13</v>
      </c>
      <c r="J102">
        <v>26</v>
      </c>
    </row>
    <row r="103" spans="1:10" x14ac:dyDescent="0.2">
      <c r="A103" t="s">
        <v>136</v>
      </c>
      <c r="B103" t="s">
        <v>125</v>
      </c>
      <c r="C103" t="s">
        <v>97</v>
      </c>
      <c r="D103" t="s">
        <v>98</v>
      </c>
      <c r="E103" t="s">
        <v>560</v>
      </c>
      <c r="F103" t="s">
        <v>561</v>
      </c>
      <c r="G103">
        <v>1</v>
      </c>
      <c r="H103" t="s">
        <v>44</v>
      </c>
      <c r="I103">
        <v>13</v>
      </c>
      <c r="J103">
        <v>13</v>
      </c>
    </row>
    <row r="104" spans="1:10" x14ac:dyDescent="0.2">
      <c r="A104" t="s">
        <v>136</v>
      </c>
      <c r="B104" t="s">
        <v>125</v>
      </c>
      <c r="C104" t="s">
        <v>97</v>
      </c>
      <c r="D104" t="s">
        <v>98</v>
      </c>
      <c r="E104" t="s">
        <v>527</v>
      </c>
      <c r="F104" t="s">
        <v>528</v>
      </c>
      <c r="G104">
        <v>2</v>
      </c>
      <c r="H104" t="s">
        <v>44</v>
      </c>
      <c r="I104">
        <v>1</v>
      </c>
      <c r="J104">
        <v>2</v>
      </c>
    </row>
    <row r="105" spans="1:10" x14ac:dyDescent="0.2">
      <c r="A105" t="s">
        <v>136</v>
      </c>
      <c r="B105" t="s">
        <v>125</v>
      </c>
      <c r="C105" t="s">
        <v>97</v>
      </c>
      <c r="D105" t="s">
        <v>98</v>
      </c>
      <c r="E105" t="s">
        <v>582</v>
      </c>
      <c r="F105" t="s">
        <v>583</v>
      </c>
      <c r="G105">
        <v>1</v>
      </c>
      <c r="H105" t="s">
        <v>44</v>
      </c>
      <c r="I105">
        <v>5</v>
      </c>
      <c r="J105">
        <v>5</v>
      </c>
    </row>
    <row r="106" spans="1:10" x14ac:dyDescent="0.2">
      <c r="A106" t="s">
        <v>136</v>
      </c>
      <c r="B106" t="s">
        <v>125</v>
      </c>
      <c r="C106" t="s">
        <v>97</v>
      </c>
      <c r="D106" t="s">
        <v>98</v>
      </c>
      <c r="E106" t="s">
        <v>546</v>
      </c>
      <c r="F106" t="s">
        <v>547</v>
      </c>
      <c r="G106">
        <v>1</v>
      </c>
      <c r="H106" t="s">
        <v>44</v>
      </c>
      <c r="I106">
        <v>11</v>
      </c>
      <c r="J106">
        <v>11</v>
      </c>
    </row>
    <row r="107" spans="1:10" x14ac:dyDescent="0.2">
      <c r="A107" t="s">
        <v>136</v>
      </c>
      <c r="B107" t="s">
        <v>125</v>
      </c>
      <c r="C107" t="s">
        <v>97</v>
      </c>
      <c r="D107" t="s">
        <v>98</v>
      </c>
      <c r="E107" t="s">
        <v>584</v>
      </c>
      <c r="F107" t="s">
        <v>585</v>
      </c>
      <c r="G107">
        <v>1</v>
      </c>
      <c r="H107" t="s">
        <v>44</v>
      </c>
      <c r="I107">
        <v>1</v>
      </c>
      <c r="J107">
        <v>1</v>
      </c>
    </row>
    <row r="108" spans="1:10" x14ac:dyDescent="0.2">
      <c r="A108" t="s">
        <v>136</v>
      </c>
      <c r="B108" t="s">
        <v>125</v>
      </c>
      <c r="C108" t="s">
        <v>97</v>
      </c>
      <c r="D108" t="s">
        <v>98</v>
      </c>
      <c r="E108" t="s">
        <v>586</v>
      </c>
      <c r="F108" t="s">
        <v>587</v>
      </c>
      <c r="G108">
        <v>1</v>
      </c>
      <c r="H108" t="s">
        <v>44</v>
      </c>
      <c r="I108">
        <v>19</v>
      </c>
      <c r="J108">
        <v>19</v>
      </c>
    </row>
    <row r="109" spans="1:10" x14ac:dyDescent="0.2">
      <c r="A109" t="s">
        <v>136</v>
      </c>
      <c r="B109" t="s">
        <v>125</v>
      </c>
      <c r="C109" t="s">
        <v>97</v>
      </c>
      <c r="D109" t="s">
        <v>98</v>
      </c>
      <c r="E109" t="s">
        <v>588</v>
      </c>
      <c r="F109" t="s">
        <v>589</v>
      </c>
      <c r="G109">
        <v>1</v>
      </c>
      <c r="H109" t="s">
        <v>44</v>
      </c>
      <c r="I109">
        <v>1</v>
      </c>
      <c r="J109">
        <v>1</v>
      </c>
    </row>
    <row r="110" spans="1:10" x14ac:dyDescent="0.2">
      <c r="A110" t="s">
        <v>177</v>
      </c>
      <c r="B110" t="s">
        <v>97</v>
      </c>
      <c r="C110" t="s">
        <v>97</v>
      </c>
      <c r="D110" t="s">
        <v>98</v>
      </c>
      <c r="E110" t="s">
        <v>558</v>
      </c>
      <c r="F110" t="s">
        <v>559</v>
      </c>
      <c r="G110">
        <v>1</v>
      </c>
      <c r="H110" t="s">
        <v>44</v>
      </c>
      <c r="I110">
        <v>1</v>
      </c>
      <c r="J110">
        <v>1</v>
      </c>
    </row>
    <row r="111" spans="1:10" x14ac:dyDescent="0.2">
      <c r="A111" t="s">
        <v>177</v>
      </c>
      <c r="B111" t="s">
        <v>97</v>
      </c>
      <c r="C111" t="s">
        <v>97</v>
      </c>
      <c r="D111" t="s">
        <v>98</v>
      </c>
      <c r="E111" t="s">
        <v>509</v>
      </c>
      <c r="F111" t="s">
        <v>510</v>
      </c>
      <c r="G111">
        <v>2</v>
      </c>
      <c r="H111" t="s">
        <v>44</v>
      </c>
      <c r="I111">
        <v>13</v>
      </c>
      <c r="J111">
        <v>26</v>
      </c>
    </row>
    <row r="112" spans="1:10" x14ac:dyDescent="0.2">
      <c r="A112" t="s">
        <v>177</v>
      </c>
      <c r="B112" t="s">
        <v>97</v>
      </c>
      <c r="C112" t="s">
        <v>97</v>
      </c>
      <c r="D112" t="s">
        <v>98</v>
      </c>
      <c r="E112" t="s">
        <v>467</v>
      </c>
      <c r="F112" t="s">
        <v>468</v>
      </c>
      <c r="G112">
        <v>1</v>
      </c>
      <c r="H112" t="s">
        <v>44</v>
      </c>
      <c r="I112">
        <v>432</v>
      </c>
      <c r="J112">
        <v>432</v>
      </c>
    </row>
    <row r="113" spans="1:10" x14ac:dyDescent="0.2">
      <c r="A113" t="s">
        <v>177</v>
      </c>
      <c r="B113" t="s">
        <v>97</v>
      </c>
      <c r="C113" t="s">
        <v>97</v>
      </c>
      <c r="D113" t="s">
        <v>98</v>
      </c>
      <c r="E113" t="s">
        <v>483</v>
      </c>
      <c r="F113" t="s">
        <v>484</v>
      </c>
      <c r="G113">
        <v>2</v>
      </c>
      <c r="H113" t="s">
        <v>44</v>
      </c>
      <c r="I113">
        <v>11</v>
      </c>
      <c r="J113">
        <v>22</v>
      </c>
    </row>
    <row r="114" spans="1:10" x14ac:dyDescent="0.2">
      <c r="A114" t="s">
        <v>177</v>
      </c>
      <c r="B114" t="s">
        <v>97</v>
      </c>
      <c r="C114" t="s">
        <v>97</v>
      </c>
      <c r="D114" t="s">
        <v>98</v>
      </c>
      <c r="E114" t="s">
        <v>481</v>
      </c>
      <c r="F114" t="s">
        <v>482</v>
      </c>
      <c r="G114">
        <v>4</v>
      </c>
      <c r="H114" t="s">
        <v>44</v>
      </c>
      <c r="I114">
        <v>11</v>
      </c>
      <c r="J114">
        <v>44</v>
      </c>
    </row>
    <row r="115" spans="1:10" x14ac:dyDescent="0.2">
      <c r="A115" t="s">
        <v>178</v>
      </c>
      <c r="B115" t="s">
        <v>97</v>
      </c>
      <c r="C115" t="s">
        <v>97</v>
      </c>
      <c r="D115" t="s">
        <v>98</v>
      </c>
      <c r="E115" t="s">
        <v>590</v>
      </c>
      <c r="F115" t="s">
        <v>591</v>
      </c>
      <c r="G115">
        <v>8</v>
      </c>
      <c r="H115" t="s">
        <v>44</v>
      </c>
      <c r="I115">
        <v>141.56</v>
      </c>
      <c r="J115">
        <v>1132.48</v>
      </c>
    </row>
    <row r="116" spans="1:10" x14ac:dyDescent="0.2">
      <c r="A116" t="s">
        <v>134</v>
      </c>
      <c r="B116" t="s">
        <v>97</v>
      </c>
      <c r="C116" t="s">
        <v>97</v>
      </c>
      <c r="D116" t="s">
        <v>98</v>
      </c>
      <c r="E116" t="s">
        <v>592</v>
      </c>
      <c r="F116" t="s">
        <v>593</v>
      </c>
      <c r="G116">
        <v>1</v>
      </c>
      <c r="H116" t="s">
        <v>44</v>
      </c>
      <c r="I116">
        <v>181.44</v>
      </c>
      <c r="J116">
        <v>181.44</v>
      </c>
    </row>
    <row r="117" spans="1:10" x14ac:dyDescent="0.2">
      <c r="A117" t="s">
        <v>132</v>
      </c>
      <c r="B117" t="s">
        <v>97</v>
      </c>
      <c r="C117" t="s">
        <v>97</v>
      </c>
      <c r="D117" t="s">
        <v>98</v>
      </c>
      <c r="E117" t="s">
        <v>505</v>
      </c>
      <c r="F117" t="s">
        <v>506</v>
      </c>
      <c r="G117">
        <v>1</v>
      </c>
      <c r="H117" t="s">
        <v>44</v>
      </c>
      <c r="I117">
        <v>224</v>
      </c>
      <c r="J117">
        <v>224</v>
      </c>
    </row>
    <row r="118" spans="1:10" x14ac:dyDescent="0.2">
      <c r="A118" t="s">
        <v>128</v>
      </c>
      <c r="B118" t="s">
        <v>97</v>
      </c>
      <c r="C118" t="s">
        <v>97</v>
      </c>
      <c r="D118" t="s">
        <v>98</v>
      </c>
      <c r="E118" t="s">
        <v>505</v>
      </c>
      <c r="F118" t="s">
        <v>506</v>
      </c>
      <c r="G118">
        <v>1</v>
      </c>
      <c r="H118" t="s">
        <v>44</v>
      </c>
      <c r="I118">
        <v>224</v>
      </c>
      <c r="J118">
        <v>224</v>
      </c>
    </row>
    <row r="119" spans="1:10" x14ac:dyDescent="0.2">
      <c r="A119" t="s">
        <v>130</v>
      </c>
      <c r="B119" t="s">
        <v>118</v>
      </c>
      <c r="C119" t="s">
        <v>97</v>
      </c>
      <c r="D119" t="s">
        <v>98</v>
      </c>
      <c r="E119" t="s">
        <v>467</v>
      </c>
      <c r="F119" t="s">
        <v>468</v>
      </c>
      <c r="G119">
        <v>1</v>
      </c>
      <c r="H119" t="s">
        <v>44</v>
      </c>
      <c r="I119">
        <v>432</v>
      </c>
      <c r="J119">
        <v>432</v>
      </c>
    </row>
    <row r="120" spans="1:10" x14ac:dyDescent="0.2">
      <c r="A120" t="s">
        <v>138</v>
      </c>
      <c r="B120" t="s">
        <v>97</v>
      </c>
      <c r="C120" t="s">
        <v>97</v>
      </c>
      <c r="D120" t="s">
        <v>98</v>
      </c>
      <c r="E120" t="s">
        <v>503</v>
      </c>
      <c r="F120" t="s">
        <v>500</v>
      </c>
      <c r="G120">
        <v>1</v>
      </c>
      <c r="H120" t="s">
        <v>44</v>
      </c>
      <c r="I120">
        <v>261.25</v>
      </c>
      <c r="J120">
        <v>261.25</v>
      </c>
    </row>
    <row r="121" spans="1:10" x14ac:dyDescent="0.2">
      <c r="A121" t="s">
        <v>147</v>
      </c>
      <c r="B121" t="s">
        <v>118</v>
      </c>
      <c r="C121" t="s">
        <v>97</v>
      </c>
      <c r="D121" t="s">
        <v>98</v>
      </c>
      <c r="E121" t="s">
        <v>594</v>
      </c>
      <c r="F121" t="s">
        <v>595</v>
      </c>
      <c r="G121">
        <v>1</v>
      </c>
      <c r="H121" t="s">
        <v>44</v>
      </c>
      <c r="I121">
        <v>117</v>
      </c>
      <c r="J121">
        <v>117</v>
      </c>
    </row>
    <row r="122" spans="1:10" x14ac:dyDescent="0.2">
      <c r="A122" t="s">
        <v>152</v>
      </c>
      <c r="B122" t="s">
        <v>151</v>
      </c>
      <c r="C122" t="s">
        <v>97</v>
      </c>
      <c r="D122" t="s">
        <v>98</v>
      </c>
      <c r="E122" t="s">
        <v>596</v>
      </c>
      <c r="F122" t="s">
        <v>597</v>
      </c>
      <c r="G122">
        <v>2</v>
      </c>
      <c r="H122" t="s">
        <v>44</v>
      </c>
      <c r="I122">
        <v>0.22</v>
      </c>
      <c r="J122">
        <v>0.44</v>
      </c>
    </row>
    <row r="123" spans="1:10" x14ac:dyDescent="0.2">
      <c r="A123" t="s">
        <v>152</v>
      </c>
      <c r="B123" t="s">
        <v>151</v>
      </c>
      <c r="C123" t="s">
        <v>97</v>
      </c>
      <c r="D123" t="s">
        <v>98</v>
      </c>
      <c r="E123" t="s">
        <v>485</v>
      </c>
      <c r="F123" t="s">
        <v>486</v>
      </c>
      <c r="G123">
        <v>1</v>
      </c>
      <c r="H123" t="s">
        <v>44</v>
      </c>
      <c r="I123">
        <v>72.8</v>
      </c>
      <c r="J123">
        <v>72.8</v>
      </c>
    </row>
    <row r="124" spans="1:10" x14ac:dyDescent="0.2">
      <c r="A124" t="s">
        <v>152</v>
      </c>
      <c r="B124" t="s">
        <v>151</v>
      </c>
      <c r="C124" t="s">
        <v>97</v>
      </c>
      <c r="D124" t="s">
        <v>98</v>
      </c>
      <c r="E124" t="s">
        <v>501</v>
      </c>
      <c r="F124" t="s">
        <v>502</v>
      </c>
      <c r="G124">
        <v>1</v>
      </c>
      <c r="H124" t="s">
        <v>44</v>
      </c>
      <c r="I124">
        <v>10.08</v>
      </c>
      <c r="J124">
        <v>10.08</v>
      </c>
    </row>
    <row r="125" spans="1:10" x14ac:dyDescent="0.2">
      <c r="A125" t="s">
        <v>149</v>
      </c>
      <c r="B125" t="s">
        <v>107</v>
      </c>
      <c r="C125" t="s">
        <v>97</v>
      </c>
      <c r="D125" t="s">
        <v>98</v>
      </c>
      <c r="E125" t="s">
        <v>598</v>
      </c>
      <c r="F125" t="s">
        <v>599</v>
      </c>
      <c r="G125">
        <v>1</v>
      </c>
      <c r="H125" t="s">
        <v>44</v>
      </c>
      <c r="I125">
        <v>422.24</v>
      </c>
      <c r="J125">
        <v>422.24</v>
      </c>
    </row>
    <row r="126" spans="1:10" x14ac:dyDescent="0.2">
      <c r="A126" t="s">
        <v>143</v>
      </c>
      <c r="B126" t="s">
        <v>142</v>
      </c>
      <c r="C126" t="s">
        <v>97</v>
      </c>
      <c r="D126" t="s">
        <v>98</v>
      </c>
      <c r="E126" t="s">
        <v>477</v>
      </c>
      <c r="F126" t="s">
        <v>478</v>
      </c>
      <c r="G126">
        <v>1</v>
      </c>
      <c r="H126" t="s">
        <v>44</v>
      </c>
      <c r="I126">
        <v>570</v>
      </c>
      <c r="J126">
        <v>570</v>
      </c>
    </row>
    <row r="127" spans="1:10" x14ac:dyDescent="0.2">
      <c r="A127" t="s">
        <v>140</v>
      </c>
      <c r="B127" t="s">
        <v>125</v>
      </c>
      <c r="C127" t="s">
        <v>97</v>
      </c>
      <c r="D127" t="s">
        <v>98</v>
      </c>
      <c r="E127" t="s">
        <v>578</v>
      </c>
      <c r="F127" t="s">
        <v>579</v>
      </c>
      <c r="G127">
        <v>1</v>
      </c>
      <c r="H127" t="s">
        <v>44</v>
      </c>
      <c r="I127">
        <v>90</v>
      </c>
      <c r="J127">
        <v>90</v>
      </c>
    </row>
    <row r="128" spans="1:10" x14ac:dyDescent="0.2">
      <c r="A128" t="s">
        <v>159</v>
      </c>
      <c r="B128" t="s">
        <v>97</v>
      </c>
      <c r="C128" t="s">
        <v>97</v>
      </c>
      <c r="D128" t="s">
        <v>98</v>
      </c>
      <c r="E128" t="s">
        <v>555</v>
      </c>
      <c r="F128" t="s">
        <v>536</v>
      </c>
      <c r="G128">
        <v>1</v>
      </c>
      <c r="H128" t="s">
        <v>44</v>
      </c>
      <c r="I128">
        <v>15</v>
      </c>
      <c r="J128">
        <v>15</v>
      </c>
    </row>
    <row r="129" spans="1:10" x14ac:dyDescent="0.2">
      <c r="A129" t="s">
        <v>159</v>
      </c>
      <c r="B129" t="s">
        <v>97</v>
      </c>
      <c r="C129" t="s">
        <v>97</v>
      </c>
      <c r="D129" t="s">
        <v>98</v>
      </c>
      <c r="E129" t="s">
        <v>600</v>
      </c>
      <c r="F129" t="s">
        <v>601</v>
      </c>
      <c r="G129">
        <v>1</v>
      </c>
      <c r="H129" t="s">
        <v>44</v>
      </c>
      <c r="I129">
        <v>19</v>
      </c>
      <c r="J129">
        <v>19</v>
      </c>
    </row>
    <row r="130" spans="1:10" x14ac:dyDescent="0.2">
      <c r="A130" t="s">
        <v>159</v>
      </c>
      <c r="B130" t="s">
        <v>97</v>
      </c>
      <c r="C130" t="s">
        <v>97</v>
      </c>
      <c r="D130" t="s">
        <v>98</v>
      </c>
      <c r="E130" t="s">
        <v>481</v>
      </c>
      <c r="F130" t="s">
        <v>482</v>
      </c>
      <c r="G130">
        <v>4</v>
      </c>
      <c r="H130" t="s">
        <v>44</v>
      </c>
      <c r="I130">
        <v>11</v>
      </c>
      <c r="J130">
        <v>44</v>
      </c>
    </row>
    <row r="131" spans="1:10" x14ac:dyDescent="0.2">
      <c r="A131" t="s">
        <v>159</v>
      </c>
      <c r="B131" t="s">
        <v>97</v>
      </c>
      <c r="C131" t="s">
        <v>97</v>
      </c>
      <c r="D131" t="s">
        <v>98</v>
      </c>
      <c r="E131" t="s">
        <v>495</v>
      </c>
      <c r="F131" t="s">
        <v>496</v>
      </c>
      <c r="G131">
        <v>1</v>
      </c>
      <c r="H131" t="s">
        <v>44</v>
      </c>
      <c r="I131">
        <v>501</v>
      </c>
      <c r="J131">
        <v>501</v>
      </c>
    </row>
    <row r="132" spans="1:10" x14ac:dyDescent="0.2">
      <c r="A132" t="s">
        <v>159</v>
      </c>
      <c r="B132" t="s">
        <v>97</v>
      </c>
      <c r="C132" t="s">
        <v>97</v>
      </c>
      <c r="D132" t="s">
        <v>98</v>
      </c>
      <c r="E132" t="s">
        <v>602</v>
      </c>
      <c r="F132" t="s">
        <v>603</v>
      </c>
      <c r="G132">
        <v>1</v>
      </c>
      <c r="H132" t="s">
        <v>44</v>
      </c>
      <c r="I132">
        <v>1</v>
      </c>
      <c r="J132">
        <v>1</v>
      </c>
    </row>
    <row r="133" spans="1:10" x14ac:dyDescent="0.2">
      <c r="A133" t="s">
        <v>159</v>
      </c>
      <c r="B133" t="s">
        <v>97</v>
      </c>
      <c r="C133" t="s">
        <v>97</v>
      </c>
      <c r="D133" t="s">
        <v>98</v>
      </c>
      <c r="E133" t="s">
        <v>483</v>
      </c>
      <c r="F133" t="s">
        <v>484</v>
      </c>
      <c r="G133">
        <v>4</v>
      </c>
      <c r="H133" t="s">
        <v>44</v>
      </c>
      <c r="I133">
        <v>11</v>
      </c>
      <c r="J133">
        <v>44</v>
      </c>
    </row>
    <row r="134" spans="1:10" x14ac:dyDescent="0.2">
      <c r="A134" t="s">
        <v>145</v>
      </c>
      <c r="B134" t="s">
        <v>97</v>
      </c>
      <c r="C134" t="s">
        <v>97</v>
      </c>
      <c r="D134" t="s">
        <v>98</v>
      </c>
      <c r="E134" t="s">
        <v>491</v>
      </c>
      <c r="F134" t="s">
        <v>492</v>
      </c>
      <c r="G134">
        <v>1</v>
      </c>
      <c r="H134" t="s">
        <v>44</v>
      </c>
      <c r="I134">
        <v>317</v>
      </c>
      <c r="J134">
        <v>317</v>
      </c>
    </row>
    <row r="135" spans="1:10" x14ac:dyDescent="0.2">
      <c r="A135" t="s">
        <v>157</v>
      </c>
      <c r="B135" t="s">
        <v>97</v>
      </c>
      <c r="C135" t="s">
        <v>97</v>
      </c>
      <c r="D135" t="s">
        <v>98</v>
      </c>
      <c r="E135" t="s">
        <v>491</v>
      </c>
      <c r="F135" t="s">
        <v>492</v>
      </c>
      <c r="G135">
        <v>1</v>
      </c>
      <c r="H135" t="s">
        <v>44</v>
      </c>
      <c r="I135">
        <v>317</v>
      </c>
      <c r="J135">
        <v>317</v>
      </c>
    </row>
    <row r="136" spans="1:10" x14ac:dyDescent="0.2">
      <c r="A136" t="s">
        <v>155</v>
      </c>
      <c r="B136" t="s">
        <v>154</v>
      </c>
      <c r="C136" t="s">
        <v>97</v>
      </c>
      <c r="D136" t="s">
        <v>98</v>
      </c>
      <c r="E136" t="s">
        <v>590</v>
      </c>
      <c r="F136" t="s">
        <v>591</v>
      </c>
      <c r="G136">
        <v>1</v>
      </c>
      <c r="H136" t="s">
        <v>44</v>
      </c>
      <c r="I136">
        <v>141.56</v>
      </c>
      <c r="J136">
        <v>141.56</v>
      </c>
    </row>
    <row r="137" spans="1:10" x14ac:dyDescent="0.2">
      <c r="A137" t="s">
        <v>155</v>
      </c>
      <c r="B137" t="s">
        <v>154</v>
      </c>
      <c r="C137" t="s">
        <v>97</v>
      </c>
      <c r="D137" t="s">
        <v>98</v>
      </c>
      <c r="E137" t="s">
        <v>604</v>
      </c>
      <c r="F137" t="s">
        <v>605</v>
      </c>
      <c r="G137">
        <v>2</v>
      </c>
      <c r="H137" t="s">
        <v>44</v>
      </c>
      <c r="I137">
        <v>2</v>
      </c>
      <c r="J137">
        <v>4</v>
      </c>
    </row>
    <row r="138" spans="1:10" x14ac:dyDescent="0.2">
      <c r="A138" t="s">
        <v>155</v>
      </c>
      <c r="B138" t="s">
        <v>154</v>
      </c>
      <c r="C138" t="s">
        <v>97</v>
      </c>
      <c r="D138" t="s">
        <v>98</v>
      </c>
      <c r="E138" t="s">
        <v>606</v>
      </c>
      <c r="F138" t="s">
        <v>607</v>
      </c>
      <c r="G138">
        <v>2</v>
      </c>
      <c r="H138" t="s">
        <v>44</v>
      </c>
      <c r="I138">
        <v>22.39</v>
      </c>
      <c r="J138">
        <v>44.78</v>
      </c>
    </row>
    <row r="139" spans="1:10" x14ac:dyDescent="0.2">
      <c r="A139" t="s">
        <v>155</v>
      </c>
      <c r="B139" t="s">
        <v>154</v>
      </c>
      <c r="C139" t="s">
        <v>97</v>
      </c>
      <c r="D139" t="s">
        <v>98</v>
      </c>
      <c r="E139" t="s">
        <v>471</v>
      </c>
      <c r="F139" t="s">
        <v>472</v>
      </c>
      <c r="G139">
        <v>1</v>
      </c>
      <c r="H139" t="s">
        <v>44</v>
      </c>
      <c r="I139">
        <v>147</v>
      </c>
      <c r="J139">
        <v>147</v>
      </c>
    </row>
    <row r="140" spans="1:10" x14ac:dyDescent="0.2">
      <c r="A140" t="s">
        <v>155</v>
      </c>
      <c r="B140" t="s">
        <v>154</v>
      </c>
      <c r="C140" t="s">
        <v>97</v>
      </c>
      <c r="D140" t="s">
        <v>98</v>
      </c>
      <c r="E140" t="s">
        <v>608</v>
      </c>
      <c r="F140" t="s">
        <v>609</v>
      </c>
      <c r="G140">
        <v>2</v>
      </c>
      <c r="H140" t="s">
        <v>44</v>
      </c>
      <c r="I140">
        <v>33</v>
      </c>
      <c r="J140">
        <v>66</v>
      </c>
    </row>
    <row r="141" spans="1:10" x14ac:dyDescent="0.2">
      <c r="A141" t="s">
        <v>155</v>
      </c>
      <c r="B141" t="s">
        <v>154</v>
      </c>
      <c r="C141" t="s">
        <v>97</v>
      </c>
      <c r="D141" t="s">
        <v>98</v>
      </c>
      <c r="E141" t="s">
        <v>610</v>
      </c>
      <c r="F141" t="s">
        <v>611</v>
      </c>
      <c r="G141">
        <v>2</v>
      </c>
      <c r="H141" t="s">
        <v>44</v>
      </c>
      <c r="I141">
        <v>2</v>
      </c>
      <c r="J141">
        <v>4</v>
      </c>
    </row>
    <row r="142" spans="1:10" x14ac:dyDescent="0.2">
      <c r="A142" t="s">
        <v>155</v>
      </c>
      <c r="B142" t="s">
        <v>154</v>
      </c>
      <c r="C142" t="s">
        <v>97</v>
      </c>
      <c r="D142" t="s">
        <v>98</v>
      </c>
      <c r="E142" t="s">
        <v>612</v>
      </c>
      <c r="F142" t="s">
        <v>613</v>
      </c>
      <c r="G142">
        <v>2</v>
      </c>
      <c r="H142" t="s">
        <v>44</v>
      </c>
      <c r="I142">
        <v>4</v>
      </c>
      <c r="J142">
        <v>8</v>
      </c>
    </row>
    <row r="143" spans="1:10" x14ac:dyDescent="0.2">
      <c r="A143" t="s">
        <v>196</v>
      </c>
      <c r="B143" t="s">
        <v>195</v>
      </c>
      <c r="C143" t="s">
        <v>97</v>
      </c>
      <c r="D143" t="s">
        <v>98</v>
      </c>
      <c r="E143" t="s">
        <v>511</v>
      </c>
      <c r="F143" t="s">
        <v>512</v>
      </c>
      <c r="G143">
        <v>1</v>
      </c>
      <c r="H143" t="s">
        <v>44</v>
      </c>
      <c r="I143">
        <v>11</v>
      </c>
      <c r="J143">
        <v>11</v>
      </c>
    </row>
    <row r="144" spans="1:10" x14ac:dyDescent="0.2">
      <c r="A144" t="s">
        <v>196</v>
      </c>
      <c r="B144" t="s">
        <v>195</v>
      </c>
      <c r="C144" t="s">
        <v>97</v>
      </c>
      <c r="D144" t="s">
        <v>98</v>
      </c>
      <c r="E144" t="s">
        <v>614</v>
      </c>
      <c r="F144" t="s">
        <v>615</v>
      </c>
      <c r="G144">
        <v>2</v>
      </c>
      <c r="H144" t="s">
        <v>44</v>
      </c>
      <c r="I144">
        <v>22.39</v>
      </c>
      <c r="J144">
        <v>44.78</v>
      </c>
    </row>
    <row r="145" spans="1:10" x14ac:dyDescent="0.2">
      <c r="A145" t="s">
        <v>196</v>
      </c>
      <c r="B145" t="s">
        <v>195</v>
      </c>
      <c r="C145" t="s">
        <v>97</v>
      </c>
      <c r="D145" t="s">
        <v>98</v>
      </c>
      <c r="E145" t="s">
        <v>616</v>
      </c>
      <c r="F145" t="s">
        <v>617</v>
      </c>
      <c r="G145">
        <v>2</v>
      </c>
      <c r="H145" t="s">
        <v>44</v>
      </c>
      <c r="I145">
        <v>22.39</v>
      </c>
      <c r="J145">
        <v>44.78</v>
      </c>
    </row>
    <row r="146" spans="1:10" x14ac:dyDescent="0.2">
      <c r="A146" t="s">
        <v>196</v>
      </c>
      <c r="B146" t="s">
        <v>195</v>
      </c>
      <c r="C146" t="s">
        <v>97</v>
      </c>
      <c r="D146" t="s">
        <v>98</v>
      </c>
      <c r="E146" t="s">
        <v>541</v>
      </c>
      <c r="F146" t="s">
        <v>542</v>
      </c>
      <c r="G146">
        <v>1</v>
      </c>
      <c r="H146" t="s">
        <v>44</v>
      </c>
      <c r="I146">
        <v>11</v>
      </c>
      <c r="J146">
        <v>11</v>
      </c>
    </row>
    <row r="147" spans="1:10" x14ac:dyDescent="0.2">
      <c r="A147" t="s">
        <v>196</v>
      </c>
      <c r="B147" t="s">
        <v>195</v>
      </c>
      <c r="C147" t="s">
        <v>97</v>
      </c>
      <c r="D147" t="s">
        <v>98</v>
      </c>
      <c r="E147" t="s">
        <v>495</v>
      </c>
      <c r="F147" t="s">
        <v>496</v>
      </c>
      <c r="G147">
        <v>1</v>
      </c>
      <c r="H147" t="s">
        <v>44</v>
      </c>
      <c r="I147">
        <v>501</v>
      </c>
      <c r="J147">
        <v>501</v>
      </c>
    </row>
    <row r="148" spans="1:10" x14ac:dyDescent="0.2">
      <c r="A148" t="s">
        <v>196</v>
      </c>
      <c r="B148" t="s">
        <v>195</v>
      </c>
      <c r="C148" t="s">
        <v>97</v>
      </c>
      <c r="D148" t="s">
        <v>98</v>
      </c>
      <c r="E148" t="s">
        <v>608</v>
      </c>
      <c r="F148" t="s">
        <v>609</v>
      </c>
      <c r="G148">
        <v>2</v>
      </c>
      <c r="H148" t="s">
        <v>44</v>
      </c>
      <c r="I148">
        <v>33</v>
      </c>
      <c r="J148">
        <v>66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1AE1-D239-4F21-A05F-1C70621F937F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30" t="s">
        <v>40</v>
      </c>
    </row>
    <row r="3" spans="1:17" x14ac:dyDescent="0.2">
      <c r="A3" s="27" t="s">
        <v>100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7FF4-A13E-4640-ADDD-27DCD34C0F6F}">
  <sheetPr codeName="Sheet12"/>
  <dimension ref="A1:Q2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2" max="13" width="9.125" customWidth="1"/>
    <col min="14" max="14" width="10.5" customWidth="1"/>
    <col min="17" max="17" width="9.125" customWidth="1"/>
  </cols>
  <sheetData>
    <row r="1" spans="1:17" s="27" customFormat="1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30" t="s">
        <v>40</v>
      </c>
    </row>
    <row r="2" spans="1:17" x14ac:dyDescent="0.2">
      <c r="A2" t="s">
        <v>618</v>
      </c>
      <c r="B2" s="59">
        <v>46007.479328703703</v>
      </c>
      <c r="C2" t="s">
        <v>98</v>
      </c>
      <c r="D2" t="s">
        <v>97</v>
      </c>
      <c r="F2" t="s">
        <v>41</v>
      </c>
      <c r="G2" t="s">
        <v>63</v>
      </c>
      <c r="H2" t="s">
        <v>52</v>
      </c>
      <c r="I2" t="s">
        <v>45</v>
      </c>
      <c r="J2" t="s">
        <v>43</v>
      </c>
      <c r="K2" t="s">
        <v>44</v>
      </c>
      <c r="L2">
        <v>20420.37</v>
      </c>
      <c r="M2">
        <v>-20420.37</v>
      </c>
      <c r="N2">
        <v>34955.43</v>
      </c>
      <c r="P2" t="s">
        <v>64</v>
      </c>
      <c r="Q2">
        <v>202512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5D57-7147-4119-BD6C-BA442666D133}">
  <sheetPr codeName="Sheet7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2" width="10.625" style="31" customWidth="1"/>
    <col min="13" max="13" width="11.375" style="31" customWidth="1"/>
    <col min="14" max="14" width="10.5" style="31" customWidth="1"/>
    <col min="15" max="15" width="9" style="31"/>
    <col min="16" max="16" width="16.625" style="31" customWidth="1"/>
    <col min="17" max="17" width="9.375" style="31" customWidth="1"/>
    <col min="18" max="16384" width="9" style="31"/>
  </cols>
  <sheetData>
    <row r="1" spans="1:17" x14ac:dyDescent="0.3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7</v>
      </c>
      <c r="Q1" s="30" t="s">
        <v>40</v>
      </c>
    </row>
    <row r="3" spans="1:17" x14ac:dyDescent="0.35">
      <c r="A3" s="31" t="s">
        <v>100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929F-1E7A-401C-BB7C-030DCE27E2D1}">
  <sheetPr codeName="Sheet8"/>
  <dimension ref="A1:P12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875" customWidth="1"/>
    <col min="2" max="2" width="11" style="39" customWidth="1"/>
    <col min="3" max="3" width="5.625" customWidth="1"/>
    <col min="4" max="4" width="12.875" customWidth="1"/>
    <col min="5" max="5" width="11.625" customWidth="1"/>
    <col min="6" max="7" width="21.37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19.125" customWidth="1"/>
    <col min="13" max="13" width="5.25" customWidth="1"/>
    <col min="14" max="14" width="7.875" customWidth="1"/>
    <col min="15" max="15" width="15.375" style="40" customWidth="1"/>
    <col min="16" max="16" width="18.125" customWidth="1"/>
  </cols>
  <sheetData>
    <row r="1" spans="1:16" s="38" customFormat="1" ht="43.5" customHeight="1" x14ac:dyDescent="0.2">
      <c r="A1" s="32" t="s">
        <v>65</v>
      </c>
      <c r="B1" s="33" t="s">
        <v>66</v>
      </c>
      <c r="C1" s="32" t="s">
        <v>67</v>
      </c>
      <c r="D1" s="32" t="s">
        <v>68</v>
      </c>
      <c r="E1" s="32" t="s">
        <v>69</v>
      </c>
      <c r="F1" s="34" t="s">
        <v>70</v>
      </c>
      <c r="G1" s="34" t="s">
        <v>71</v>
      </c>
      <c r="H1" s="34" t="s">
        <v>72</v>
      </c>
      <c r="I1" s="35" t="s">
        <v>73</v>
      </c>
      <c r="J1" s="35" t="s">
        <v>74</v>
      </c>
      <c r="K1" s="34" t="s">
        <v>75</v>
      </c>
      <c r="L1" s="34" t="s">
        <v>76</v>
      </c>
      <c r="M1" s="34" t="s">
        <v>77</v>
      </c>
      <c r="N1" s="36" t="s">
        <v>78</v>
      </c>
      <c r="O1" s="37" t="s">
        <v>79</v>
      </c>
      <c r="P1" s="34" t="s">
        <v>80</v>
      </c>
    </row>
    <row r="2" spans="1:16" x14ac:dyDescent="0.2">
      <c r="A2" t="s">
        <v>81</v>
      </c>
      <c r="B2" s="39">
        <v>1069</v>
      </c>
      <c r="C2" t="s">
        <v>44</v>
      </c>
      <c r="D2" t="s">
        <v>82</v>
      </c>
      <c r="F2" t="s">
        <v>619</v>
      </c>
      <c r="G2" t="s">
        <v>620</v>
      </c>
      <c r="H2" t="s">
        <v>97</v>
      </c>
      <c r="I2" t="s">
        <v>97</v>
      </c>
      <c r="J2" t="s">
        <v>98</v>
      </c>
      <c r="K2" t="s">
        <v>83</v>
      </c>
      <c r="L2" t="s">
        <v>84</v>
      </c>
      <c r="M2">
        <v>1</v>
      </c>
      <c r="N2">
        <v>202512</v>
      </c>
      <c r="O2" s="40">
        <v>46009.616759259261</v>
      </c>
      <c r="P2" t="s">
        <v>621</v>
      </c>
    </row>
    <row r="3" spans="1:16" x14ac:dyDescent="0.2">
      <c r="A3" t="s">
        <v>81</v>
      </c>
      <c r="B3" s="39">
        <v>750</v>
      </c>
      <c r="C3" t="s">
        <v>44</v>
      </c>
      <c r="D3" t="s">
        <v>82</v>
      </c>
      <c r="F3" t="s">
        <v>622</v>
      </c>
      <c r="G3" t="s">
        <v>623</v>
      </c>
      <c r="H3" t="s">
        <v>97</v>
      </c>
      <c r="I3" t="s">
        <v>97</v>
      </c>
      <c r="J3" t="s">
        <v>98</v>
      </c>
      <c r="K3" t="s">
        <v>83</v>
      </c>
      <c r="L3" t="s">
        <v>84</v>
      </c>
      <c r="M3">
        <v>1</v>
      </c>
      <c r="N3">
        <v>202512</v>
      </c>
      <c r="O3" s="40">
        <v>46010.574629629627</v>
      </c>
      <c r="P3" t="s">
        <v>624</v>
      </c>
    </row>
    <row r="4" spans="1:16" x14ac:dyDescent="0.2">
      <c r="A4" t="s">
        <v>81</v>
      </c>
      <c r="B4" s="39">
        <v>1090</v>
      </c>
      <c r="C4" t="s">
        <v>44</v>
      </c>
      <c r="D4" t="s">
        <v>82</v>
      </c>
      <c r="F4" t="s">
        <v>625</v>
      </c>
      <c r="G4" t="s">
        <v>626</v>
      </c>
      <c r="H4" t="s">
        <v>97</v>
      </c>
      <c r="I4" t="s">
        <v>97</v>
      </c>
      <c r="J4" t="s">
        <v>98</v>
      </c>
      <c r="K4" t="s">
        <v>83</v>
      </c>
      <c r="L4" t="s">
        <v>84</v>
      </c>
      <c r="M4">
        <v>1</v>
      </c>
      <c r="N4">
        <v>202512</v>
      </c>
      <c r="O4" s="40">
        <v>46014.755844907406</v>
      </c>
      <c r="P4" t="s">
        <v>627</v>
      </c>
    </row>
    <row r="5" spans="1:16" x14ac:dyDescent="0.2">
      <c r="A5" t="s">
        <v>81</v>
      </c>
      <c r="B5" s="39">
        <v>1069</v>
      </c>
      <c r="C5" t="s">
        <v>44</v>
      </c>
      <c r="D5" t="s">
        <v>82</v>
      </c>
      <c r="F5" t="s">
        <v>628</v>
      </c>
      <c r="G5" t="s">
        <v>629</v>
      </c>
      <c r="H5" t="s">
        <v>97</v>
      </c>
      <c r="I5" t="s">
        <v>97</v>
      </c>
      <c r="J5" t="s">
        <v>98</v>
      </c>
      <c r="K5" t="s">
        <v>83</v>
      </c>
      <c r="L5" t="s">
        <v>84</v>
      </c>
      <c r="M5">
        <v>1</v>
      </c>
      <c r="N5">
        <v>202512</v>
      </c>
      <c r="O5" s="40">
        <v>46015.772048611114</v>
      </c>
      <c r="P5" t="s">
        <v>630</v>
      </c>
    </row>
    <row r="6" spans="1:16" x14ac:dyDescent="0.2">
      <c r="A6" t="s">
        <v>81</v>
      </c>
      <c r="B6" s="39">
        <v>703</v>
      </c>
      <c r="C6" t="s">
        <v>44</v>
      </c>
      <c r="D6" t="s">
        <v>82</v>
      </c>
      <c r="F6" t="s">
        <v>631</v>
      </c>
      <c r="G6" t="s">
        <v>632</v>
      </c>
      <c r="H6" t="s">
        <v>97</v>
      </c>
      <c r="I6" t="s">
        <v>97</v>
      </c>
      <c r="J6" t="s">
        <v>98</v>
      </c>
      <c r="K6" t="s">
        <v>633</v>
      </c>
      <c r="L6" t="s">
        <v>634</v>
      </c>
      <c r="M6">
        <v>1</v>
      </c>
      <c r="N6">
        <v>202512</v>
      </c>
      <c r="O6" s="40">
        <v>46008.43172453704</v>
      </c>
      <c r="P6" t="s">
        <v>635</v>
      </c>
    </row>
    <row r="7" spans="1:16" x14ac:dyDescent="0.2">
      <c r="A7" t="s">
        <v>81</v>
      </c>
      <c r="B7" s="39">
        <v>713</v>
      </c>
      <c r="C7" t="s">
        <v>44</v>
      </c>
      <c r="D7" t="s">
        <v>82</v>
      </c>
      <c r="F7" t="s">
        <v>636</v>
      </c>
      <c r="G7" t="s">
        <v>637</v>
      </c>
      <c r="H7" t="s">
        <v>97</v>
      </c>
      <c r="I7" t="s">
        <v>97</v>
      </c>
      <c r="J7" t="s">
        <v>98</v>
      </c>
      <c r="K7" t="s">
        <v>633</v>
      </c>
      <c r="L7" t="s">
        <v>634</v>
      </c>
      <c r="M7">
        <v>1</v>
      </c>
      <c r="N7">
        <v>202512</v>
      </c>
      <c r="O7" s="40">
        <v>46008.435763888891</v>
      </c>
      <c r="P7" t="s">
        <v>638</v>
      </c>
    </row>
    <row r="8" spans="1:16" x14ac:dyDescent="0.2">
      <c r="A8" t="s">
        <v>81</v>
      </c>
      <c r="B8" s="39">
        <v>703</v>
      </c>
      <c r="C8" t="s">
        <v>44</v>
      </c>
      <c r="D8" t="s">
        <v>82</v>
      </c>
      <c r="F8" t="s">
        <v>639</v>
      </c>
      <c r="G8" t="s">
        <v>640</v>
      </c>
      <c r="H8" t="s">
        <v>97</v>
      </c>
      <c r="I8" t="s">
        <v>97</v>
      </c>
      <c r="J8" t="s">
        <v>98</v>
      </c>
      <c r="K8" t="s">
        <v>633</v>
      </c>
      <c r="L8" t="s">
        <v>634</v>
      </c>
      <c r="M8">
        <v>1</v>
      </c>
      <c r="N8">
        <v>202512</v>
      </c>
      <c r="O8" s="40">
        <v>46008.436874999999</v>
      </c>
      <c r="P8" t="s">
        <v>641</v>
      </c>
    </row>
    <row r="9" spans="1:16" x14ac:dyDescent="0.2">
      <c r="A9" t="s">
        <v>81</v>
      </c>
      <c r="B9" s="39">
        <v>703</v>
      </c>
      <c r="C9" t="s">
        <v>44</v>
      </c>
      <c r="D9" t="s">
        <v>82</v>
      </c>
      <c r="F9" t="s">
        <v>642</v>
      </c>
      <c r="G9" t="s">
        <v>643</v>
      </c>
      <c r="H9" t="s">
        <v>97</v>
      </c>
      <c r="I9" t="s">
        <v>97</v>
      </c>
      <c r="J9" t="s">
        <v>98</v>
      </c>
      <c r="K9" t="s">
        <v>633</v>
      </c>
      <c r="L9" t="s">
        <v>634</v>
      </c>
      <c r="M9">
        <v>1</v>
      </c>
      <c r="N9">
        <v>202512</v>
      </c>
      <c r="O9" s="40">
        <v>46009.616365740738</v>
      </c>
      <c r="P9" t="s">
        <v>644</v>
      </c>
    </row>
    <row r="10" spans="1:16" x14ac:dyDescent="0.2">
      <c r="A10" t="s">
        <v>81</v>
      </c>
      <c r="B10" s="39">
        <v>703</v>
      </c>
      <c r="C10" t="s">
        <v>44</v>
      </c>
      <c r="D10" t="s">
        <v>82</v>
      </c>
      <c r="F10" t="s">
        <v>645</v>
      </c>
      <c r="G10" t="s">
        <v>646</v>
      </c>
      <c r="H10" t="s">
        <v>97</v>
      </c>
      <c r="I10" t="s">
        <v>97</v>
      </c>
      <c r="J10" t="s">
        <v>98</v>
      </c>
      <c r="K10" t="s">
        <v>633</v>
      </c>
      <c r="L10" t="s">
        <v>634</v>
      </c>
      <c r="M10">
        <v>1</v>
      </c>
      <c r="N10">
        <v>202512</v>
      </c>
      <c r="O10" s="40">
        <v>46009.617372685185</v>
      </c>
      <c r="P10" t="s">
        <v>647</v>
      </c>
    </row>
    <row r="11" spans="1:16" x14ac:dyDescent="0.2">
      <c r="A11" t="s">
        <v>81</v>
      </c>
      <c r="B11" s="39">
        <v>713</v>
      </c>
      <c r="C11" t="s">
        <v>44</v>
      </c>
      <c r="D11" t="s">
        <v>82</v>
      </c>
      <c r="F11" t="s">
        <v>648</v>
      </c>
      <c r="G11" t="s">
        <v>649</v>
      </c>
      <c r="H11" t="s">
        <v>97</v>
      </c>
      <c r="I11" t="s">
        <v>97</v>
      </c>
      <c r="J11" t="s">
        <v>98</v>
      </c>
      <c r="K11" t="s">
        <v>633</v>
      </c>
      <c r="L11" t="s">
        <v>634</v>
      </c>
      <c r="M11">
        <v>1</v>
      </c>
      <c r="N11">
        <v>202512</v>
      </c>
      <c r="O11" s="40">
        <v>46010.573067129626</v>
      </c>
      <c r="P11" t="s">
        <v>650</v>
      </c>
    </row>
    <row r="12" spans="1:16" x14ac:dyDescent="0.2">
      <c r="A12" t="s">
        <v>81</v>
      </c>
      <c r="B12" s="39">
        <v>654</v>
      </c>
      <c r="C12" t="s">
        <v>44</v>
      </c>
      <c r="D12" t="s">
        <v>82</v>
      </c>
      <c r="F12" t="s">
        <v>651</v>
      </c>
      <c r="G12" t="s">
        <v>652</v>
      </c>
      <c r="H12" t="s">
        <v>97</v>
      </c>
      <c r="I12" t="s">
        <v>97</v>
      </c>
      <c r="J12" t="s">
        <v>98</v>
      </c>
      <c r="K12" t="s">
        <v>653</v>
      </c>
      <c r="L12" t="s">
        <v>654</v>
      </c>
      <c r="M12">
        <v>1</v>
      </c>
      <c r="N12">
        <v>202512</v>
      </c>
      <c r="O12" s="40">
        <v>46014.758530092593</v>
      </c>
      <c r="P12" t="s">
        <v>655</v>
      </c>
    </row>
  </sheetData>
  <phoneticPr fontId="2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020-1C5E-46EC-8BE8-2D05BFBE0802}">
  <sheetPr codeName="Sheet9"/>
  <dimension ref="A1:L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0.5" customWidth="1"/>
    <col min="2" max="2" width="23.625" customWidth="1"/>
    <col min="3" max="3" width="24.5" customWidth="1"/>
    <col min="4" max="4" width="19.25" customWidth="1"/>
    <col min="5" max="6" width="18.125" customWidth="1"/>
    <col min="7" max="9" width="11.625" customWidth="1"/>
    <col min="10" max="10" width="13.375" customWidth="1"/>
    <col min="11" max="12" width="11.625" customWidth="1"/>
  </cols>
  <sheetData>
    <row r="1" spans="1:12" ht="63.75" customHeight="1" x14ac:dyDescent="0.2">
      <c r="A1" s="28" t="s">
        <v>85</v>
      </c>
      <c r="B1" s="28" t="s">
        <v>86</v>
      </c>
      <c r="C1" s="35" t="s">
        <v>87</v>
      </c>
      <c r="D1" s="35" t="s">
        <v>88</v>
      </c>
      <c r="E1" s="28" t="s">
        <v>89</v>
      </c>
      <c r="F1" s="28" t="s">
        <v>90</v>
      </c>
      <c r="G1" s="28" t="s">
        <v>91</v>
      </c>
      <c r="H1" s="28" t="s">
        <v>92</v>
      </c>
      <c r="I1" s="28" t="s">
        <v>93</v>
      </c>
      <c r="J1" s="28" t="s">
        <v>94</v>
      </c>
      <c r="K1" s="28" t="s">
        <v>95</v>
      </c>
      <c r="L1" s="28" t="s">
        <v>96</v>
      </c>
    </row>
    <row r="3" spans="1:12" x14ac:dyDescent="0.2">
      <c r="A3" t="s">
        <v>100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monthly bill</vt:lpstr>
      <vt:lpstr>Accessories discount</vt:lpstr>
      <vt:lpstr>spare parts fee</vt:lpstr>
      <vt:lpstr>service fee</vt:lpstr>
      <vt:lpstr>incentive labor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o-mandi.yang</dc:creator>
  <cp:lastModifiedBy>o-mandi.yang</cp:lastModifiedBy>
  <dcterms:created xsi:type="dcterms:W3CDTF">2026-01-23T11:52:09Z</dcterms:created>
  <dcterms:modified xsi:type="dcterms:W3CDTF">2026-01-23T11:52:20Z</dcterms:modified>
</cp:coreProperties>
</file>