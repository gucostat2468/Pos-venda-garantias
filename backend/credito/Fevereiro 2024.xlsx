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107BED88-F667-438F-BB9E-94F3DA5BA3BE}" xr6:coauthVersionLast="36" xr6:coauthVersionMax="36" xr10:uidLastSave="{00000000-0000-0000-0000-000000000000}"/>
  <bookViews>
    <workbookView xWindow="0" yWindow="0" windowWidth="28800" windowHeight="12285" xr2:uid="{802DE1CB-531D-4325-9314-0B16ACE8C433}"/>
  </bookViews>
  <sheets>
    <sheet name="monthly bill" sheetId="3" r:id="rId1"/>
    <sheet name="Accessories discount" sheetId="4" r:id="rId2"/>
    <sheet name="spare parts fee + service fee" sheetId="5" r:id="rId3"/>
    <sheet name="other compensation" sheetId="6" r:id="rId4"/>
    <sheet name="DOA to CM" sheetId="7" r:id="rId5"/>
  </sheets>
  <definedNames>
    <definedName name="_xlnm._FilterDatabase" localSheetId="4" hidden="1">'DOA to CM'!$A$1:$O$1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5" i="3"/>
  <c r="E6" i="3" s="1"/>
  <c r="E11" i="3" l="1"/>
  <c r="E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CD51D753-9BB7-480B-8312-19DE632819AE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D0208BA5-69A1-4FCA-8FB3-B543D5D04CD5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<sst xmlns="http://schemas.openxmlformats.org/spreadsheetml/2006/main" count="124" uniqueCount="71">
  <si>
    <t>上级代理商名称Distributor Name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</si>
  <si>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Feb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</si>
  <si>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</si>
  <si>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</si>
  <si>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</si>
  <si>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</si>
  <si>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</si>
  <si>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</si>
  <si>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</si>
  <si>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</si>
  <si>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</si>
  <si>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</si>
  <si>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</si>
  <si>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</si>
  <si>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</si>
  <si>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</si>
  <si>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</si>
  <si>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</si>
  <si>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</si>
  <si>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</si>
  <si>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</si>
  <si>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</si>
  <si>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</si>
  <si>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</si>
  <si>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</si>
  <si>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</si>
  <si>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</si>
  <si>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</si>
  <si>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</si>
  <si>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</si>
  <si>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</si>
  <si>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</si>
  <si>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</si>
  <si>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</si>
  <si>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</si>
  <si>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</si>
  <si>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</si>
  <si>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</si>
  <si>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</si>
  <si>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</si>
  <si>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</si>
  <si>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</si>
  <si>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</si>
  <si>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</si>
  <si>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</si>
  <si>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</si>
  <si>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</si>
  <si>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</si>
  <si>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</si>
  <si>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</si>
  <si>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代理商账号(Dealer Account)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</si>
  <si>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</si>
  <si>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</si>
  <si>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</si>
  <si>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</si>
  <si>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</si>
  <si>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</si>
  <si>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</si>
  <si>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</si>
  <si>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</si>
  <si>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</si>
  <si>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</si>
  <si>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WRC240227000222</t>
  </si>
  <si>
    <t>WRC240226000217</t>
  </si>
  <si>
    <t>WRC240226000211</t>
  </si>
  <si>
    <t>WRC240222000014</t>
  </si>
  <si>
    <t>WRC240222000008</t>
  </si>
  <si>
    <t>WRC240220000008</t>
  </si>
  <si>
    <t>WRC240216000004</t>
  </si>
  <si>
    <t>WRC240215000004</t>
  </si>
  <si>
    <t>WRC240215000003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</si>
</sst>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0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5" fillId="7" borderId="10" xfId="0" applyFont="1" applyFill="1" applyBorder="1" applyAlignment="1">
      <alignment horizontal="center" vertical="center" wrapText="1"/>
    </xf>
    <xf numFmtId="177" fontId="15" fillId="7" borderId="10" xfId="0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left" vertical="center" wrapText="1"/>
    </xf>
    <xf numFmtId="0" fontId="15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8" fontId="15" fillId="8" borderId="1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3 2 2 2" xfId="1" xr:uid="{2FAC29EB-1578-4B92-BD4C-99C40A7F4B51}"/>
    <cellStyle name="常规 4 2 2" xfId="2" xr:uid="{8395613D-6F27-4B9A-BAB0-A1515C4740D8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F0BC-8AA9-42A9-A1AB-32705EEF42EF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2" t="s">
        <v>1</v>
      </c>
      <c r="C2" s="33"/>
      <c r="D2" s="33"/>
      <c r="E2" s="33"/>
      <c r="F2" s="34"/>
    </row>
    <row r="3" spans="2:6" ht="18.75" customHeight="1" x14ac:dyDescent="0.2">
      <c r="B3" s="2" t="s">
        <v>2</v>
      </c>
      <c r="C3" s="35" t="s">
        <v>57</v>
      </c>
      <c r="D3" s="36"/>
      <c r="E3" s="2" t="s">
        <v>3</v>
      </c>
      <c r="F3" s="3" t="s">
        <v>59</v>
      </c>
    </row>
    <row r="4" spans="2:6" ht="18" x14ac:dyDescent="0.2">
      <c r="B4" s="37" t="s">
        <v>4</v>
      </c>
      <c r="C4" s="38"/>
      <c r="D4" s="39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0" t="s">
        <v>9</v>
      </c>
      <c r="C6" s="41"/>
      <c r="D6" s="42"/>
      <c r="E6" s="9">
        <f>E5</f>
        <v>0</v>
      </c>
      <c r="F6" s="11"/>
    </row>
    <row r="7" spans="2:6" ht="16.899999999999999" customHeight="1" x14ac:dyDescent="0.2">
      <c r="B7" s="43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3408.21</v>
      </c>
      <c r="F7" s="11"/>
    </row>
    <row r="8" spans="2:6" ht="16.899999999999999" customHeight="1" x14ac:dyDescent="0.2">
      <c r="B8" s="43"/>
      <c r="C8" s="12">
        <v>2</v>
      </c>
      <c r="D8" s="8" t="s">
        <v>12</v>
      </c>
      <c r="E8" s="13">
        <f>SUMIF('spare parts fee + service fee'!C:C,'monthly bill'!F3,'spare parts fee + service fee'!G:G)</f>
        <v>225</v>
      </c>
      <c r="F8" s="11"/>
    </row>
    <row r="9" spans="2:6" ht="16.899999999999999" customHeight="1" x14ac:dyDescent="0.2">
      <c r="B9" s="43"/>
      <c r="C9" s="12">
        <v>3</v>
      </c>
      <c r="D9" s="8" t="s">
        <v>13</v>
      </c>
      <c r="E9" s="13">
        <f>SUMIF('other compensation'!C:C,'monthly bill'!F3,'other compensation'!M:M)</f>
        <v>0</v>
      </c>
      <c r="F9" s="11"/>
    </row>
    <row r="10" spans="2:6" ht="16.899999999999999" customHeight="1" x14ac:dyDescent="0.2">
      <c r="B10" s="43"/>
      <c r="C10" s="12">
        <v>4</v>
      </c>
      <c r="D10" s="8" t="s">
        <v>14</v>
      </c>
      <c r="E10" s="13">
        <f>SUMIF('DOA to CM'!I:I,'monthly bill'!F3,'DOA to CM'!B:B)</f>
        <v>0</v>
      </c>
      <c r="F10" s="11"/>
    </row>
    <row r="11" spans="2:6" ht="16.899999999999999" customHeight="1" x14ac:dyDescent="0.2">
      <c r="B11" s="40" t="s">
        <v>15</v>
      </c>
      <c r="C11" s="41"/>
      <c r="D11" s="42"/>
      <c r="E11" s="13">
        <f>E7+E8+E9+E10</f>
        <v>3633.21</v>
      </c>
      <c r="F11" s="11"/>
    </row>
    <row r="12" spans="2:6" ht="16.5" x14ac:dyDescent="0.2">
      <c r="B12" s="29" t="s">
        <v>16</v>
      </c>
      <c r="C12" s="30"/>
      <c r="D12" s="31"/>
      <c r="E12" s="14">
        <f>E11+E6</f>
        <v>3633.21</v>
      </c>
      <c r="F12" s="11" t="s">
        <v>17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111D-A026-45F6-85B0-DE64CB9640EA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6F1E-9F44-4D24-B968-1FC69A83BE02}">
  <sheetPr codeName="Sheet6"/>
  <dimension ref="A1:H10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</cols>
  <sheetData>
    <row r="1" spans="1:8" ht="33" x14ac:dyDescent="0.2">
      <c r="A1" s="17" t="s">
        <v>0</v>
      </c>
      <c r="B1" s="18" t="s">
        <v>35</v>
      </c>
      <c r="C1" s="17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</row>
    <row r="2" spans="1:8" x14ac:dyDescent="0.2">
      <c r="A2" t="s">
        <v>57</v>
      </c>
      <c r="B2" t="s">
        <v>57</v>
      </c>
      <c r="C2" t="s">
        <v>58</v>
      </c>
      <c r="D2" t="s">
        <v>61</v>
      </c>
      <c r="E2" t="s">
        <v>62</v>
      </c>
      <c r="F2">
        <v>378.69</v>
      </c>
      <c r="G2">
        <v>25</v>
      </c>
      <c r="H2">
        <v>403.69</v>
      </c>
    </row>
    <row r="3" spans="1:8" x14ac:dyDescent="0.2">
      <c r="A3" t="s">
        <v>57</v>
      </c>
      <c r="B3" t="s">
        <v>57</v>
      </c>
      <c r="C3" t="s">
        <v>58</v>
      </c>
      <c r="D3" t="s">
        <v>61</v>
      </c>
      <c r="E3" t="s">
        <v>63</v>
      </c>
      <c r="F3">
        <v>378.69</v>
      </c>
      <c r="G3">
        <v>25</v>
      </c>
      <c r="H3">
        <v>403.69</v>
      </c>
    </row>
    <row r="4" spans="1:8" x14ac:dyDescent="0.2">
      <c r="A4" t="s">
        <v>57</v>
      </c>
      <c r="B4" t="s">
        <v>57</v>
      </c>
      <c r="C4" t="s">
        <v>58</v>
      </c>
      <c r="D4" t="s">
        <v>61</v>
      </c>
      <c r="E4" t="s">
        <v>64</v>
      </c>
      <c r="F4">
        <v>378.69</v>
      </c>
      <c r="G4">
        <v>25</v>
      </c>
      <c r="H4">
        <v>403.69</v>
      </c>
    </row>
    <row r="5" spans="1:8" x14ac:dyDescent="0.2">
      <c r="A5" t="s">
        <v>57</v>
      </c>
      <c r="B5" t="s">
        <v>57</v>
      </c>
      <c r="C5" t="s">
        <v>58</v>
      </c>
      <c r="D5" t="s">
        <v>61</v>
      </c>
      <c r="E5" t="s">
        <v>65</v>
      </c>
      <c r="F5">
        <v>378.69</v>
      </c>
      <c r="G5">
        <v>25</v>
      </c>
      <c r="H5">
        <v>403.69</v>
      </c>
    </row>
    <row r="6" spans="1:8" x14ac:dyDescent="0.2">
      <c r="A6" t="s">
        <v>57</v>
      </c>
      <c r="B6" t="s">
        <v>57</v>
      </c>
      <c r="C6" t="s">
        <v>58</v>
      </c>
      <c r="D6" t="s">
        <v>61</v>
      </c>
      <c r="E6" t="s">
        <v>66</v>
      </c>
      <c r="F6">
        <v>378.69</v>
      </c>
      <c r="G6">
        <v>25</v>
      </c>
      <c r="H6">
        <v>403.69</v>
      </c>
    </row>
    <row r="7" spans="1:8" x14ac:dyDescent="0.2">
      <c r="A7" t="s">
        <v>57</v>
      </c>
      <c r="B7" t="s">
        <v>57</v>
      </c>
      <c r="C7" t="s">
        <v>58</v>
      </c>
      <c r="D7" t="s">
        <v>61</v>
      </c>
      <c r="E7" t="s">
        <v>67</v>
      </c>
      <c r="F7">
        <v>378.69</v>
      </c>
      <c r="G7">
        <v>25</v>
      </c>
      <c r="H7">
        <v>403.69</v>
      </c>
    </row>
    <row r="8" spans="1:8" x14ac:dyDescent="0.2">
      <c r="A8" t="s">
        <v>57</v>
      </c>
      <c r="B8" t="s">
        <v>57</v>
      </c>
      <c r="C8" t="s">
        <v>58</v>
      </c>
      <c r="D8" t="s">
        <v>61</v>
      </c>
      <c r="E8" t="s">
        <v>68</v>
      </c>
      <c r="F8">
        <v>378.69</v>
      </c>
      <c r="G8">
        <v>25</v>
      </c>
      <c r="H8">
        <v>403.69</v>
      </c>
    </row>
    <row r="9" spans="1:8" x14ac:dyDescent="0.2">
      <c r="A9" t="s">
        <v>57</v>
      </c>
      <c r="B9" t="s">
        <v>57</v>
      </c>
      <c r="C9" t="s">
        <v>58</v>
      </c>
      <c r="D9" t="s">
        <v>61</v>
      </c>
      <c r="E9" t="s">
        <v>69</v>
      </c>
      <c r="F9">
        <v>378.69</v>
      </c>
      <c r="G9">
        <v>25</v>
      </c>
      <c r="H9">
        <v>403.69</v>
      </c>
    </row>
    <row r="10" spans="1:8" x14ac:dyDescent="0.2">
      <c r="A10" t="s">
        <v>57</v>
      </c>
      <c r="B10" t="s">
        <v>57</v>
      </c>
      <c r="C10" t="s">
        <v>58</v>
      </c>
      <c r="D10" t="s">
        <v>61</v>
      </c>
      <c r="E10" t="s">
        <v>70</v>
      </c>
      <c r="F10">
        <v>378.69</v>
      </c>
      <c r="G10">
        <v>25</v>
      </c>
      <c r="H10">
        <v>403.69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79C4-B7F1-4FE5-AC08-DA09ED9120F9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6" max="16" width="16.625" customWidth="1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9" t="s">
        <v>34</v>
      </c>
    </row>
    <row r="3" spans="1:17" x14ac:dyDescent="0.2">
      <c r="A3" t="s">
        <v>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C492-95E7-4EAD-A060-995F3B8032DD}">
  <sheetPr codeName="Sheet8"/>
  <dimension ref="A1:O3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28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0.37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13.875" customWidth="1"/>
    <col min="13" max="13" width="14.1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20" t="s">
        <v>42</v>
      </c>
      <c r="B1" s="21" t="s">
        <v>43</v>
      </c>
      <c r="C1" s="22" t="s">
        <v>44</v>
      </c>
      <c r="D1" s="23" t="s">
        <v>45</v>
      </c>
      <c r="E1" s="22" t="s">
        <v>46</v>
      </c>
      <c r="F1" s="24" t="s">
        <v>47</v>
      </c>
      <c r="G1" s="25" t="s">
        <v>48</v>
      </c>
      <c r="H1" s="26" t="s">
        <v>49</v>
      </c>
      <c r="I1" s="26" t="s">
        <v>50</v>
      </c>
      <c r="J1" s="25" t="s">
        <v>51</v>
      </c>
      <c r="K1" s="24" t="s">
        <v>52</v>
      </c>
      <c r="L1" s="24" t="s">
        <v>53</v>
      </c>
      <c r="M1" s="27" t="s">
        <v>54</v>
      </c>
      <c r="N1" s="24" t="s">
        <v>55</v>
      </c>
      <c r="O1" s="25" t="s">
        <v>56</v>
      </c>
    </row>
    <row r="3" spans="1:15" x14ac:dyDescent="0.2">
      <c r="A3" t="s">
        <v>60</v>
      </c>
    </row>
  </sheetData>
  <protectedRanges>
    <protectedRange sqref="H1:I1" name="Range1_65_1_1"/>
  </protectedRanges>
  <phoneticPr fontId="3" type="noConversion"/>
  <conditionalFormatting sqref="F1">
    <cfRule type="duplicateValues" dxfId="1" priority="1"/>
  </conditionalFormatting>
  <conditionalFormatting sqref="F1">
    <cfRule type="duplicateValues" dxfId="0" priority="2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bill</vt:lpstr>
      <vt:lpstr>Accessories discount</vt:lpstr>
      <vt:lpstr>spare parts fee + service fee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2024-03-18T06:47:22Z</dcterms:created>
  <dcterms:modified xsi:type="dcterms:W3CDTF">2024-03-18T06:48:01Z</dcterms:modified>
</cp:coreProperties>
</file>