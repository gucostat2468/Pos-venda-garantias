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农机运营\海外农机\海外账单\24年\7月\单位月结账单\"/>
    </mc:Choice>
  </mc:AlternateContent>
  <xr:revisionPtr revIDLastSave="0" documentId="8_{7493AE9B-25B7-478A-BA6F-D8DA9E703AB6}" xr6:coauthVersionLast="36" xr6:coauthVersionMax="36" xr10:uidLastSave="{00000000-0000-0000-0000-000000000000}"/>
  <bookViews>
    <workbookView xWindow="0" yWindow="0" windowWidth="57600" windowHeight="26580" xr2:uid="{41A19693-8038-40A8-9C9E-0729A9E1D898}"/>
  </bookViews>
  <sheets>
    <sheet name="monthly bill" sheetId="3" r:id="rId1"/>
    <sheet name="Accessories discount" sheetId="4" r:id="rId2"/>
    <sheet name="spare parts fee + service fee" sheetId="5" r:id="rId3"/>
    <sheet name="Maintenance list" sheetId="6" r:id="rId4"/>
    <sheet name="Service prohibition" sheetId="7" r:id="rId5"/>
    <sheet name="other compensation" sheetId="8" r:id="rId6"/>
    <sheet name="DOA to CM" sheetId="9" r:id="rId7"/>
  </sheets>
  <definedNames>
    <definedName name="_xlnm._FilterDatabase" localSheetId="6" hidden="1">'DOA to CM'!$A$1:$O$1</definedName>
    <definedName name="_xlnm._FilterDatabase" localSheetId="3" hidden="1">'Maintenance list'!$A$1:$G$1</definedName>
    <definedName name="_xlnm._FilterDatabase" localSheetId="5" hidden="1">'other compensation'!$A$1:$Q$1</definedName>
    <definedName name="_xlnm._FilterDatabase" localSheetId="4" hidden="1">'Service prohibition'!$A$1:$Q$1</definedName>
    <definedName name="_xlnm._FilterDatabase" localSheetId="2" hidden="1">'spare parts fee + service fee'!$A$1:$I$1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3" l="1"/>
  <c r="E11" i="3"/>
  <c r="E10" i="3"/>
  <c r="E9" i="3"/>
  <c r="E8" i="3"/>
  <c r="E7" i="3"/>
  <c r="E5" i="3"/>
  <c r="E6" i="3" s="1"/>
  <c r="E13" i="3" l="1"/>
  <c r="E1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1" authorId="0" shapeId="0" xr:uid="{82AF61FF-DB33-4758-98E9-670B43468B9D}">
      <text>
        <r>
          <rPr>
            <b/>
            <sz val="9"/>
            <rFont val="宋体"/>
            <family val="3"/>
            <charset val="134"/>
          </rPr>
          <t>celine.pu:</t>
        </r>
        <r>
          <rPr>
            <sz val="9"/>
            <rFont val="宋体"/>
            <family val="3"/>
            <charset val="134"/>
          </rPr>
          <t xml:space="preserve">
如果转售前credit由区域经理联系售前反馈CM单号，如果转售后credit，由运营按月集中处理后填写额度调整单
</t>
        </r>
      </text>
    </comment>
    <comment ref="O1" authorId="0" shapeId="0" xr:uid="{1D88D0A6-530E-4DAB-B748-2433CBBFFBFE}">
      <text>
        <r>
          <rPr>
            <b/>
            <sz val="9"/>
            <rFont val="宋体"/>
            <family val="3"/>
            <charset val="134"/>
          </rPr>
          <t>celine.pu:</t>
        </r>
        <r>
          <rPr>
            <sz val="9"/>
            <rFont val="宋体"/>
            <family val="3"/>
            <charset val="134"/>
          </rPr>
          <t xml:space="preserve">
标红为重复数据，请区域核查
</t>
        </r>
      </text>
    </comment>
  </commentList>
</comments>
</file>

<file path=xl/sharedStrings.xml><?xml version="1.0" encoding="utf-8"?>
<sst xmlns="http://schemas.openxmlformats.org/spreadsheetml/2006/main" count="302" uniqueCount="133">
  <si>
    <t>上级代理商名称Distributor Name</t>
  </si>
  <si>
    <t>代理商账号(Dealer Account)</t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</si>
  <si>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Jul</t>
    </r>
    <phoneticPr fontId="2" type="noConversion"/>
  </si>
  <si>
    <t>Dealer</t>
    <phoneticPr fontId="2" type="noConversion"/>
  </si>
  <si>
    <t>Dealer Account：</t>
    <phoneticPr fontId="2" type="noConversion"/>
  </si>
  <si>
    <t>Credit Trading</t>
    <phoneticPr fontId="3" type="noConversion"/>
  </si>
  <si>
    <t>Amount</t>
    <phoneticPr fontId="2" type="noConversion"/>
  </si>
  <si>
    <t>Remarks</t>
    <phoneticPr fontId="2" type="noConversion"/>
  </si>
  <si>
    <t>Expenditure item</t>
    <phoneticPr fontId="3" type="noConversion"/>
  </si>
  <si>
    <t>Spare parts order</t>
    <phoneticPr fontId="3" type="noConversion"/>
  </si>
  <si>
    <t>Total Expenditure</t>
    <phoneticPr fontId="3" type="noConversion"/>
  </si>
  <si>
    <t>Income item</t>
    <phoneticPr fontId="2" type="noConversion"/>
  </si>
  <si>
    <t>Spare parts fee of warranty cases</t>
    <phoneticPr fontId="3" type="noConversion"/>
  </si>
  <si>
    <t>Labor fee of warranty cases</t>
    <phoneticPr fontId="3" type="noConversion"/>
  </si>
  <si>
    <t>incentive labor fee</t>
    <phoneticPr fontId="3" type="noConversion"/>
  </si>
  <si>
    <t>SERVICE PROHIBITION</t>
    <phoneticPr fontId="3" type="noConversion"/>
  </si>
  <si>
    <t>Other compensation</t>
  </si>
  <si>
    <t>Battery/DOA cases</t>
    <phoneticPr fontId="3" type="noConversion"/>
  </si>
  <si>
    <t>Total Income</t>
    <phoneticPr fontId="3" type="noConversion"/>
  </si>
  <si>
    <t>Credit Balance</t>
    <phoneticPr fontId="3" type="noConversion"/>
  </si>
  <si>
    <t>For your reference</t>
    <phoneticPr fontId="3" type="noConversion"/>
  </si>
  <si>
    <t>Serial Number</t>
    <phoneticPr fontId="3" type="noConversion"/>
  </si>
  <si>
    <t>Creation Date</t>
    <phoneticPr fontId="3" type="noConversion"/>
  </si>
  <si>
    <t>Dealer Account</t>
    <phoneticPr fontId="3" type="noConversion"/>
  </si>
  <si>
    <t>Dealer</t>
    <phoneticPr fontId="3" type="noConversion"/>
  </si>
  <si>
    <t>Sub Dealer</t>
    <phoneticPr fontId="3" type="noConversion"/>
  </si>
  <si>
    <t>Billing Type</t>
    <phoneticPr fontId="3" type="noConversion"/>
  </si>
  <si>
    <t>Bill No.</t>
    <phoneticPr fontId="3" type="noConversion"/>
  </si>
  <si>
    <t>Expense Type</t>
    <phoneticPr fontId="3" type="noConversion"/>
  </si>
  <si>
    <t>Calculation Type</t>
    <phoneticPr fontId="3" type="noConversion"/>
  </si>
  <si>
    <t>Operation Type</t>
    <phoneticPr fontId="3" type="noConversion"/>
  </si>
  <si>
    <t>Currency</t>
    <phoneticPr fontId="3" type="noConversion"/>
  </si>
  <si>
    <t>Trading Amount</t>
    <phoneticPr fontId="3" type="noConversion"/>
  </si>
  <si>
    <t>plus-minus</t>
    <phoneticPr fontId="3" type="noConversion"/>
  </si>
  <si>
    <t>Balance</t>
    <phoneticPr fontId="3" type="noConversion"/>
  </si>
  <si>
    <t>Receiving Status</t>
    <phoneticPr fontId="3" type="noConversion"/>
  </si>
  <si>
    <t>Remarks</t>
    <phoneticPr fontId="3" type="noConversion"/>
  </si>
  <si>
    <t>Month</t>
    <phoneticPr fontId="3" type="noConversion"/>
  </si>
  <si>
    <t>USD</t>
  </si>
  <si>
    <t>代理商名称(Dealer Name)</t>
  </si>
  <si>
    <t>代理商账号(Dealer Account)</t>
    <phoneticPr fontId="2" type="noConversion"/>
  </si>
  <si>
    <t>国家/地区
Country</t>
    <phoneticPr fontId="14" type="noConversion"/>
  </si>
  <si>
    <t>案例编号Case Number</t>
  </si>
  <si>
    <t>维修物料费Spare parts Amount</t>
    <phoneticPr fontId="3" type="noConversion"/>
  </si>
  <si>
    <t>维修劳务费Labor fee Amount</t>
    <phoneticPr fontId="14" type="noConversion"/>
  </si>
  <si>
    <t>合计劳务费Total Settlement Amount</t>
    <phoneticPr fontId="14" type="noConversion"/>
  </si>
  <si>
    <t>合计劳务费激励incentive labor fee</t>
    <phoneticPr fontId="14" type="noConversion"/>
  </si>
  <si>
    <t>物料编码Material code</t>
    <phoneticPr fontId="3" type="noConversion"/>
  </si>
  <si>
    <t>物料名称Material name</t>
    <phoneticPr fontId="3" type="noConversion"/>
  </si>
  <si>
    <t>数量Quantity</t>
    <phoneticPr fontId="3" type="noConversion"/>
  </si>
  <si>
    <t>转售前Credit/售后Cedit
Pre-sale credit/After-sale credit</t>
  </si>
  <si>
    <t>金额/Amount</t>
  </si>
  <si>
    <t>币种</t>
  </si>
  <si>
    <t>CM单号
Credit number</t>
  </si>
  <si>
    <t>其他说明
Supplement</t>
  </si>
  <si>
    <t>案例ID (案例)
Case Number</t>
  </si>
  <si>
    <t>客户 (案例)
Distributor/Dealer Name</t>
  </si>
  <si>
    <t>上级代理商(Distributor Name)</t>
  </si>
  <si>
    <t>产品 ID (产品)
Product ID</t>
  </si>
  <si>
    <t xml:space="preserve">产品
Product </t>
  </si>
  <si>
    <t>数量
Quantity</t>
  </si>
  <si>
    <t>月份
Month</t>
  </si>
  <si>
    <t>完成时间 (发货单)
Date</t>
  </si>
  <si>
    <t>产品SN码 (案例)
Product SN</t>
  </si>
  <si>
    <t>售后credit（After-sale credit）</t>
  </si>
  <si>
    <t>Huada Agricola Comercial LTDA</t>
  </si>
  <si>
    <t>HUADA-agras</t>
  </si>
  <si>
    <t>HUADA-agras</t>
    <phoneticPr fontId="3" type="noConversion"/>
  </si>
  <si>
    <t>本次不涉及此项</t>
  </si>
  <si>
    <t>BRAZIL</t>
  </si>
  <si>
    <t>WRC240716000988</t>
  </si>
  <si>
    <t>WRC240718000019</t>
  </si>
  <si>
    <t>WRC240724000949</t>
  </si>
  <si>
    <t>MS Drones</t>
  </si>
  <si>
    <t>WRC240701000698</t>
  </si>
  <si>
    <t>VETTORIZE DRONES</t>
  </si>
  <si>
    <t>WRC240701000652</t>
  </si>
  <si>
    <t>BC.AG.SS000550.01</t>
  </si>
  <si>
    <t>【T40/T20P】称重模块</t>
  </si>
  <si>
    <t>YC.JG.QX002207.02</t>
  </si>
  <si>
    <t>【T40/T20P】雷达横杆</t>
  </si>
  <si>
    <t>YC.JG.ZS002279.05</t>
  </si>
  <si>
    <t>【T40/T20P】FPV支架</t>
  </si>
  <si>
    <t>YC.JG.ZS001965.05</t>
  </si>
  <si>
    <t>【T40】下正桨（L-CCW）</t>
  </si>
  <si>
    <t>YC.JG.ZS001966.05</t>
  </si>
  <si>
    <t>【T40】下反桨（L-CW）</t>
  </si>
  <si>
    <t>YC.JG.YZ000498.04</t>
  </si>
  <si>
    <t>【T40/T20P】全向雷达固定座</t>
  </si>
  <si>
    <t>BC.AG.SS000575.01</t>
  </si>
  <si>
    <t>【T40】锁紧扣手柄</t>
  </si>
  <si>
    <t>YC.JG.ZS002282.05</t>
  </si>
  <si>
    <t>【T40/T20P】前壳上盖</t>
  </si>
  <si>
    <t>YC.JG.ZS002283.05</t>
  </si>
  <si>
    <t>【T40/T20P】前壳下盖</t>
  </si>
  <si>
    <t>YC.JG.ZS001963.05</t>
  </si>
  <si>
    <t>【T40/T20P】上正桨（U-CCW）</t>
  </si>
  <si>
    <t>YC.JG.ZS001963.04</t>
  </si>
  <si>
    <t>BC.AG.SS000562.01</t>
  </si>
  <si>
    <t>【T40/T20P】前视觉组件</t>
  </si>
  <si>
    <t>BC.AG.SS000617.01</t>
  </si>
  <si>
    <t>【T40/T20P】航电模块L</t>
  </si>
  <si>
    <t>BC.AG.SS000668.01</t>
  </si>
  <si>
    <t>10033动力电机-M5</t>
  </si>
  <si>
    <t>YC.JG.ZS002188.04</t>
  </si>
  <si>
    <t>【T40/T20P】脚架固定件（左前）</t>
  </si>
  <si>
    <t>BC.AG.SS000563.01</t>
  </si>
  <si>
    <t>【T40/T20P】电调模块</t>
  </si>
  <si>
    <t>YC.JG.ZS002189.04</t>
  </si>
  <si>
    <t>【T40/T20P】脚架固定件（左后）</t>
  </si>
  <si>
    <t>YC.JG.CS000013.06</t>
  </si>
  <si>
    <t>【T20P】水箱（20L）</t>
  </si>
  <si>
    <t>YC.JG.BJ001176.03</t>
  </si>
  <si>
    <t>【T20P】脚架铝管</t>
  </si>
  <si>
    <t>YC.JG.JS000019.10</t>
  </si>
  <si>
    <t>【T40/T20P】喷杆水管</t>
  </si>
  <si>
    <t>YC.JG.ZS002483.02</t>
  </si>
  <si>
    <t>【T40/T20P】离心喷杆</t>
  </si>
  <si>
    <t>YC.JG.FP000019.02</t>
  </si>
  <si>
    <t>【T20P】电机保护罩</t>
  </si>
  <si>
    <t>YC.JG.ZS002187.04</t>
  </si>
  <si>
    <t>【T40/T20P】脚架固定件（右前）</t>
  </si>
  <si>
    <t>YC.JG.ZS001964.05</t>
  </si>
  <si>
    <t>【T40/T20P】上反桨（U-CW）</t>
  </si>
  <si>
    <t>YC.JG.ZS002298.02</t>
  </si>
  <si>
    <t>【T40/T20P】后壳上盖</t>
  </si>
  <si>
    <t>BC.AG.SS000557.01</t>
  </si>
  <si>
    <t>【T20P】分线板模块</t>
  </si>
  <si>
    <t>CAS-17245429-Y4B2C0</t>
  </si>
  <si>
    <t>SMC - SOLUCOES EM ENGENHARIA EIRELI</t>
  </si>
  <si>
    <t>CP.AG.00000570.01</t>
  </si>
  <si>
    <t>T40智能飞行电池</t>
  </si>
  <si>
    <t>57PPL1XDA100K1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</si>
</sst>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9"/>
      <name val="宋体"/>
      <family val="3"/>
      <charset val="134"/>
    </font>
    <font>
      <sz val="10"/>
      <color rgb="FFFFFFFF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theme="1"/>
      <name val="等线"/>
      <family val="2"/>
      <scheme val="minor"/>
    </font>
    <font>
      <b/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47">
    <xf numFmtId="0" fontId="0" fillId="0" borderId="0" xfId="0"/>
    <xf numFmtId="0" fontId="1" fillId="0" borderId="0" xfId="1" applyAlignment="1">
      <alignment vertical="center"/>
    </xf>
    <xf numFmtId="0" fontId="6" fillId="5" borderId="1" xfId="1" applyFont="1" applyFill="1" applyBorder="1" applyAlignment="1">
      <alignment horizontal="right" vertical="center"/>
    </xf>
    <xf numFmtId="0" fontId="10" fillId="0" borderId="1" xfId="0" applyNumberFormat="1" applyFont="1" applyBorder="1" applyAlignment="1">
      <alignment vertical="center"/>
    </xf>
    <xf numFmtId="0" fontId="11" fillId="5" borderId="8" xfId="1" applyFont="1" applyFill="1" applyBorder="1" applyAlignment="1">
      <alignment horizontal="center" vertical="center"/>
    </xf>
    <xf numFmtId="0" fontId="10" fillId="5" borderId="8" xfId="1" applyFont="1" applyFill="1" applyBorder="1" applyAlignment="1">
      <alignment horizontal="center" vertical="center"/>
    </xf>
    <xf numFmtId="0" fontId="6" fillId="5" borderId="8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vertical="center"/>
    </xf>
    <xf numFmtId="4" fontId="12" fillId="0" borderId="1" xfId="1" applyNumberFormat="1" applyFont="1" applyFill="1" applyBorder="1">
      <alignment vertical="center"/>
    </xf>
    <xf numFmtId="0" fontId="10" fillId="0" borderId="8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4" fontId="5" fillId="0" borderId="1" xfId="1" applyNumberFormat="1" applyFont="1" applyFill="1" applyBorder="1">
      <alignment vertical="center"/>
    </xf>
    <xf numFmtId="4" fontId="6" fillId="0" borderId="6" xfId="1" applyNumberFormat="1" applyFont="1" applyFill="1" applyBorder="1">
      <alignment vertical="center"/>
    </xf>
    <xf numFmtId="0" fontId="0" fillId="2" borderId="0" xfId="0" applyFill="1"/>
    <xf numFmtId="0" fontId="0" fillId="0" borderId="0" xfId="0" applyNumberFormat="1"/>
    <xf numFmtId="0" fontId="13" fillId="2" borderId="1" xfId="0" applyNumberFormat="1" applyFont="1" applyFill="1" applyBorder="1" applyAlignment="1">
      <alignment horizontal="center" vertical="center" wrapText="1"/>
    </xf>
    <xf numFmtId="0" fontId="13" fillId="6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4" fillId="2" borderId="0" xfId="0" applyFont="1" applyFill="1"/>
    <xf numFmtId="176" fontId="4" fillId="0" borderId="0" xfId="0" applyNumberFormat="1" applyFont="1"/>
    <xf numFmtId="0" fontId="15" fillId="7" borderId="10" xfId="0" applyFont="1" applyFill="1" applyBorder="1" applyAlignment="1">
      <alignment horizontal="center" vertical="center" wrapText="1"/>
    </xf>
    <xf numFmtId="177" fontId="15" fillId="7" borderId="10" xfId="0" applyNumberFormat="1" applyFont="1" applyFill="1" applyBorder="1" applyAlignment="1">
      <alignment horizontal="right" vertical="center"/>
    </xf>
    <xf numFmtId="0" fontId="15" fillId="7" borderId="10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left" vertical="center" wrapText="1"/>
    </xf>
    <xf numFmtId="0" fontId="15" fillId="8" borderId="10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178" fontId="15" fillId="8" borderId="10" xfId="0" applyNumberFormat="1" applyFont="1" applyFill="1" applyBorder="1" applyAlignment="1">
      <alignment horizontal="center" vertical="center"/>
    </xf>
    <xf numFmtId="177" fontId="17" fillId="0" borderId="0" xfId="0" applyNumberFormat="1" applyFont="1" applyAlignment="1">
      <alignment horizontal="right" vertical="center"/>
    </xf>
    <xf numFmtId="0" fontId="6" fillId="5" borderId="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7" fillId="4" borderId="3" xfId="1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9" fillId="0" borderId="5" xfId="1" applyFont="1" applyBorder="1" applyAlignment="1">
      <alignment horizontal="left" vertical="center"/>
    </xf>
    <xf numFmtId="0" fontId="9" fillId="0" borderId="6" xfId="1" applyFont="1" applyBorder="1" applyAlignment="1">
      <alignment horizontal="left" vertical="center"/>
    </xf>
    <xf numFmtId="0" fontId="10" fillId="5" borderId="5" xfId="1" applyFont="1" applyFill="1" applyBorder="1" applyAlignment="1">
      <alignment horizontal="center" vertical="center"/>
    </xf>
    <xf numFmtId="0" fontId="10" fillId="5" borderId="7" xfId="1" applyFont="1" applyFill="1" applyBorder="1" applyAlignment="1">
      <alignment horizontal="center" vertical="center"/>
    </xf>
    <xf numFmtId="0" fontId="10" fillId="5" borderId="6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 wrapText="1"/>
    </xf>
    <xf numFmtId="0" fontId="6" fillId="5" borderId="6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22" fontId="0" fillId="0" borderId="0" xfId="0" applyNumberFormat="1"/>
  </cellXfs>
  <cellStyles count="3">
    <cellStyle name="常规" xfId="0" builtinId="0"/>
    <cellStyle name="常规 3 2 2 2" xfId="1" xr:uid="{4B28F249-49C6-4F02-A109-98AE427C9A96}"/>
    <cellStyle name="常规 4 2 2" xfId="2" xr:uid="{C13AA809-F29B-4B4B-BC6A-9EEC48CF58A6}"/>
  </cellStyles>
  <dxfs count="2">
    <dxf>
      <font>
        <color rgb="FF9C0006"/>
      </font>
      <fill>
        <patternFill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09129-C39D-4FCE-A7AA-4AD7EA3D4373}">
  <sheetPr codeName="Sheet4"/>
  <dimension ref="B1:F14"/>
  <sheetViews>
    <sheetView showGridLines="0" tabSelected="1" zoomScale="85" zoomScaleNormal="85" workbookViewId="0"/>
  </sheetViews>
  <sheetFormatPr defaultColWidth="9" defaultRowHeight="14.25" x14ac:dyDescent="0.2"/>
  <cols>
    <col min="1" max="1" width="3.375" style="1" customWidth="1"/>
    <col min="2" max="2" width="24.625" style="1" customWidth="1"/>
    <col min="3" max="3" width="8.875" style="1" customWidth="1"/>
    <col min="4" max="4" width="32.875" style="1" customWidth="1"/>
    <col min="5" max="5" width="40" style="1" customWidth="1"/>
    <col min="6" max="6" width="58.75" style="1" customWidth="1"/>
    <col min="7" max="7" width="17.75" style="1" customWidth="1"/>
    <col min="8" max="16384" width="9" style="1"/>
  </cols>
  <sheetData>
    <row r="1" spans="2:6" ht="13.5" customHeight="1" x14ac:dyDescent="0.2"/>
    <row r="2" spans="2:6" ht="46.5" customHeight="1" x14ac:dyDescent="0.2">
      <c r="B2" s="34" t="s">
        <v>2</v>
      </c>
      <c r="C2" s="35"/>
      <c r="D2" s="35"/>
      <c r="E2" s="35"/>
      <c r="F2" s="36"/>
    </row>
    <row r="3" spans="2:6" ht="18.75" customHeight="1" x14ac:dyDescent="0.2">
      <c r="B3" s="2" t="s">
        <v>3</v>
      </c>
      <c r="C3" s="37" t="s">
        <v>65</v>
      </c>
      <c r="D3" s="38"/>
      <c r="E3" s="2" t="s">
        <v>4</v>
      </c>
      <c r="F3" s="3" t="s">
        <v>67</v>
      </c>
    </row>
    <row r="4" spans="2:6" ht="18" x14ac:dyDescent="0.2">
      <c r="B4" s="39" t="s">
        <v>5</v>
      </c>
      <c r="C4" s="40"/>
      <c r="D4" s="41"/>
      <c r="E4" s="4" t="s">
        <v>6</v>
      </c>
      <c r="F4" s="5" t="s">
        <v>7</v>
      </c>
    </row>
    <row r="5" spans="2:6" ht="16.899999999999999" customHeight="1" x14ac:dyDescent="0.2">
      <c r="B5" s="6" t="s">
        <v>8</v>
      </c>
      <c r="C5" s="7">
        <v>1</v>
      </c>
      <c r="D5" s="8" t="s">
        <v>9</v>
      </c>
      <c r="E5" s="9">
        <f>SUMIF('Accessories discount'!C:C,F3,'Accessories discount'!M:M)</f>
        <v>0</v>
      </c>
      <c r="F5" s="10"/>
    </row>
    <row r="6" spans="2:6" ht="16.899999999999999" customHeight="1" x14ac:dyDescent="0.2">
      <c r="B6" s="42" t="s">
        <v>10</v>
      </c>
      <c r="C6" s="43"/>
      <c r="D6" s="44"/>
      <c r="E6" s="9">
        <f>E5</f>
        <v>0</v>
      </c>
      <c r="F6" s="11"/>
    </row>
    <row r="7" spans="2:6" ht="16.899999999999999" customHeight="1" x14ac:dyDescent="0.2">
      <c r="B7" s="45" t="s">
        <v>11</v>
      </c>
      <c r="C7" s="12">
        <v>1</v>
      </c>
      <c r="D7" s="8" t="s">
        <v>12</v>
      </c>
      <c r="E7" s="9">
        <f>SUMIF('spare parts fee + service fee'!C:C,'monthly bill'!F3,'spare parts fee + service fee'!F:F)</f>
        <v>1558.62</v>
      </c>
      <c r="F7" s="11"/>
    </row>
    <row r="8" spans="2:6" ht="16.899999999999999" customHeight="1" x14ac:dyDescent="0.2">
      <c r="B8" s="45"/>
      <c r="C8" s="12">
        <v>2</v>
      </c>
      <c r="D8" s="8" t="s">
        <v>13</v>
      </c>
      <c r="E8" s="13">
        <f>SUMIF('spare parts fee + service fee'!C:C,'monthly bill'!F3,'spare parts fee + service fee'!G:G)</f>
        <v>64</v>
      </c>
      <c r="F8" s="11"/>
    </row>
    <row r="9" spans="2:6" ht="16.899999999999999" customHeight="1" x14ac:dyDescent="0.2">
      <c r="B9" s="45"/>
      <c r="C9" s="12">
        <v>3</v>
      </c>
      <c r="D9" s="8" t="s">
        <v>14</v>
      </c>
      <c r="E9" s="13">
        <f>SUMIF('spare parts fee + service fee'!C:C,'monthly bill'!F3,'spare parts fee + service fee'!I:I)</f>
        <v>25.600000000000005</v>
      </c>
      <c r="F9" s="11"/>
    </row>
    <row r="10" spans="2:6" ht="16.899999999999999" customHeight="1" x14ac:dyDescent="0.2">
      <c r="B10" s="45"/>
      <c r="C10" s="12">
        <v>4</v>
      </c>
      <c r="D10" s="8" t="s">
        <v>15</v>
      </c>
      <c r="E10" s="13">
        <f>SUMIF('Service prohibition'!C:C,'monthly bill'!F3,'Service prohibition'!M:M)</f>
        <v>0</v>
      </c>
      <c r="F10" s="11"/>
    </row>
    <row r="11" spans="2:6" ht="16.899999999999999" customHeight="1" x14ac:dyDescent="0.2">
      <c r="B11" s="45"/>
      <c r="C11" s="12">
        <v>5</v>
      </c>
      <c r="D11" s="8" t="s">
        <v>16</v>
      </c>
      <c r="E11" s="13">
        <f>SUMIF('other compensation'!C:C,'monthly bill'!F3,'other compensation'!M:M)</f>
        <v>0</v>
      </c>
      <c r="F11" s="11"/>
    </row>
    <row r="12" spans="2:6" ht="16.899999999999999" customHeight="1" x14ac:dyDescent="0.2">
      <c r="B12" s="45"/>
      <c r="C12" s="12">
        <v>6</v>
      </c>
      <c r="D12" s="8" t="s">
        <v>17</v>
      </c>
      <c r="E12" s="13">
        <f>SUMIF('DOA to CM'!I:I,'monthly bill'!F3,'DOA to CM'!B:B)</f>
        <v>1120</v>
      </c>
      <c r="F12" s="11"/>
    </row>
    <row r="13" spans="2:6" ht="16.899999999999999" customHeight="1" x14ac:dyDescent="0.2">
      <c r="B13" s="42" t="s">
        <v>18</v>
      </c>
      <c r="C13" s="43"/>
      <c r="D13" s="44"/>
      <c r="E13" s="13">
        <f>E7+E8+E9+E10+E11+E12</f>
        <v>2768.22</v>
      </c>
      <c r="F13" s="11"/>
    </row>
    <row r="14" spans="2:6" ht="16.5" x14ac:dyDescent="0.2">
      <c r="B14" s="31" t="s">
        <v>19</v>
      </c>
      <c r="C14" s="32"/>
      <c r="D14" s="33"/>
      <c r="E14" s="14">
        <f>E13+E6</f>
        <v>2768.22</v>
      </c>
      <c r="F14" s="11" t="s">
        <v>20</v>
      </c>
    </row>
  </sheetData>
  <mergeCells count="7">
    <mergeCell ref="B14:D14"/>
    <mergeCell ref="B2:F2"/>
    <mergeCell ref="C3:D3"/>
    <mergeCell ref="B4:D4"/>
    <mergeCell ref="B6:D6"/>
    <mergeCell ref="B7:B12"/>
    <mergeCell ref="B13:D1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FB96-7ACE-4E6D-98FD-9C64450FE541}">
  <sheetPr codeName="Sheet5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.5" customWidth="1"/>
    <col min="2" max="2" width="17" customWidth="1"/>
    <col min="3" max="3" width="25" bestFit="1" customWidth="1"/>
    <col min="4" max="4" width="22.625" customWidth="1"/>
    <col min="5" max="5" width="14.75" bestFit="1" customWidth="1"/>
    <col min="6" max="6" width="12.5" bestFit="1" customWidth="1"/>
    <col min="7" max="7" width="16.25" customWidth="1"/>
    <col min="8" max="10" width="12.5" bestFit="1" customWidth="1"/>
    <col min="11" max="11" width="8.375" bestFit="1" customWidth="1"/>
    <col min="12" max="12" width="13.5" customWidth="1"/>
    <col min="13" max="13" width="10.75" bestFit="1" customWidth="1"/>
    <col min="14" max="14" width="10.5" bestFit="1" customWidth="1"/>
    <col min="15" max="15" width="12.5" bestFit="1" customWidth="1"/>
    <col min="16" max="16" width="25.875" bestFit="1" customWidth="1"/>
    <col min="17" max="17" width="9" style="16"/>
  </cols>
  <sheetData>
    <row r="1" spans="1:17" x14ac:dyDescent="0.2">
      <c r="A1" t="s">
        <v>21</v>
      </c>
      <c r="B1" t="s">
        <v>22</v>
      </c>
      <c r="C1" s="15" t="s">
        <v>23</v>
      </c>
      <c r="D1" s="15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s="16" t="s">
        <v>37</v>
      </c>
    </row>
    <row r="3" spans="1:17" x14ac:dyDescent="0.2">
      <c r="A3" t="s">
        <v>68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F2D9-2812-447A-B843-039D1FF79089}">
  <sheetPr codeName="Sheet6"/>
  <dimension ref="A1:I6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6.75" customWidth="1"/>
    <col min="2" max="2" width="15.75" customWidth="1"/>
    <col min="3" max="3" width="25.375" bestFit="1" customWidth="1"/>
    <col min="4" max="5" width="15" customWidth="1"/>
    <col min="6" max="6" width="16.125" customWidth="1"/>
    <col min="7" max="7" width="27.25" customWidth="1"/>
    <col min="8" max="8" width="26.5" customWidth="1"/>
    <col min="9" max="9" width="15.5" customWidth="1"/>
  </cols>
  <sheetData>
    <row r="1" spans="1:9" ht="49.5" x14ac:dyDescent="0.2">
      <c r="A1" s="17" t="s">
        <v>0</v>
      </c>
      <c r="B1" s="18" t="s">
        <v>39</v>
      </c>
      <c r="C1" s="17" t="s">
        <v>40</v>
      </c>
      <c r="D1" s="18" t="s">
        <v>41</v>
      </c>
      <c r="E1" s="18" t="s">
        <v>42</v>
      </c>
      <c r="F1" s="18" t="s">
        <v>43</v>
      </c>
      <c r="G1" s="18" t="s">
        <v>44</v>
      </c>
      <c r="H1" s="18" t="s">
        <v>45</v>
      </c>
      <c r="I1" s="18" t="s">
        <v>46</v>
      </c>
    </row>
    <row r="2" spans="1:9" x14ac:dyDescent="0.2">
      <c r="A2" t="s">
        <v>65</v>
      </c>
      <c r="B2" t="s">
        <v>65</v>
      </c>
      <c r="C2" t="s">
        <v>66</v>
      </c>
      <c r="D2" t="s">
        <v>69</v>
      </c>
      <c r="E2" t="s">
        <v>70</v>
      </c>
      <c r="F2">
        <v>103.15</v>
      </c>
      <c r="G2">
        <v>16</v>
      </c>
      <c r="H2">
        <v>119.15</v>
      </c>
      <c r="I2">
        <v>6.4</v>
      </c>
    </row>
    <row r="3" spans="1:9" x14ac:dyDescent="0.2">
      <c r="A3" t="s">
        <v>65</v>
      </c>
      <c r="B3" t="s">
        <v>65</v>
      </c>
      <c r="C3" t="s">
        <v>66</v>
      </c>
      <c r="D3" t="s">
        <v>69</v>
      </c>
      <c r="E3" t="s">
        <v>71</v>
      </c>
      <c r="F3">
        <v>378.69</v>
      </c>
      <c r="G3">
        <v>27</v>
      </c>
      <c r="H3">
        <v>405.69</v>
      </c>
      <c r="I3">
        <v>10.8</v>
      </c>
    </row>
    <row r="4" spans="1:9" x14ac:dyDescent="0.2">
      <c r="A4" t="s">
        <v>65</v>
      </c>
      <c r="B4" t="s">
        <v>65</v>
      </c>
      <c r="C4" t="s">
        <v>66</v>
      </c>
      <c r="D4" t="s">
        <v>69</v>
      </c>
      <c r="E4" t="s">
        <v>72</v>
      </c>
      <c r="F4">
        <v>778.24</v>
      </c>
      <c r="G4">
        <v>7</v>
      </c>
      <c r="H4">
        <v>785.24</v>
      </c>
      <c r="I4">
        <v>2.8</v>
      </c>
    </row>
    <row r="5" spans="1:9" x14ac:dyDescent="0.2">
      <c r="A5" t="s">
        <v>65</v>
      </c>
      <c r="B5" t="s">
        <v>73</v>
      </c>
      <c r="C5" t="s">
        <v>66</v>
      </c>
      <c r="D5" t="s">
        <v>69</v>
      </c>
      <c r="E5" t="s">
        <v>74</v>
      </c>
      <c r="F5">
        <v>65.099999999999994</v>
      </c>
      <c r="G5">
        <v>7</v>
      </c>
      <c r="H5">
        <v>72.099999999999994</v>
      </c>
      <c r="I5">
        <v>2.8</v>
      </c>
    </row>
    <row r="6" spans="1:9" x14ac:dyDescent="0.2">
      <c r="A6" t="s">
        <v>65</v>
      </c>
      <c r="B6" t="s">
        <v>75</v>
      </c>
      <c r="C6" t="s">
        <v>66</v>
      </c>
      <c r="D6" t="s">
        <v>69</v>
      </c>
      <c r="E6" t="s">
        <v>76</v>
      </c>
      <c r="F6">
        <v>233.44</v>
      </c>
      <c r="G6">
        <v>7</v>
      </c>
      <c r="H6">
        <v>240.44</v>
      </c>
      <c r="I6">
        <v>2.8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286B-D4AA-49C5-8CAA-AAD857028BC9}">
  <sheetPr codeName="Sheet1"/>
  <dimension ref="A1:G28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0.25" bestFit="1" customWidth="1"/>
    <col min="2" max="2" width="15.375" customWidth="1"/>
    <col min="3" max="4" width="15.375" bestFit="1" customWidth="1"/>
    <col min="5" max="5" width="20.625" bestFit="1" customWidth="1"/>
    <col min="6" max="6" width="46.875" bestFit="1" customWidth="1"/>
    <col min="7" max="7" width="11.875" bestFit="1" customWidth="1"/>
  </cols>
  <sheetData>
    <row r="1" spans="1:7" ht="33" x14ac:dyDescent="0.2">
      <c r="A1" s="18" t="s">
        <v>42</v>
      </c>
      <c r="B1" s="18" t="s">
        <v>39</v>
      </c>
      <c r="C1" s="17" t="s">
        <v>0</v>
      </c>
      <c r="D1" s="17" t="s">
        <v>40</v>
      </c>
      <c r="E1" s="18" t="s">
        <v>47</v>
      </c>
      <c r="F1" s="18" t="s">
        <v>48</v>
      </c>
      <c r="G1" s="18" t="s">
        <v>49</v>
      </c>
    </row>
    <row r="2" spans="1:7" x14ac:dyDescent="0.2">
      <c r="A2" t="s">
        <v>74</v>
      </c>
      <c r="B2" t="s">
        <v>73</v>
      </c>
      <c r="C2" t="s">
        <v>65</v>
      </c>
      <c r="D2" t="s">
        <v>66</v>
      </c>
      <c r="E2" t="s">
        <v>77</v>
      </c>
      <c r="F2" t="s">
        <v>78</v>
      </c>
      <c r="G2">
        <v>1</v>
      </c>
    </row>
    <row r="3" spans="1:7" x14ac:dyDescent="0.2">
      <c r="A3" t="s">
        <v>76</v>
      </c>
      <c r="B3" t="s">
        <v>75</v>
      </c>
      <c r="C3" t="s">
        <v>65</v>
      </c>
      <c r="D3" t="s">
        <v>66</v>
      </c>
      <c r="E3" t="s">
        <v>79</v>
      </c>
      <c r="F3" t="s">
        <v>80</v>
      </c>
      <c r="G3">
        <v>1</v>
      </c>
    </row>
    <row r="4" spans="1:7" x14ac:dyDescent="0.2">
      <c r="A4" t="s">
        <v>76</v>
      </c>
      <c r="B4" t="s">
        <v>75</v>
      </c>
      <c r="C4" t="s">
        <v>65</v>
      </c>
      <c r="D4" t="s">
        <v>66</v>
      </c>
      <c r="E4" t="s">
        <v>81</v>
      </c>
      <c r="F4" t="s">
        <v>82</v>
      </c>
      <c r="G4">
        <v>1</v>
      </c>
    </row>
    <row r="5" spans="1:7" x14ac:dyDescent="0.2">
      <c r="A5" t="s">
        <v>76</v>
      </c>
      <c r="B5" t="s">
        <v>75</v>
      </c>
      <c r="C5" t="s">
        <v>65</v>
      </c>
      <c r="D5" t="s">
        <v>66</v>
      </c>
      <c r="E5" t="s">
        <v>83</v>
      </c>
      <c r="F5" t="s">
        <v>84</v>
      </c>
      <c r="G5">
        <v>1</v>
      </c>
    </row>
    <row r="6" spans="1:7" x14ac:dyDescent="0.2">
      <c r="A6" t="s">
        <v>76</v>
      </c>
      <c r="B6" t="s">
        <v>75</v>
      </c>
      <c r="C6" t="s">
        <v>65</v>
      </c>
      <c r="D6" t="s">
        <v>66</v>
      </c>
      <c r="E6" t="s">
        <v>85</v>
      </c>
      <c r="F6" t="s">
        <v>86</v>
      </c>
      <c r="G6">
        <v>2</v>
      </c>
    </row>
    <row r="7" spans="1:7" x14ac:dyDescent="0.2">
      <c r="A7" t="s">
        <v>76</v>
      </c>
      <c r="B7" t="s">
        <v>75</v>
      </c>
      <c r="C7" t="s">
        <v>65</v>
      </c>
      <c r="D7" t="s">
        <v>66</v>
      </c>
      <c r="E7" t="s">
        <v>87</v>
      </c>
      <c r="F7" t="s">
        <v>88</v>
      </c>
      <c r="G7">
        <v>1</v>
      </c>
    </row>
    <row r="8" spans="1:7" x14ac:dyDescent="0.2">
      <c r="A8" t="s">
        <v>76</v>
      </c>
      <c r="B8" t="s">
        <v>75</v>
      </c>
      <c r="C8" t="s">
        <v>65</v>
      </c>
      <c r="D8" t="s">
        <v>66</v>
      </c>
      <c r="E8" t="s">
        <v>89</v>
      </c>
      <c r="F8" t="s">
        <v>90</v>
      </c>
      <c r="G8">
        <v>2</v>
      </c>
    </row>
    <row r="9" spans="1:7" x14ac:dyDescent="0.2">
      <c r="A9" t="s">
        <v>76</v>
      </c>
      <c r="B9" t="s">
        <v>75</v>
      </c>
      <c r="C9" t="s">
        <v>65</v>
      </c>
      <c r="D9" t="s">
        <v>66</v>
      </c>
      <c r="E9" t="s">
        <v>91</v>
      </c>
      <c r="F9" t="s">
        <v>92</v>
      </c>
      <c r="G9">
        <v>1</v>
      </c>
    </row>
    <row r="10" spans="1:7" x14ac:dyDescent="0.2">
      <c r="A10" t="s">
        <v>76</v>
      </c>
      <c r="B10" t="s">
        <v>75</v>
      </c>
      <c r="C10" t="s">
        <v>65</v>
      </c>
      <c r="D10" t="s">
        <v>66</v>
      </c>
      <c r="E10" t="s">
        <v>93</v>
      </c>
      <c r="F10" t="s">
        <v>94</v>
      </c>
      <c r="G10">
        <v>1</v>
      </c>
    </row>
    <row r="11" spans="1:7" x14ac:dyDescent="0.2">
      <c r="A11" t="s">
        <v>76</v>
      </c>
      <c r="B11" t="s">
        <v>75</v>
      </c>
      <c r="C11" t="s">
        <v>65</v>
      </c>
      <c r="D11" t="s">
        <v>66</v>
      </c>
      <c r="E11" t="s">
        <v>95</v>
      </c>
      <c r="F11" t="s">
        <v>96</v>
      </c>
      <c r="G11">
        <v>1</v>
      </c>
    </row>
    <row r="12" spans="1:7" x14ac:dyDescent="0.2">
      <c r="A12" t="s">
        <v>76</v>
      </c>
      <c r="B12" t="s">
        <v>75</v>
      </c>
      <c r="C12" t="s">
        <v>65</v>
      </c>
      <c r="D12" t="s">
        <v>66</v>
      </c>
      <c r="E12" t="s">
        <v>97</v>
      </c>
      <c r="F12" t="s">
        <v>96</v>
      </c>
      <c r="G12">
        <v>1</v>
      </c>
    </row>
    <row r="13" spans="1:7" x14ac:dyDescent="0.2">
      <c r="A13" t="s">
        <v>76</v>
      </c>
      <c r="B13" t="s">
        <v>75</v>
      </c>
      <c r="C13" t="s">
        <v>65</v>
      </c>
      <c r="D13" t="s">
        <v>66</v>
      </c>
      <c r="E13" t="s">
        <v>98</v>
      </c>
      <c r="F13" t="s">
        <v>99</v>
      </c>
      <c r="G13">
        <v>1</v>
      </c>
    </row>
    <row r="14" spans="1:7" x14ac:dyDescent="0.2">
      <c r="A14" t="s">
        <v>71</v>
      </c>
      <c r="B14" t="s">
        <v>65</v>
      </c>
      <c r="C14" t="s">
        <v>65</v>
      </c>
      <c r="D14" t="s">
        <v>66</v>
      </c>
      <c r="E14" t="s">
        <v>100</v>
      </c>
      <c r="F14" t="s">
        <v>101</v>
      </c>
      <c r="G14">
        <v>1</v>
      </c>
    </row>
    <row r="15" spans="1:7" x14ac:dyDescent="0.2">
      <c r="A15" t="s">
        <v>72</v>
      </c>
      <c r="B15" t="s">
        <v>65</v>
      </c>
      <c r="C15" t="s">
        <v>65</v>
      </c>
      <c r="D15" t="s">
        <v>66</v>
      </c>
      <c r="E15" t="s">
        <v>102</v>
      </c>
      <c r="F15" t="s">
        <v>103</v>
      </c>
      <c r="G15">
        <v>3</v>
      </c>
    </row>
    <row r="16" spans="1:7" x14ac:dyDescent="0.2">
      <c r="A16" t="s">
        <v>72</v>
      </c>
      <c r="B16" t="s">
        <v>65</v>
      </c>
      <c r="C16" t="s">
        <v>65</v>
      </c>
      <c r="D16" t="s">
        <v>66</v>
      </c>
      <c r="E16" t="s">
        <v>104</v>
      </c>
      <c r="F16" t="s">
        <v>105</v>
      </c>
      <c r="G16">
        <v>1</v>
      </c>
    </row>
    <row r="17" spans="1:7" x14ac:dyDescent="0.2">
      <c r="A17" t="s">
        <v>72</v>
      </c>
      <c r="B17" t="s">
        <v>65</v>
      </c>
      <c r="C17" t="s">
        <v>65</v>
      </c>
      <c r="D17" t="s">
        <v>66</v>
      </c>
      <c r="E17" t="s">
        <v>106</v>
      </c>
      <c r="F17" t="s">
        <v>107</v>
      </c>
      <c r="G17">
        <v>1</v>
      </c>
    </row>
    <row r="18" spans="1:7" x14ac:dyDescent="0.2">
      <c r="A18" t="s">
        <v>72</v>
      </c>
      <c r="B18" t="s">
        <v>65</v>
      </c>
      <c r="C18" t="s">
        <v>65</v>
      </c>
      <c r="D18" t="s">
        <v>66</v>
      </c>
      <c r="E18" t="s">
        <v>108</v>
      </c>
      <c r="F18" t="s">
        <v>109</v>
      </c>
      <c r="G18">
        <v>1</v>
      </c>
    </row>
    <row r="19" spans="1:7" x14ac:dyDescent="0.2">
      <c r="A19" t="s">
        <v>72</v>
      </c>
      <c r="B19" t="s">
        <v>65</v>
      </c>
      <c r="C19" t="s">
        <v>65</v>
      </c>
      <c r="D19" t="s">
        <v>66</v>
      </c>
      <c r="E19" t="s">
        <v>110</v>
      </c>
      <c r="F19" t="s">
        <v>111</v>
      </c>
      <c r="G19">
        <v>1</v>
      </c>
    </row>
    <row r="20" spans="1:7" x14ac:dyDescent="0.2">
      <c r="A20" t="s">
        <v>72</v>
      </c>
      <c r="B20" t="s">
        <v>65</v>
      </c>
      <c r="C20" t="s">
        <v>65</v>
      </c>
      <c r="D20" t="s">
        <v>66</v>
      </c>
      <c r="E20" t="s">
        <v>95</v>
      </c>
      <c r="F20" t="s">
        <v>96</v>
      </c>
      <c r="G20">
        <v>2</v>
      </c>
    </row>
    <row r="21" spans="1:7" x14ac:dyDescent="0.2">
      <c r="A21" t="s">
        <v>72</v>
      </c>
      <c r="B21" t="s">
        <v>65</v>
      </c>
      <c r="C21" t="s">
        <v>65</v>
      </c>
      <c r="D21" t="s">
        <v>66</v>
      </c>
      <c r="E21" t="s">
        <v>112</v>
      </c>
      <c r="F21" t="s">
        <v>113</v>
      </c>
      <c r="G21">
        <v>2</v>
      </c>
    </row>
    <row r="22" spans="1:7" x14ac:dyDescent="0.2">
      <c r="A22" t="s">
        <v>72</v>
      </c>
      <c r="B22" t="s">
        <v>65</v>
      </c>
      <c r="C22" t="s">
        <v>65</v>
      </c>
      <c r="D22" t="s">
        <v>66</v>
      </c>
      <c r="E22" t="s">
        <v>114</v>
      </c>
      <c r="F22" t="s">
        <v>115</v>
      </c>
      <c r="G22">
        <v>2</v>
      </c>
    </row>
    <row r="23" spans="1:7" x14ac:dyDescent="0.2">
      <c r="A23" t="s">
        <v>72</v>
      </c>
      <c r="B23" t="s">
        <v>65</v>
      </c>
      <c r="C23" t="s">
        <v>65</v>
      </c>
      <c r="D23" t="s">
        <v>66</v>
      </c>
      <c r="E23" t="s">
        <v>116</v>
      </c>
      <c r="F23" t="s">
        <v>117</v>
      </c>
      <c r="G23">
        <v>1</v>
      </c>
    </row>
    <row r="24" spans="1:7" x14ac:dyDescent="0.2">
      <c r="A24" t="s">
        <v>72</v>
      </c>
      <c r="B24" t="s">
        <v>65</v>
      </c>
      <c r="C24" t="s">
        <v>65</v>
      </c>
      <c r="D24" t="s">
        <v>66</v>
      </c>
      <c r="E24" t="s">
        <v>118</v>
      </c>
      <c r="F24" t="s">
        <v>119</v>
      </c>
      <c r="G24">
        <v>2</v>
      </c>
    </row>
    <row r="25" spans="1:7" x14ac:dyDescent="0.2">
      <c r="A25" t="s">
        <v>72</v>
      </c>
      <c r="B25" t="s">
        <v>65</v>
      </c>
      <c r="C25" t="s">
        <v>65</v>
      </c>
      <c r="D25" t="s">
        <v>66</v>
      </c>
      <c r="E25" t="s">
        <v>120</v>
      </c>
      <c r="F25" t="s">
        <v>121</v>
      </c>
      <c r="G25">
        <v>1</v>
      </c>
    </row>
    <row r="26" spans="1:7" x14ac:dyDescent="0.2">
      <c r="A26" t="s">
        <v>72</v>
      </c>
      <c r="B26" t="s">
        <v>65</v>
      </c>
      <c r="C26" t="s">
        <v>65</v>
      </c>
      <c r="D26" t="s">
        <v>66</v>
      </c>
      <c r="E26" t="s">
        <v>122</v>
      </c>
      <c r="F26" t="s">
        <v>123</v>
      </c>
      <c r="G26">
        <v>2</v>
      </c>
    </row>
    <row r="27" spans="1:7" x14ac:dyDescent="0.2">
      <c r="A27" t="s">
        <v>72</v>
      </c>
      <c r="B27" t="s">
        <v>65</v>
      </c>
      <c r="C27" t="s">
        <v>65</v>
      </c>
      <c r="D27" t="s">
        <v>66</v>
      </c>
      <c r="E27" t="s">
        <v>124</v>
      </c>
      <c r="F27" t="s">
        <v>125</v>
      </c>
      <c r="G27">
        <v>1</v>
      </c>
    </row>
    <row r="28" spans="1:7" x14ac:dyDescent="0.2">
      <c r="A28" t="s">
        <v>70</v>
      </c>
      <c r="B28" t="s">
        <v>65</v>
      </c>
      <c r="C28" t="s">
        <v>65</v>
      </c>
      <c r="D28" t="s">
        <v>66</v>
      </c>
      <c r="E28" t="s">
        <v>126</v>
      </c>
      <c r="F28" t="s">
        <v>127</v>
      </c>
      <c r="G28">
        <v>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3C32-AECC-4B6E-918F-E1F0669FF4A5}">
  <sheetPr codeName="Sheet2"/>
  <dimension ref="A1:Q3"/>
  <sheetViews>
    <sheetView workbookViewId="0">
      <pane ySplit="1" topLeftCell="A2" activePane="bottomLeft" state="frozen"/>
      <selection pane="bottomLeft"/>
    </sheetView>
  </sheetViews>
  <sheetFormatPr defaultRowHeight="14.25" x14ac:dyDescent="0.2"/>
  <sheetData>
    <row r="1" spans="1:17" ht="16.5" x14ac:dyDescent="0.35">
      <c r="A1" s="19" t="s">
        <v>21</v>
      </c>
      <c r="B1" s="19" t="s">
        <v>22</v>
      </c>
      <c r="C1" s="20" t="s">
        <v>23</v>
      </c>
      <c r="D1" s="20" t="s">
        <v>24</v>
      </c>
      <c r="E1" s="19" t="s">
        <v>25</v>
      </c>
      <c r="F1" s="19" t="s">
        <v>26</v>
      </c>
      <c r="G1" s="19" t="s">
        <v>27</v>
      </c>
      <c r="H1" s="19" t="s">
        <v>28</v>
      </c>
      <c r="I1" s="19" t="s">
        <v>29</v>
      </c>
      <c r="J1" s="19" t="s">
        <v>30</v>
      </c>
      <c r="K1" s="19" t="s">
        <v>31</v>
      </c>
      <c r="L1" s="19" t="s">
        <v>32</v>
      </c>
      <c r="M1" s="19" t="s">
        <v>33</v>
      </c>
      <c r="N1" s="19" t="s">
        <v>34</v>
      </c>
      <c r="O1" s="19" t="s">
        <v>35</v>
      </c>
      <c r="P1" s="19" t="s">
        <v>36</v>
      </c>
      <c r="Q1" s="21" t="s">
        <v>37</v>
      </c>
    </row>
    <row r="3" spans="1:17" x14ac:dyDescent="0.2">
      <c r="A3" t="s">
        <v>68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F574-6AB1-4BB4-98EE-C05FE6BB3FC8}">
  <sheetPr codeName="Sheet7"/>
  <dimension ref="A1:Q3"/>
  <sheetViews>
    <sheetView workbookViewId="0">
      <pane ySplit="1" topLeftCell="A2" activePane="bottomLeft" state="frozen"/>
      <selection pane="bottomLeft" activeCell="P51" sqref="P51"/>
    </sheetView>
  </sheetViews>
  <sheetFormatPr defaultRowHeight="16.5" x14ac:dyDescent="0.35"/>
  <cols>
    <col min="1" max="15" width="9" style="19"/>
    <col min="16" max="16" width="16.625" style="19" customWidth="1"/>
    <col min="17" max="16384" width="9" style="19"/>
  </cols>
  <sheetData>
    <row r="1" spans="1:17" x14ac:dyDescent="0.35">
      <c r="A1" s="19" t="s">
        <v>21</v>
      </c>
      <c r="B1" s="19" t="s">
        <v>22</v>
      </c>
      <c r="C1" s="20" t="s">
        <v>23</v>
      </c>
      <c r="D1" s="20" t="s">
        <v>24</v>
      </c>
      <c r="E1" s="19" t="s">
        <v>25</v>
      </c>
      <c r="F1" s="19" t="s">
        <v>26</v>
      </c>
      <c r="G1" s="19" t="s">
        <v>27</v>
      </c>
      <c r="H1" s="19" t="s">
        <v>28</v>
      </c>
      <c r="I1" s="19" t="s">
        <v>29</v>
      </c>
      <c r="J1" s="19" t="s">
        <v>30</v>
      </c>
      <c r="K1" s="19" t="s">
        <v>31</v>
      </c>
      <c r="L1" s="19" t="s">
        <v>32</v>
      </c>
      <c r="M1" s="19" t="s">
        <v>33</v>
      </c>
      <c r="N1" s="19" t="s">
        <v>34</v>
      </c>
      <c r="O1" s="19" t="s">
        <v>35</v>
      </c>
      <c r="P1" s="19" t="s">
        <v>36</v>
      </c>
      <c r="Q1" s="21" t="s">
        <v>37</v>
      </c>
    </row>
    <row r="3" spans="1:17" x14ac:dyDescent="0.35">
      <c r="A3" s="19" t="s">
        <v>68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C9E0-011C-4D25-8AB7-49E0FB99003A}">
  <sheetPr codeName="Sheet8"/>
  <dimension ref="A1:O2"/>
  <sheetViews>
    <sheetView zoomScale="70" zoomScaleNormal="70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5.625" customWidth="1"/>
    <col min="2" max="2" width="11" style="30" customWidth="1"/>
    <col min="3" max="3" width="9" customWidth="1"/>
    <col min="4" max="4" width="17.875" customWidth="1"/>
    <col min="5" max="5" width="9" customWidth="1"/>
    <col min="6" max="6" width="25.125" bestFit="1" customWidth="1"/>
    <col min="7" max="7" width="30.375" customWidth="1"/>
    <col min="8" max="8" width="18.5" customWidth="1"/>
    <col min="9" max="9" width="19.5" customWidth="1"/>
    <col min="10" max="10" width="20.25" customWidth="1"/>
    <col min="11" max="11" width="22.5" customWidth="1"/>
    <col min="12" max="12" width="13.875" customWidth="1"/>
    <col min="13" max="13" width="14.125" customWidth="1"/>
    <col min="14" max="14" width="15.375" bestFit="1" customWidth="1"/>
    <col min="15" max="15" width="18.125" bestFit="1" customWidth="1"/>
  </cols>
  <sheetData>
    <row r="1" spans="1:15" ht="43.5" customHeight="1" x14ac:dyDescent="0.2">
      <c r="A1" s="22" t="s">
        <v>50</v>
      </c>
      <c r="B1" s="23" t="s">
        <v>51</v>
      </c>
      <c r="C1" s="24" t="s">
        <v>52</v>
      </c>
      <c r="D1" s="25" t="s">
        <v>53</v>
      </c>
      <c r="E1" s="24" t="s">
        <v>54</v>
      </c>
      <c r="F1" s="26" t="s">
        <v>55</v>
      </c>
      <c r="G1" s="27" t="s">
        <v>56</v>
      </c>
      <c r="H1" s="28" t="s">
        <v>57</v>
      </c>
      <c r="I1" s="28" t="s">
        <v>1</v>
      </c>
      <c r="J1" s="27" t="s">
        <v>58</v>
      </c>
      <c r="K1" s="26" t="s">
        <v>59</v>
      </c>
      <c r="L1" s="26" t="s">
        <v>60</v>
      </c>
      <c r="M1" s="29" t="s">
        <v>61</v>
      </c>
      <c r="N1" s="26" t="s">
        <v>62</v>
      </c>
      <c r="O1" s="27" t="s">
        <v>63</v>
      </c>
    </row>
    <row r="2" spans="1:15" x14ac:dyDescent="0.2">
      <c r="A2" t="s">
        <v>64</v>
      </c>
      <c r="B2" s="30">
        <v>1120</v>
      </c>
      <c r="C2" t="s">
        <v>38</v>
      </c>
      <c r="F2" t="s">
        <v>128</v>
      </c>
      <c r="G2" t="s">
        <v>129</v>
      </c>
      <c r="H2" t="s">
        <v>65</v>
      </c>
      <c r="I2" t="s">
        <v>66</v>
      </c>
      <c r="J2" t="s">
        <v>130</v>
      </c>
      <c r="K2" t="s">
        <v>131</v>
      </c>
      <c r="L2">
        <v>1</v>
      </c>
      <c r="M2">
        <v>202407</v>
      </c>
      <c r="N2" s="46">
        <v>45475.652222222219</v>
      </c>
      <c r="O2" t="s">
        <v>132</v>
      </c>
    </row>
  </sheetData>
  <phoneticPr fontId="3" type="noConversion"/>
  <conditionalFormatting sqref="F1">
    <cfRule type="duplicateValues" dxfId="1" priority="1"/>
  </conditionalFormatting>
  <conditionalFormatting sqref="F1">
    <cfRule type="duplicateValues" dxfId="0" priority="2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monthly bill</vt:lpstr>
      <vt:lpstr>Accessories discount</vt:lpstr>
      <vt:lpstr>spare parts fee + service fee</vt:lpstr>
      <vt:lpstr>Maintenance list</vt:lpstr>
      <vt:lpstr>Service prohibition</vt:lpstr>
      <vt:lpstr>other compensation</vt:lpstr>
      <vt:lpstr>DOA to 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Lena.Li(李思瑶)</dc:creator>
  <cp:lastModifiedBy>Lena.Li(李思瑶)</cp:lastModifiedBy>
  <dcterms:created xsi:type="dcterms:W3CDTF">2024-08-16T06:50:47Z</dcterms:created>
  <dcterms:modified xsi:type="dcterms:W3CDTF">2024-08-16T06:51:29Z</dcterms:modified>
</cp:coreProperties>
</file>