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6F1C6C8E-4871-4EFA-9FCA-6D1C90773136}" xr6:coauthVersionLast="36" xr6:coauthVersionMax="36" xr10:uidLastSave="{00000000-0000-0000-0000-000000000000}"/>
  <bookViews>
    <workbookView xWindow="0" yWindow="0" windowWidth="28800" windowHeight="12135" xr2:uid="{0156FC89-55A7-4349-A26D-5BFB779AB2D3}"/>
  </bookViews>
  <sheets>
    <sheet name="monthly bill" sheetId="3" r:id="rId1"/>
    <sheet name="Accessories discount" sheetId="4" r:id="rId2"/>
    <sheet name="spare parts fee" sheetId="5" r:id="rId3"/>
    <sheet name="service fee" sheetId="6" r:id="rId4"/>
    <sheet name="tariff compensation" sheetId="7" r:id="rId5"/>
    <sheet name="Maintenance list" sheetId="8" r:id="rId6"/>
    <sheet name="service red-line deduction" sheetId="9" r:id="rId7"/>
    <sheet name="bad parts deduction" sheetId="10" r:id="rId8"/>
    <sheet name="other compensation" sheetId="11" r:id="rId9"/>
    <sheet name="DOA to CM" sheetId="12" r:id="rId10"/>
    <sheet name="pre-payment balance" sheetId="13" r:id="rId11"/>
  </sheets>
  <definedNames>
    <definedName name="_xlnm._FilterDatabase" localSheetId="1" hidden="1">'Accessories discount'!$A$1:$Q$1</definedName>
    <definedName name="_xlnm._FilterDatabase" localSheetId="9" hidden="1">'DOA to CM'!$A$1:$P$1</definedName>
    <definedName name="_xlnm._FilterDatabase" localSheetId="10" hidden="1">'pre-payment balance'!$A$1:$L$1</definedName>
    <definedName name="_xlnm._FilterDatabase" localSheetId="3" hidden="1">'service fee'!$A$1:$Q$1</definedName>
    <definedName name="_xlnm._FilterDatabase" localSheetId="2" hidden="1">'spare parts fee'!$A$1:$Q$1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3" l="1"/>
  <c r="E17" i="3" s="1"/>
  <c r="E13" i="3"/>
  <c r="E12" i="3"/>
  <c r="E11" i="3"/>
  <c r="E10" i="3"/>
  <c r="E9" i="3"/>
  <c r="E8" i="3"/>
  <c r="E7" i="3"/>
  <c r="E5" i="3"/>
  <c r="E6" i="3" s="1"/>
  <c r="E14" i="3" l="1"/>
  <c r="E15" i="3" s="1"/>
</calcChain>
</file>

<file path=xl/sharedStrings.xml><?xml version="1.0" encoding="utf-8"?>
<sst xmlns="http://schemas.openxmlformats.org/spreadsheetml/2006/main" count="1540" uniqueCount="363">
  <si>
    <t>Distributor Name</t>
    <phoneticPr fontId="2" type="noConversion"/>
  </si>
  <si>
    <t>Distributor Account</t>
    <phoneticPr fontId="2" type="noConversion"/>
  </si>
  <si>
    <t>tariff compensation</t>
    <phoneticPr fontId="2" type="noConversion"/>
  </si>
  <si>
    <t>service red-line deduction</t>
    <phoneticPr fontId="2" type="noConversion"/>
  </si>
  <si>
    <t>bad parts deduction</t>
    <phoneticPr fontId="2" type="noConversion"/>
  </si>
  <si>
    <t>other compensation</t>
    <phoneticPr fontId="2" type="noConversion"/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</si>
  <si>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Sep</t>
    </r>
    <phoneticPr fontId="2" type="noConversion"/>
  </si>
  <si>
    <t>Dealer</t>
  </si>
  <si>
    <t>Dealer Account：</t>
  </si>
  <si>
    <t>Credit Trading</t>
  </si>
  <si>
    <t>Amount</t>
  </si>
  <si>
    <t>Remarks</t>
    <phoneticPr fontId="2" type="noConversion"/>
  </si>
  <si>
    <t>Expenditure item</t>
  </si>
  <si>
    <t>spare parts order</t>
    <phoneticPr fontId="2" type="noConversion"/>
  </si>
  <si>
    <t>Total Expenditure</t>
  </si>
  <si>
    <t>Income item</t>
  </si>
  <si>
    <t>spare parts fee of warranty cases</t>
    <phoneticPr fontId="2" type="noConversion"/>
  </si>
  <si>
    <t>service fee of warranty cases</t>
    <phoneticPr fontId="2" type="noConversion"/>
  </si>
  <si>
    <t>battery/DOA cases</t>
    <phoneticPr fontId="2" type="noConversion"/>
  </si>
  <si>
    <t>Total Income</t>
  </si>
  <si>
    <t>Credit Balance</t>
  </si>
  <si>
    <t>For your reference</t>
  </si>
  <si>
    <t>pre-payment</t>
  </si>
  <si>
    <t>pre-payment balance</t>
  </si>
  <si>
    <t>Total pre-payment</t>
  </si>
  <si>
    <t>Please use your balance as soon as possible</t>
  </si>
  <si>
    <t>Serial Number</t>
  </si>
  <si>
    <t>Creation Date</t>
  </si>
  <si>
    <t>Dealer Name</t>
    <phoneticPr fontId="2" type="noConversion"/>
  </si>
  <si>
    <t>Billing Type</t>
  </si>
  <si>
    <t>Bill No.</t>
  </si>
  <si>
    <t>Expense Type</t>
  </si>
  <si>
    <t>Calculation Type</t>
  </si>
  <si>
    <t>Operation Type</t>
  </si>
  <si>
    <t>Currency</t>
  </si>
  <si>
    <t>Trading Amount</t>
  </si>
  <si>
    <t>plus-minus</t>
  </si>
  <si>
    <t>Balance</t>
  </si>
  <si>
    <t>Receiving Status</t>
  </si>
  <si>
    <t>Remarks</t>
  </si>
  <si>
    <t>Month</t>
  </si>
  <si>
    <t>Quota adjustment</t>
  </si>
  <si>
    <t>deduction</t>
  </si>
  <si>
    <t>Manual adjustment</t>
  </si>
  <si>
    <t>USD</t>
  </si>
  <si>
    <t>Increase</t>
  </si>
  <si>
    <t>Local repair-in warranty</t>
  </si>
  <si>
    <t>Repair spare parts fee</t>
  </si>
  <si>
    <t>Automatically generate</t>
  </si>
  <si>
    <t>Month</t>
    <phoneticPr fontId="2" type="noConversion"/>
  </si>
  <si>
    <t>Repair service fee</t>
  </si>
  <si>
    <t>FQAO251029000021</t>
  </si>
  <si>
    <r>
      <rPr>
        <b/>
        <sz val="11"/>
        <color theme="0"/>
        <rFont val="微软雅黑"/>
        <family val="2"/>
        <charset val="134"/>
      </rPr>
      <t>案例编号</t>
    </r>
    <r>
      <rPr>
        <b/>
        <sz val="11"/>
        <color theme="0"/>
        <rFont val="Arial"/>
        <family val="2"/>
      </rPr>
      <t>Case Number</t>
    </r>
  </si>
  <si>
    <r>
      <rPr>
        <b/>
        <sz val="11"/>
        <color theme="0"/>
        <rFont val="微软雅黑"/>
        <family val="2"/>
        <charset val="134"/>
      </rPr>
      <t>代理商名称</t>
    </r>
    <r>
      <rPr>
        <b/>
        <sz val="11"/>
        <color theme="0"/>
        <rFont val="Arial"/>
        <family val="2"/>
      </rPr>
      <t>Dealer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</si>
  <si>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上级代理商名称</t>
    </r>
    <r>
      <rPr>
        <b/>
        <sz val="11"/>
        <color theme="0"/>
        <rFont val="Arial"/>
        <family val="2"/>
      </rPr>
      <t>Distributor Name</t>
    </r>
    <phoneticPr fontId="2" type="noConversion"/>
  </si>
  <si>
    <r>
      <rPr>
        <b/>
        <sz val="11"/>
        <color theme="0"/>
        <rFont val="微软雅黑"/>
        <family val="2"/>
        <charset val="134"/>
      </rPr>
      <t>上级代理商账号</t>
    </r>
    <r>
      <rPr>
        <b/>
        <sz val="11"/>
        <color theme="0"/>
        <rFont val="Arial"/>
        <family val="2"/>
      </rPr>
      <t>Distributor Account</t>
    </r>
    <phoneticPr fontId="2" type="noConversion"/>
  </si>
  <si>
    <r>
      <rPr>
        <b/>
        <sz val="11"/>
        <color theme="0"/>
        <rFont val="微软雅黑"/>
        <family val="2"/>
        <charset val="134"/>
      </rPr>
      <t>物料编码</t>
    </r>
    <r>
      <rPr>
        <b/>
        <sz val="11"/>
        <color theme="0"/>
        <rFont val="Arial"/>
        <family val="2"/>
      </rPr>
      <t>Material code</t>
    </r>
  </si>
  <si>
    <r>
      <rPr>
        <b/>
        <sz val="11"/>
        <color theme="0"/>
        <rFont val="微软雅黑"/>
        <family val="2"/>
        <charset val="134"/>
      </rPr>
      <t>物料名称</t>
    </r>
    <r>
      <rPr>
        <b/>
        <sz val="11"/>
        <color theme="0"/>
        <rFont val="Arial"/>
        <family val="2"/>
      </rPr>
      <t>Material name</t>
    </r>
  </si>
  <si>
    <r>
      <rPr>
        <b/>
        <sz val="11"/>
        <color theme="0"/>
        <rFont val="微软雅黑"/>
        <family val="2"/>
        <charset val="134"/>
      </rPr>
      <t>数量</t>
    </r>
    <r>
      <rPr>
        <b/>
        <sz val="11"/>
        <color theme="0"/>
        <rFont val="Arial"/>
        <family val="2"/>
      </rPr>
      <t>Quantity</t>
    </r>
  </si>
  <si>
    <r>
      <rPr>
        <b/>
        <sz val="11"/>
        <color theme="0"/>
        <rFont val="黑体"/>
        <family val="3"/>
        <charset val="134"/>
      </rPr>
      <t>币种</t>
    </r>
    <r>
      <rPr>
        <b/>
        <sz val="11"/>
        <color theme="0"/>
        <rFont val="Arial"/>
        <family val="2"/>
      </rPr>
      <t>Currency</t>
    </r>
    <phoneticPr fontId="2" type="noConversion"/>
  </si>
  <si>
    <r>
      <rPr>
        <b/>
        <sz val="11"/>
        <color theme="0"/>
        <rFont val="黑体"/>
        <family val="3"/>
        <charset val="134"/>
      </rPr>
      <t>物料单价</t>
    </r>
    <r>
      <rPr>
        <b/>
        <sz val="11"/>
        <color theme="0"/>
        <rFont val="Arial"/>
        <family val="2"/>
      </rPr>
      <t>Material unit price</t>
    </r>
    <phoneticPr fontId="2" type="noConversion"/>
  </si>
  <si>
    <r>
      <rPr>
        <b/>
        <sz val="11"/>
        <color theme="0"/>
        <rFont val="黑体"/>
        <family val="3"/>
        <charset val="134"/>
      </rPr>
      <t>物料总价</t>
    </r>
    <r>
      <rPr>
        <b/>
        <sz val="11"/>
        <color theme="0"/>
        <rFont val="Arial"/>
        <family val="2"/>
      </rPr>
      <t>Total price of materials</t>
    </r>
    <phoneticPr fontId="2" type="noConversion"/>
  </si>
  <si>
    <t>plus-minus</t>
    <phoneticPr fontId="2" type="noConversion"/>
  </si>
  <si>
    <t>other</t>
  </si>
  <si>
    <r>
      <rPr>
        <b/>
        <sz val="11"/>
        <color rgb="FFFFFFFF"/>
        <rFont val="微软雅黑"/>
        <family val="2"/>
        <charset val="134"/>
      </rPr>
      <t>转售后</t>
    </r>
    <r>
      <rPr>
        <b/>
        <sz val="11"/>
        <color rgb="FFFFFFFF"/>
        <rFont val="Arial"/>
        <family val="2"/>
      </rPr>
      <t>Cedit
After-sale credit</t>
    </r>
    <phoneticPr fontId="2" type="noConversion"/>
  </si>
  <si>
    <r>
      <rPr>
        <b/>
        <sz val="11"/>
        <color rgb="FFFFFFFF"/>
        <rFont val="微软雅黑"/>
        <family val="2"/>
        <charset val="134"/>
      </rPr>
      <t>金额</t>
    </r>
    <r>
      <rPr>
        <b/>
        <sz val="11"/>
        <color rgb="FFFFFFFF"/>
        <rFont val="Arial"/>
        <family val="2"/>
      </rPr>
      <t>/Amount</t>
    </r>
  </si>
  <si>
    <r>
      <rPr>
        <b/>
        <sz val="11"/>
        <color rgb="FFFFFFFF"/>
        <rFont val="微软雅黑"/>
        <family val="2"/>
        <charset val="134"/>
      </rPr>
      <t>币种</t>
    </r>
  </si>
  <si>
    <t>CM单号
Credit number</t>
  </si>
  <si>
    <r>
      <rPr>
        <b/>
        <sz val="11"/>
        <color rgb="FFFFFFFF"/>
        <rFont val="微软雅黑"/>
        <family val="2"/>
        <charset val="134"/>
      </rPr>
      <t xml:space="preserve">其他说明
</t>
    </r>
    <r>
      <rPr>
        <b/>
        <sz val="11"/>
        <color rgb="FFFFFFFF"/>
        <rFont val="Arial"/>
        <family val="2"/>
      </rPr>
      <t>Supplement</t>
    </r>
    <phoneticPr fontId="2" type="noConversion"/>
  </si>
  <si>
    <r>
      <rPr>
        <b/>
        <sz val="11"/>
        <color rgb="FFFFFFFF"/>
        <rFont val="微软雅黑"/>
        <family val="2"/>
        <charset val="134"/>
      </rPr>
      <t xml:space="preserve">原始咨询案例
</t>
    </r>
    <r>
      <rPr>
        <b/>
        <sz val="11"/>
        <color rgb="FFFFFFFF"/>
        <rFont val="Arial"/>
        <family val="2"/>
      </rPr>
      <t>Original Technical Support Case</t>
    </r>
    <phoneticPr fontId="2" type="noConversion"/>
  </si>
  <si>
    <r>
      <t>DJI</t>
    </r>
    <r>
      <rPr>
        <b/>
        <sz val="11"/>
        <color rgb="FFFFFFFF"/>
        <rFont val="微软雅黑"/>
        <family val="2"/>
        <charset val="134"/>
      </rPr>
      <t xml:space="preserve">换货案例
</t>
    </r>
    <r>
      <rPr>
        <b/>
        <sz val="11"/>
        <color rgb="FFFFFFFF"/>
        <rFont val="Arial"/>
        <family val="2"/>
      </rPr>
      <t>DJI DOA Case</t>
    </r>
    <phoneticPr fontId="2" type="noConversion"/>
  </si>
  <si>
    <r>
      <rPr>
        <b/>
        <sz val="11"/>
        <color rgb="FFFFFFFF"/>
        <rFont val="微软雅黑"/>
        <family val="2"/>
        <charset val="134"/>
      </rPr>
      <t>客户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Distributor/Dealer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</si>
  <si>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</t>
    </r>
    <r>
      <rPr>
        <b/>
        <sz val="11"/>
        <color rgb="FFFF0000"/>
        <rFont val="Arial"/>
        <family val="2"/>
      </rPr>
      <t>(Distributor Name)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</si>
  <si>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上级代理商账号</t>
    </r>
    <r>
      <rPr>
        <b/>
        <sz val="11"/>
        <color rgb="FFFF0000"/>
        <rFont val="Arial"/>
        <family val="2"/>
      </rPr>
      <t>(Distributor Account)</t>
    </r>
    <phoneticPr fontId="2" type="noConversion"/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</si>
  <si>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 xml:space="preserve"> ID (</t>
    </r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)
Product ID</t>
    </r>
  </si>
  <si>
    <r>
      <rPr>
        <b/>
        <sz val="11"/>
        <color rgb="FFFFFFFF"/>
        <rFont val="微软雅黑"/>
        <family val="2"/>
        <charset val="134"/>
      </rPr>
      <t xml:space="preserve">产品
</t>
    </r>
    <r>
      <rPr>
        <b/>
        <sz val="11"/>
        <color rgb="FFFFFFFF"/>
        <rFont val="Arial"/>
        <family val="2"/>
      </rPr>
      <t xml:space="preserve">Product </t>
    </r>
  </si>
  <si>
    <r>
      <rPr>
        <b/>
        <sz val="11"/>
        <color rgb="FFFFFFFF"/>
        <rFont val="微软雅黑"/>
        <family val="2"/>
        <charset val="134"/>
      </rPr>
      <t xml:space="preserve">数量
</t>
    </r>
    <r>
      <rPr>
        <b/>
        <sz val="11"/>
        <color rgb="FFFFFFFF"/>
        <rFont val="Arial"/>
        <family val="2"/>
      </rPr>
      <t>Quantity</t>
    </r>
  </si>
  <si>
    <r>
      <rPr>
        <b/>
        <sz val="11"/>
        <color rgb="FFFFFFFF"/>
        <rFont val="微软雅黑"/>
        <family val="2"/>
        <charset val="134"/>
      </rPr>
      <t xml:space="preserve">月份
</t>
    </r>
    <r>
      <rPr>
        <b/>
        <sz val="11"/>
        <color rgb="FFFFFFFF"/>
        <rFont val="Arial"/>
        <family val="2"/>
      </rPr>
      <t>Month</t>
    </r>
  </si>
  <si>
    <r>
      <rPr>
        <b/>
        <sz val="11"/>
        <color rgb="FFFFFFFF"/>
        <rFont val="微软雅黑"/>
        <family val="2"/>
        <charset val="134"/>
      </rPr>
      <t>完成时间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发货单</t>
    </r>
    <r>
      <rPr>
        <b/>
        <sz val="11"/>
        <color rgb="FFFFFFFF"/>
        <rFont val="Arial"/>
        <family val="2"/>
      </rPr>
      <t>)
Date</t>
    </r>
  </si>
  <si>
    <r>
      <rPr>
        <b/>
        <sz val="11"/>
        <color rgb="FFFFFFFF"/>
        <rFont val="微软雅黑"/>
        <family val="2"/>
        <charset val="134"/>
      </rPr>
      <t>产品</t>
    </r>
    <r>
      <rPr>
        <b/>
        <sz val="11"/>
        <color rgb="FFFFFFFF"/>
        <rFont val="Arial"/>
        <family val="2"/>
      </rPr>
      <t>SN</t>
    </r>
    <r>
      <rPr>
        <b/>
        <sz val="11"/>
        <color rgb="FFFFFFFF"/>
        <rFont val="微软雅黑"/>
        <family val="2"/>
        <charset val="134"/>
      </rPr>
      <t>码</t>
    </r>
    <r>
      <rPr>
        <b/>
        <sz val="11"/>
        <color rgb="FFFFFFFF"/>
        <rFont val="Arial"/>
        <family val="2"/>
      </rPr>
      <t xml:space="preserve"> (</t>
    </r>
    <r>
      <rPr>
        <b/>
        <sz val="11"/>
        <color rgb="FFFFFFFF"/>
        <rFont val="微软雅黑"/>
        <family val="2"/>
        <charset val="134"/>
      </rPr>
      <t>案例</t>
    </r>
    <r>
      <rPr>
        <b/>
        <sz val="11"/>
        <color rgb="FFFFFFFF"/>
        <rFont val="Arial"/>
        <family val="2"/>
      </rPr>
      <t>)
Product SN</t>
    </r>
  </si>
  <si>
    <r>
      <rPr>
        <b/>
        <sz val="11"/>
        <color theme="0"/>
        <rFont val="宋体"/>
        <family val="3"/>
        <charset val="134"/>
      </rPr>
      <t>订单日期（</t>
    </r>
    <r>
      <rPr>
        <b/>
        <sz val="11"/>
        <color theme="0"/>
        <rFont val="Arial"/>
        <family val="2"/>
      </rPr>
      <t>order date</t>
    </r>
    <r>
      <rPr>
        <b/>
        <sz val="11"/>
        <color theme="0"/>
        <rFont val="宋体"/>
        <family val="3"/>
        <charset val="134"/>
      </rPr>
      <t>）</t>
    </r>
    <phoneticPr fontId="2" type="noConversion"/>
  </si>
  <si>
    <t>案例号（Case Number）</t>
  </si>
  <si>
    <r>
      <rPr>
        <b/>
        <sz val="11"/>
        <color rgb="FFFF0000"/>
        <rFont val="微软雅黑"/>
        <family val="2"/>
        <charset val="134"/>
      </rPr>
      <t>代理商名称</t>
    </r>
    <r>
      <rPr>
        <b/>
        <sz val="11"/>
        <color rgb="FFFF0000"/>
        <rFont val="Arial"/>
        <family val="2"/>
      </rPr>
      <t>Distributor Name</t>
    </r>
    <phoneticPr fontId="2" type="noConversion"/>
  </si>
  <si>
    <r>
      <rPr>
        <b/>
        <sz val="11"/>
        <color rgb="FFFF0000"/>
        <rFont val="微软雅黑"/>
        <family val="2"/>
        <charset val="134"/>
      </rPr>
      <t>代理商账号</t>
    </r>
    <r>
      <rPr>
        <b/>
        <sz val="11"/>
        <color rgb="FFFF0000"/>
        <rFont val="Arial"/>
        <family val="2"/>
      </rPr>
      <t>Distributor Account</t>
    </r>
    <phoneticPr fontId="2" type="noConversion"/>
  </si>
  <si>
    <t>退单物料编码（Chargeback Material code）</t>
  </si>
  <si>
    <t>退单物料名称（Chargeback Material name）</t>
  </si>
  <si>
    <t>退单数量（Chargeback quantity）</t>
  </si>
  <si>
    <t>物料单价（Material unit price）</t>
  </si>
  <si>
    <t>成交单价（Transaction unit price）</t>
  </si>
  <si>
    <t>转预付款金额（Transfer prepayment amount）</t>
  </si>
  <si>
    <t>预付款余额（pre-payment balance）</t>
  </si>
  <si>
    <r>
      <rPr>
        <b/>
        <sz val="11"/>
        <color theme="0"/>
        <rFont val="宋体"/>
        <family val="3"/>
        <charset val="134"/>
      </rPr>
      <t>其他说明</t>
    </r>
    <r>
      <rPr>
        <b/>
        <sz val="11"/>
        <color theme="0"/>
        <rFont val="Arial"/>
        <family val="2"/>
      </rPr>
      <t>Supplement</t>
    </r>
    <phoneticPr fontId="2" type="noConversion"/>
  </si>
  <si>
    <t>Huada Agricola Comercial LTDA</t>
  </si>
  <si>
    <t>HUADA-agras</t>
  </si>
  <si>
    <t>HUADA-agras</t>
    <phoneticPr fontId="2" type="noConversion"/>
  </si>
  <si>
    <t>This item is not involved this time</t>
  </si>
  <si>
    <t>FQFO250930000209</t>
  </si>
  <si>
    <t>FWRC250929000169</t>
  </si>
  <si>
    <t>FQFO250926000290</t>
  </si>
  <si>
    <t>FWRC250924000227</t>
  </si>
  <si>
    <t>FQFO250926000107</t>
  </si>
  <si>
    <t>AGROGEO COMERCIO E SERVICOS DE ENG E CONSULT FLORESTAL LTDA</t>
  </si>
  <si>
    <t>FWRC250924000221</t>
  </si>
  <si>
    <t>FQFO250925000112</t>
  </si>
  <si>
    <t>VRJ COMERCIO DE DRONES</t>
  </si>
  <si>
    <t>FWRC250919000145</t>
  </si>
  <si>
    <t>FQFO250925000067</t>
  </si>
  <si>
    <t>FWRC250924000207</t>
  </si>
  <si>
    <t>FQFO250922000203</t>
  </si>
  <si>
    <t>AgroTerra</t>
  </si>
  <si>
    <t>FWRC250919000124</t>
  </si>
  <si>
    <t>FQFO250922000146</t>
  </si>
  <si>
    <t>TERRA TECH COMERCIO DE EQUIPAMENTOS E TREINAMENTOS LTDA</t>
  </si>
  <si>
    <t>FWRC250920000154</t>
  </si>
  <si>
    <t>FQFO250922000102</t>
  </si>
  <si>
    <t>FWRC250920000163</t>
  </si>
  <si>
    <t>FQFO250918001003</t>
  </si>
  <si>
    <t>DNT - Drone Norte -Uruara</t>
  </si>
  <si>
    <t>FWRC250918000244</t>
  </si>
  <si>
    <t>FQFO250917000221</t>
  </si>
  <si>
    <t>FWRC250916000290</t>
  </si>
  <si>
    <t>FQFO250917000165</t>
  </si>
  <si>
    <t>PARAÍSO DOS DRONES</t>
  </si>
  <si>
    <t>FWRC250917000305</t>
  </si>
  <si>
    <t>FQFO250917000067</t>
  </si>
  <si>
    <t>FWRC250916000261</t>
  </si>
  <si>
    <t>FQFO250916000278</t>
  </si>
  <si>
    <t>Horizont Drones</t>
  </si>
  <si>
    <t>FWRC250913000194</t>
  </si>
  <si>
    <t>FQFO250916000257</t>
  </si>
  <si>
    <t>FWRC250915000161</t>
  </si>
  <si>
    <t>FQFO250915000142</t>
  </si>
  <si>
    <t>FWRC250904000143</t>
  </si>
  <si>
    <t>FQFO250911000281</t>
  </si>
  <si>
    <t>FWRC250911000206</t>
  </si>
  <si>
    <t>FQFO250911000121</t>
  </si>
  <si>
    <t>FWRC250910000176</t>
  </si>
  <si>
    <t>FQFO250910000117</t>
  </si>
  <si>
    <t>FWRC250909000182</t>
  </si>
  <si>
    <t>FQFO250905000370</t>
  </si>
  <si>
    <t>FWRC250904000154</t>
  </si>
  <si>
    <t>FQFO250905000231</t>
  </si>
  <si>
    <t>FWRC250904000291</t>
  </si>
  <si>
    <t>FQFO250903000172</t>
  </si>
  <si>
    <t>FWRC250903000184</t>
  </si>
  <si>
    <t>FQFO250903000164</t>
  </si>
  <si>
    <t>FWRC250903000180</t>
  </si>
  <si>
    <t>FQFO250902000222</t>
  </si>
  <si>
    <t>FWRC250902000109</t>
  </si>
  <si>
    <t>FQFO250901000738</t>
  </si>
  <si>
    <t>FWRC250830000082</t>
  </si>
  <si>
    <t>FQFO250901000686</t>
  </si>
  <si>
    <t>RURAL DRONE</t>
  </si>
  <si>
    <t>FWRC250827000168</t>
  </si>
  <si>
    <t>FQFO250901000648</t>
  </si>
  <si>
    <t>FWRC250830000176</t>
  </si>
  <si>
    <t>FQFO250901000596</t>
  </si>
  <si>
    <t>FWRC250829000146</t>
  </si>
  <si>
    <t>FQFO250901000314</t>
  </si>
  <si>
    <t>FWRC250829000223</t>
  </si>
  <si>
    <t>FQFO251030000389</t>
  </si>
  <si>
    <t>FQAO251029000020</t>
  </si>
  <si>
    <t>Huada Agricola Comercial LTDA，2025.09 local repair spare fee.S-25-10-29-03</t>
  </si>
  <si>
    <t>FQFO250930000210</t>
  </si>
  <si>
    <t>FQFO250926000291</t>
  </si>
  <si>
    <t>FQFO250926000108</t>
  </si>
  <si>
    <t>FQFO250925000113</t>
  </si>
  <si>
    <t>FQFO250925000068</t>
  </si>
  <si>
    <t>FQFO250922000204</t>
  </si>
  <si>
    <t>FQFO250922000147</t>
  </si>
  <si>
    <t>FQFO250922000103</t>
  </si>
  <si>
    <t>FQFO250918001004</t>
  </si>
  <si>
    <t>FQFO250917000222</t>
  </si>
  <si>
    <t>FQFO250917000166</t>
  </si>
  <si>
    <t>FQFO250917000068</t>
  </si>
  <si>
    <t>FQFO250916000279</t>
  </si>
  <si>
    <t>FQFO250916000258</t>
  </si>
  <si>
    <t>FQFO250915000143</t>
  </si>
  <si>
    <t>FQFO250911000282</t>
  </si>
  <si>
    <t>FQFO250911000122</t>
  </si>
  <si>
    <t>FQFO250910000118</t>
  </si>
  <si>
    <t>FQFO250905000371</t>
  </si>
  <si>
    <t>FQFO250905000232</t>
  </si>
  <si>
    <t>FQFO250903000173</t>
  </si>
  <si>
    <t>FQFO250903000165</t>
  </si>
  <si>
    <t>FQFO250902000223</t>
  </si>
  <si>
    <t>FQFO250901000739</t>
  </si>
  <si>
    <t>FQFO250901000687</t>
  </si>
  <si>
    <t>FQFO250901000649</t>
  </si>
  <si>
    <t>FQFO250901000597</t>
  </si>
  <si>
    <t>FQFO250901000315</t>
  </si>
  <si>
    <t>FQFO251030000399</t>
  </si>
  <si>
    <t>Huada Agricola Comercial LTDA，2025.09 local repair service fee. S-25-10-29-03</t>
  </si>
  <si>
    <t>FQFO251030000561</t>
  </si>
  <si>
    <t>Huada Agricola Comercial LTDA，2025.09 tariff compensation，S-25-10-29-03</t>
  </si>
  <si>
    <t>FQFO251030000553</t>
  </si>
  <si>
    <t>AGROGEO COMERCIO E SERVICOS DE ENG E CONSULT FLORESTAL LTDA，2025.09 tariff compensation，S-25-10-29-03</t>
  </si>
  <si>
    <t>FQFO251030000545</t>
  </si>
  <si>
    <t>DNT - Drone Norte -Uruara，2025.09 tariff compensation，S-25-10-29-03</t>
  </si>
  <si>
    <t>FQFO251030000537</t>
  </si>
  <si>
    <t>CASA DO DRONE，2025.09 tariff compensation，S-25-10-29-03</t>
  </si>
  <si>
    <t>FQFO251030000526</t>
  </si>
  <si>
    <t>RURAL DRONE，2025.09 tariff compensation，S-25-10-29-03</t>
  </si>
  <si>
    <t>FQFO251030000514</t>
  </si>
  <si>
    <t>PARAÍSO DOS DRONES，2025.09 tariff compensation，S-25-10-29-03</t>
  </si>
  <si>
    <t>FQFO251030000502</t>
  </si>
  <si>
    <t>AgroTerra，2025.09 tariff compensation，S-25-10-29-03</t>
  </si>
  <si>
    <t>FQFO251030000488</t>
  </si>
  <si>
    <t>VRJ COMERCIO DE DRONES，2025.09 tariff compensation，S-25-10-29-03</t>
  </si>
  <si>
    <t>FQFO251030000474</t>
  </si>
  <si>
    <t>TERRA TECH COMERCIO DE EQUIPAMENTOS E TREINAMENTOS LTDA，2025.09 tariff compensation，S-25-10-29-03</t>
  </si>
  <si>
    <t>FQFO251030000447</t>
  </si>
  <si>
    <t>Horizont Drones，2025.09 tariff compensation，S-25-10-29-03</t>
  </si>
  <si>
    <t>BC.AG.SS000838.01</t>
  </si>
  <si>
    <t>【T50/T25】航电模块L</t>
  </si>
  <si>
    <t>YC.DZ.GR000014.01</t>
  </si>
  <si>
    <t>D12000i-磁电机定子（RATO）（FXZY）</t>
  </si>
  <si>
    <t>YC.DZ.GR000015.01</t>
  </si>
  <si>
    <t>D12000i-磁电机转子（RATO）（FXZY）</t>
  </si>
  <si>
    <t>BC.AG.SS000677.01</t>
  </si>
  <si>
    <t>【T50/T25】补光灯组件</t>
  </si>
  <si>
    <t>YC.DZ.GR000012.01</t>
  </si>
  <si>
    <t>D12000i-直流控制器（RATO）（FXZY）</t>
  </si>
  <si>
    <t>BC.AG.SS000409.01</t>
  </si>
  <si>
    <t>【小播撒】控制模块</t>
  </si>
  <si>
    <t>BC.AG.SS000705.01</t>
  </si>
  <si>
    <t>【T25】M4机臂（右后）</t>
  </si>
  <si>
    <t>YC.JG.BJ001760.06</t>
  </si>
  <si>
    <t>【T25】脚架铝管</t>
  </si>
  <si>
    <t>BC.AG.SS000706.02</t>
  </si>
  <si>
    <t>【T25】10028动力电机</t>
  </si>
  <si>
    <t>YC.DZ.BC000062.01</t>
  </si>
  <si>
    <t>T30/T10充电器电源模块（HJ）</t>
  </si>
  <si>
    <t>BC.AG.SS000668.01</t>
  </si>
  <si>
    <t>10033动力电机-M5</t>
  </si>
  <si>
    <t>BC.AG.SS000939.02.F</t>
  </si>
  <si>
    <t>【T50/T25】前雷达模块</t>
  </si>
  <si>
    <t>BC.AG.SS000706.01</t>
  </si>
  <si>
    <t>BC.AG.SS000690.01</t>
  </si>
  <si>
    <t>【T50/T25】喷洒电源模块</t>
  </si>
  <si>
    <t>BC.AG.SS000713.01</t>
  </si>
  <si>
    <t>【大播撒】控制模块</t>
  </si>
  <si>
    <t>BC.AG.SS000940.02.F</t>
  </si>
  <si>
    <t>【T50/T25】后雷达模块</t>
  </si>
  <si>
    <t>BC.AG.SS000700.01</t>
  </si>
  <si>
    <t>【T50/T25】电调模块</t>
  </si>
  <si>
    <t>YC.JG.JS000032.02</t>
  </si>
  <si>
    <t>【T50/T25】流量计入水口管</t>
  </si>
  <si>
    <t>YC.JG.CS000017.05</t>
  </si>
  <si>
    <t>【T25】水箱（20L）</t>
  </si>
  <si>
    <t>YC.ST.LL000226.01</t>
  </si>
  <si>
    <t>【T50/T25】M30-HC01450080-100020-5103-Y</t>
  </si>
  <si>
    <t>BC.AG.SS000710.01</t>
  </si>
  <si>
    <t>【T50/T25】叶轮组件</t>
  </si>
  <si>
    <t>YC.JG.ZS003725.02</t>
  </si>
  <si>
    <t>【T50/T25】脚架线夹</t>
  </si>
  <si>
    <t>YC.JG.ZS000984.04</t>
  </si>
  <si>
    <t>【T50/T25】流量计支架</t>
  </si>
  <si>
    <t>YC.JG.ZS003558.04</t>
  </si>
  <si>
    <t>【T50/T25】脚垫</t>
  </si>
  <si>
    <t>YC.JG.MY000797.04</t>
  </si>
  <si>
    <t>【T50/T25】气压计弯头</t>
  </si>
  <si>
    <t>BC.AG.SS000471.01</t>
  </si>
  <si>
    <t>【T50/T25】水箱液位计</t>
  </si>
  <si>
    <t>YC.JG.ZS003452.04</t>
  </si>
  <si>
    <t>【T50/T25】外壳侧盖</t>
  </si>
  <si>
    <t>YC.JG.ZS003386.06</t>
  </si>
  <si>
    <t>【T50/T25】前壳前盖</t>
  </si>
  <si>
    <t>YC.JG.MQ001294.01</t>
  </si>
  <si>
    <t>【T50/T25】航电射频导热垫</t>
  </si>
  <si>
    <t>YC.JG.ZS003389.05</t>
  </si>
  <si>
    <t>【T50/T25】前壳顶盖</t>
  </si>
  <si>
    <t>YC.JG.ZS003492.04</t>
  </si>
  <si>
    <t>【T50/T25】雷达右支撑</t>
  </si>
  <si>
    <t>YC.JG.ZS001085.02</t>
  </si>
  <si>
    <t>【T50/T25】水箱入水口滤网</t>
  </si>
  <si>
    <t>YC.JG.ZS003417.08</t>
  </si>
  <si>
    <t>【T50/T25】叶轮泵隔离套</t>
  </si>
  <si>
    <t>YC.JG.ZS003466.05</t>
  </si>
  <si>
    <t>【T50/T25】脚架固定件（左后）</t>
  </si>
  <si>
    <t>YC.JG.ZS003392.02</t>
  </si>
  <si>
    <t>【T50/T25】叶轮泵支架</t>
  </si>
  <si>
    <t>YC.JG.ZS003393.05</t>
  </si>
  <si>
    <t>【T50/T25】水箱线卡</t>
  </si>
  <si>
    <t>YC.ST.LL000339.01</t>
  </si>
  <si>
    <t>【T50/T25】螺丝 M40-HC03500120-070040-5103-N</t>
  </si>
  <si>
    <t>YC.JG.YZ000672.04</t>
  </si>
  <si>
    <t>【T50/T25】前雷达底座</t>
  </si>
  <si>
    <t>YC.JG.ZS003493.04</t>
  </si>
  <si>
    <t>【T50/T25】雷达左支撑</t>
  </si>
  <si>
    <t>YC.WJ.L00876.02</t>
  </si>
  <si>
    <t>【T50/T25】螺丝 M40-HC060060-55-85</t>
  </si>
  <si>
    <t>YC.XC.DD000579.05</t>
  </si>
  <si>
    <t>【T25】M1&amp;M2机臂电调复合线A</t>
  </si>
  <si>
    <t>YC.JG.JS000036.06</t>
  </si>
  <si>
    <t>【T25】机臂水管</t>
  </si>
  <si>
    <t>YC.JG.ZS003488.01</t>
  </si>
  <si>
    <t>【T25】电机上盖</t>
  </si>
  <si>
    <t>YC.JG.ZS002232.06</t>
  </si>
  <si>
    <t>【T50/T25】水箱三通</t>
  </si>
  <si>
    <t>BC.AG.SS000701.02</t>
  </si>
  <si>
    <t>【T50/T25】锁紧卡扣组件</t>
  </si>
  <si>
    <t>YC.JG.ZS003413.03</t>
  </si>
  <si>
    <t>【T25】机臂固定件（右）</t>
  </si>
  <si>
    <t>YC.JG.ZS002429.04</t>
  </si>
  <si>
    <t>【T50/T25】50目滤网</t>
  </si>
  <si>
    <t>YC.JG.ZS002291.09</t>
  </si>
  <si>
    <t>【T25】喷杆固定座</t>
  </si>
  <si>
    <t>YC.JG.LD000045.02</t>
  </si>
  <si>
    <t>【T25】机臂固定螺栓</t>
  </si>
  <si>
    <t>BC.AG.SS000689.01</t>
  </si>
  <si>
    <t>【T25】机框组件</t>
  </si>
  <si>
    <t>YC.JG.JS000033.07</t>
  </si>
  <si>
    <t>【T50/T25】流量计出水口管</t>
  </si>
  <si>
    <t>BC.AG.SS000703.01</t>
  </si>
  <si>
    <t>【T25】M2机臂（左前）</t>
  </si>
  <si>
    <t>YC.JG.MQ001292.03</t>
  </si>
  <si>
    <t>【T25】特氟龙垫片</t>
  </si>
  <si>
    <t>BC.AG.SS000704.01</t>
  </si>
  <si>
    <t>【T25】M3机臂（左后）</t>
  </si>
  <si>
    <t>YC.JG.ZS003553.02</t>
  </si>
  <si>
    <t>【T25】反桨（CW）</t>
  </si>
  <si>
    <t>YC.JG.MY000845.02</t>
  </si>
  <si>
    <t>【T50/T25】防松胶垫</t>
  </si>
  <si>
    <t>YC.XC.DD000574.03</t>
  </si>
  <si>
    <t>【T25】M3&amp;M4机臂电调复合线</t>
  </si>
  <si>
    <t>YC.JG.MY000687.04</t>
  </si>
  <si>
    <t>【T50/T25】水箱三通密封圈</t>
  </si>
  <si>
    <t>YC.JG.ZS002250.02</t>
  </si>
  <si>
    <t>【T50/T25】水箱盖防水透气盖</t>
  </si>
  <si>
    <t>YC.JG.ZS003400.08</t>
  </si>
  <si>
    <t>【T25】喷杆外壳</t>
  </si>
  <si>
    <t>YC.JG.ZS003552.02</t>
  </si>
  <si>
    <t>【T25】正桨（CCW）</t>
  </si>
  <si>
    <t>YC.JG.JS000037.05</t>
  </si>
  <si>
    <t>【T25】喷杆波纹管</t>
  </si>
  <si>
    <t>YC.JG.ZS002235.07</t>
  </si>
  <si>
    <t>【T50/T25】快拆滤网</t>
  </si>
  <si>
    <t>YC.JG.JS000037.07</t>
  </si>
  <si>
    <t>YC.JG.MQ001385.01</t>
  </si>
  <si>
    <t>【T50/T25】电池支撑件贴片（左）</t>
  </si>
  <si>
    <t>YC.JG.QX002996.03</t>
  </si>
  <si>
    <t>【T25】电机座</t>
  </si>
  <si>
    <t>YC.JG.MQ001292.02</t>
  </si>
  <si>
    <t>YC.JG.ZS002389.07</t>
  </si>
  <si>
    <t>【T50/T25】叶轮泵保护罩</t>
  </si>
  <si>
    <t>YC.JG.MY000704.04</t>
  </si>
  <si>
    <t>【T50/T25】电机密封圈</t>
  </si>
  <si>
    <t>YC.JG.FM000092.03</t>
  </si>
  <si>
    <t>【T50/T25】离心喷头手拧螺母</t>
  </si>
  <si>
    <t>YC.JG.ZS003438.03</t>
  </si>
  <si>
    <t>【T25】电池支撑件（左）</t>
  </si>
  <si>
    <t>YC.JG.ZS003439.03</t>
  </si>
  <si>
    <t>【T25】电池支撑件（右）</t>
  </si>
  <si>
    <t>BC.AG.SS000708.01</t>
  </si>
  <si>
    <t>【T50/T25】离心喷头下盖</t>
  </si>
  <si>
    <t>YC.JG.ZS002292.02</t>
  </si>
  <si>
    <t>【T50/T25】电机中空轴盖</t>
  </si>
  <si>
    <t>BC.AG.SS000701.01</t>
  </si>
  <si>
    <t>YC.XC.XX001002.04</t>
  </si>
  <si>
    <t>【T50/T25】喷洒一分四信号线</t>
  </si>
  <si>
    <t>YC.JG.MY000679.02</t>
  </si>
  <si>
    <t>【T50/T25】水箱盖密封圈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</si>
</sst>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27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等线"/>
      <family val="3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黑体"/>
      <family val="3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rgb="FFFF0000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/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0" xfId="1" applyAlignment="1">
      <alignment vertical="center"/>
    </xf>
    <xf numFmtId="0" fontId="5" fillId="5" borderId="1" xfId="1" applyFont="1" applyFill="1" applyBorder="1" applyAlignment="1">
      <alignment horizontal="right" vertical="center"/>
    </xf>
    <xf numFmtId="0" fontId="11" fillId="0" borderId="1" xfId="0" applyNumberFormat="1" applyFont="1" applyBorder="1" applyAlignment="1">
      <alignment vertical="center"/>
    </xf>
    <xf numFmtId="0" fontId="12" fillId="5" borderId="2" xfId="1" applyFont="1" applyFill="1" applyBorder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4" fontId="7" fillId="0" borderId="1" xfId="1" applyNumberFormat="1" applyFont="1" applyFill="1" applyBorder="1">
      <alignment vertical="center"/>
    </xf>
    <xf numFmtId="0" fontId="11" fillId="0" borderId="2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4" fontId="4" fillId="0" borderId="1" xfId="1" applyNumberFormat="1" applyFont="1" applyFill="1" applyBorder="1">
      <alignment vertical="center"/>
    </xf>
    <xf numFmtId="4" fontId="5" fillId="0" borderId="7" xfId="1" applyNumberFormat="1" applyFont="1" applyFill="1" applyBorder="1">
      <alignment vertical="center"/>
    </xf>
    <xf numFmtId="0" fontId="13" fillId="6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4" fillId="7" borderId="1" xfId="0" applyNumberFormat="1" applyFont="1" applyFill="1" applyBorder="1" applyAlignment="1" applyProtection="1">
      <alignment vertical="center"/>
    </xf>
    <xf numFmtId="4" fontId="6" fillId="0" borderId="1" xfId="0" applyNumberFormat="1" applyFont="1" applyFill="1" applyBorder="1" applyAlignment="1" applyProtection="1">
      <alignment vertical="center"/>
    </xf>
    <xf numFmtId="0" fontId="15" fillId="0" borderId="1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4" fontId="13" fillId="0" borderId="1" xfId="0" applyNumberFormat="1" applyFont="1" applyFill="1" applyBorder="1" applyAlignment="1" applyProtection="1">
      <alignment vertical="center"/>
    </xf>
    <xf numFmtId="0" fontId="16" fillId="0" borderId="0" xfId="0" applyFont="1"/>
    <xf numFmtId="0" fontId="16" fillId="2" borderId="0" xfId="0" applyFont="1" applyFill="1"/>
    <xf numFmtId="0" fontId="16" fillId="0" borderId="0" xfId="0" applyNumberFormat="1" applyFont="1"/>
    <xf numFmtId="0" fontId="0" fillId="0" borderId="0" xfId="0" applyNumberFormat="1"/>
    <xf numFmtId="0" fontId="17" fillId="0" borderId="0" xfId="0" applyFont="1"/>
    <xf numFmtId="0" fontId="18" fillId="8" borderId="0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Border="1" applyAlignment="1">
      <alignment horizontal="center" vertical="center" wrapText="1"/>
    </xf>
    <xf numFmtId="176" fontId="16" fillId="0" borderId="0" xfId="0" applyNumberFormat="1" applyFont="1"/>
    <xf numFmtId="0" fontId="3" fillId="0" borderId="0" xfId="0" applyFont="1"/>
    <xf numFmtId="0" fontId="21" fillId="9" borderId="0" xfId="0" applyFont="1" applyFill="1" applyBorder="1" applyAlignment="1">
      <alignment horizontal="center" vertical="center" wrapText="1"/>
    </xf>
    <xf numFmtId="177" fontId="21" fillId="9" borderId="0" xfId="0" applyNumberFormat="1" applyFont="1" applyFill="1" applyBorder="1" applyAlignment="1">
      <alignment horizontal="right" vertical="center" wrapText="1"/>
    </xf>
    <xf numFmtId="0" fontId="21" fillId="10" borderId="0" xfId="0" applyFont="1" applyFill="1" applyBorder="1" applyAlignment="1">
      <alignment horizontal="center" vertical="center" wrapText="1"/>
    </xf>
    <xf numFmtId="0" fontId="23" fillId="9" borderId="0" xfId="0" applyFont="1" applyFill="1" applyBorder="1" applyAlignment="1">
      <alignment horizontal="center" vertical="center" wrapText="1"/>
    </xf>
    <xf numFmtId="178" fontId="21" fillId="10" borderId="0" xfId="0" applyNumberFormat="1" applyFont="1" applyFill="1" applyBorder="1" applyAlignment="1">
      <alignment horizontal="center" vertical="center" wrapText="1"/>
    </xf>
    <xf numFmtId="14" fontId="21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7" fontId="25" fillId="0" borderId="0" xfId="0" applyNumberFormat="1" applyFont="1" applyAlignment="1">
      <alignment horizontal="right" vertical="center"/>
    </xf>
    <xf numFmtId="14" fontId="0" fillId="0" borderId="0" xfId="0" applyNumberFormat="1"/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13" fillId="6" borderId="6" xfId="0" applyNumberFormat="1" applyFont="1" applyFill="1" applyBorder="1" applyAlignment="1" applyProtection="1">
      <alignment horizontal="center" vertical="center"/>
    </xf>
    <xf numFmtId="0" fontId="13" fillId="6" borderId="8" xfId="0" applyNumberFormat="1" applyFont="1" applyFill="1" applyBorder="1" applyAlignment="1" applyProtection="1">
      <alignment horizontal="center" vertical="center"/>
    </xf>
    <xf numFmtId="0" fontId="13" fillId="6" borderId="7" xfId="0" applyNumberFormat="1" applyFont="1" applyFill="1" applyBorder="1" applyAlignment="1" applyProtection="1">
      <alignment horizontal="center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7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22" fontId="0" fillId="0" borderId="0" xfId="0" applyNumberFormat="1"/>
  </cellXfs>
  <cellStyles count="3">
    <cellStyle name="常规" xfId="0" builtinId="0"/>
    <cellStyle name="常规 3 2 2 2" xfId="1" xr:uid="{C28B111D-0422-424E-AE25-F70BF2E252AA}"/>
    <cellStyle name="常规 4 2 2" xfId="2" xr:uid="{59860734-6745-447D-8012-3AA0336BDDE6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A7EF-9CE4-4319-A599-D554AE20635E}">
  <sheetPr codeName="Sheet4"/>
  <dimension ref="B1:F17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2" customWidth="1"/>
    <col min="2" max="2" width="20.375" style="2" customWidth="1"/>
    <col min="3" max="3" width="8.875" style="2" customWidth="1"/>
    <col min="4" max="4" width="32.875" style="2" customWidth="1"/>
    <col min="5" max="5" width="16.875" style="2" customWidth="1"/>
    <col min="6" max="6" width="54.375" style="2" customWidth="1"/>
    <col min="7" max="7" width="17.75" style="2" customWidth="1"/>
    <col min="8" max="16384" width="9" style="2"/>
  </cols>
  <sheetData>
    <row r="1" spans="2:6" ht="13.5" customHeight="1" x14ac:dyDescent="0.2"/>
    <row r="2" spans="2:6" ht="46.5" customHeight="1" x14ac:dyDescent="0.2">
      <c r="B2" s="47" t="s">
        <v>6</v>
      </c>
      <c r="C2" s="48"/>
      <c r="D2" s="48"/>
      <c r="E2" s="48"/>
      <c r="F2" s="49"/>
    </row>
    <row r="3" spans="2:6" ht="18.75" customHeight="1" x14ac:dyDescent="0.2">
      <c r="B3" s="3" t="s">
        <v>7</v>
      </c>
      <c r="C3" s="50" t="s">
        <v>92</v>
      </c>
      <c r="D3" s="51"/>
      <c r="E3" s="3" t="s">
        <v>8</v>
      </c>
      <c r="F3" s="4" t="s">
        <v>94</v>
      </c>
    </row>
    <row r="4" spans="2:6" ht="18" x14ac:dyDescent="0.2">
      <c r="B4" s="52" t="s">
        <v>9</v>
      </c>
      <c r="C4" s="53"/>
      <c r="D4" s="54"/>
      <c r="E4" s="5" t="s">
        <v>10</v>
      </c>
      <c r="F4" s="6" t="s">
        <v>11</v>
      </c>
    </row>
    <row r="5" spans="2:6" ht="16.899999999999999" customHeight="1" x14ac:dyDescent="0.2">
      <c r="B5" s="7" t="s">
        <v>12</v>
      </c>
      <c r="C5" s="8">
        <v>1</v>
      </c>
      <c r="D5" s="9" t="s">
        <v>13</v>
      </c>
      <c r="E5" s="10">
        <f>SUMIF('Accessories discount'!C:C,F3,'Accessories discount'!M:M)</f>
        <v>0</v>
      </c>
      <c r="F5" s="11"/>
    </row>
    <row r="6" spans="2:6" ht="16.899999999999999" customHeight="1" x14ac:dyDescent="0.2">
      <c r="B6" s="55" t="s">
        <v>14</v>
      </c>
      <c r="C6" s="56"/>
      <c r="D6" s="57"/>
      <c r="E6" s="10">
        <f>E5</f>
        <v>0</v>
      </c>
      <c r="F6" s="12"/>
    </row>
    <row r="7" spans="2:6" ht="16.899999999999999" customHeight="1" x14ac:dyDescent="0.2">
      <c r="B7" s="58" t="s">
        <v>15</v>
      </c>
      <c r="C7" s="13">
        <v>1</v>
      </c>
      <c r="D7" s="9" t="s">
        <v>16</v>
      </c>
      <c r="E7" s="10">
        <f>SUMIF('spare parts fee'!C:C,'monthly bill'!F3,'spare parts fee'!M:M)</f>
        <v>7186.68</v>
      </c>
      <c r="F7" s="12"/>
    </row>
    <row r="8" spans="2:6" ht="16.899999999999999" customHeight="1" x14ac:dyDescent="0.2">
      <c r="B8" s="58"/>
      <c r="C8" s="13">
        <v>2</v>
      </c>
      <c r="D8" s="9" t="s">
        <v>17</v>
      </c>
      <c r="E8" s="14">
        <f>SUMIF('service fee'!C:C,'monthly bill'!F3,'service fee'!M:M)</f>
        <v>387</v>
      </c>
      <c r="F8" s="12"/>
    </row>
    <row r="9" spans="2:6" ht="16.899999999999999" customHeight="1" x14ac:dyDescent="0.2">
      <c r="B9" s="58"/>
      <c r="C9" s="13">
        <v>3</v>
      </c>
      <c r="D9" s="9" t="s">
        <v>2</v>
      </c>
      <c r="E9" s="14">
        <f>SUMIF('tariff compensation'!C:C,'monthly bill'!F3,'tariff compensation'!M:M)</f>
        <v>4613.8599999999988</v>
      </c>
      <c r="F9" s="12"/>
    </row>
    <row r="10" spans="2:6" ht="16.899999999999999" customHeight="1" x14ac:dyDescent="0.2">
      <c r="B10" s="58"/>
      <c r="C10" s="13">
        <v>4</v>
      </c>
      <c r="D10" s="9" t="s">
        <v>3</v>
      </c>
      <c r="E10" s="14">
        <f>SUMIF('service red-line deduction'!C:C,'monthly bill'!F3,'service red-line deduction'!M:M)</f>
        <v>0</v>
      </c>
      <c r="F10" s="12"/>
    </row>
    <row r="11" spans="2:6" ht="16.899999999999999" customHeight="1" x14ac:dyDescent="0.2">
      <c r="B11" s="58"/>
      <c r="C11" s="13">
        <v>5</v>
      </c>
      <c r="D11" s="9" t="s">
        <v>4</v>
      </c>
      <c r="E11" s="14">
        <f>SUMIF('bad parts deduction'!C:C,'monthly bill'!F3,'bad parts deduction'!M:M)</f>
        <v>0</v>
      </c>
      <c r="F11" s="12"/>
    </row>
    <row r="12" spans="2:6" ht="16.899999999999999" customHeight="1" x14ac:dyDescent="0.2">
      <c r="B12" s="58"/>
      <c r="C12" s="13">
        <v>6</v>
      </c>
      <c r="D12" s="9" t="s">
        <v>5</v>
      </c>
      <c r="E12" s="14">
        <f>SUMIF('other compensation'!C:C,'monthly bill'!F3,'other compensation'!M:M)</f>
        <v>0</v>
      </c>
      <c r="F12" s="12"/>
    </row>
    <row r="13" spans="2:6" ht="16.899999999999999" customHeight="1" x14ac:dyDescent="0.2">
      <c r="B13" s="58"/>
      <c r="C13" s="13">
        <v>7</v>
      </c>
      <c r="D13" s="9" t="s">
        <v>18</v>
      </c>
      <c r="E13" s="14">
        <f>SUMIF('DOA to CM'!J:J,'monthly bill'!F3,'DOA to CM'!B:B)</f>
        <v>0</v>
      </c>
      <c r="F13" s="12"/>
    </row>
    <row r="14" spans="2:6" ht="16.899999999999999" customHeight="1" x14ac:dyDescent="0.2">
      <c r="B14" s="55" t="s">
        <v>19</v>
      </c>
      <c r="C14" s="56"/>
      <c r="D14" s="57"/>
      <c r="E14" s="14">
        <f>E7+E8+E10+E11+E12+E13+E9</f>
        <v>12187.539999999999</v>
      </c>
      <c r="F14" s="12"/>
    </row>
    <row r="15" spans="2:6" ht="16.5" x14ac:dyDescent="0.2">
      <c r="B15" s="41" t="s">
        <v>20</v>
      </c>
      <c r="C15" s="42"/>
      <c r="D15" s="43"/>
      <c r="E15" s="15">
        <f>E14+E6</f>
        <v>12187.539999999999</v>
      </c>
      <c r="F15" s="12" t="s">
        <v>21</v>
      </c>
    </row>
    <row r="16" spans="2:6" s="21" customFormat="1" ht="16.5" x14ac:dyDescent="0.2">
      <c r="B16" s="16" t="s">
        <v>22</v>
      </c>
      <c r="C16" s="17">
        <v>1</v>
      </c>
      <c r="D16" s="18" t="s">
        <v>23</v>
      </c>
      <c r="E16" s="19">
        <f>SUMIF('pre-payment balance'!D:D,F3,'pre-payment balance'!K:K)</f>
        <v>0</v>
      </c>
      <c r="F16" s="20"/>
    </row>
    <row r="17" spans="2:6" s="21" customFormat="1" ht="16.5" x14ac:dyDescent="0.2">
      <c r="B17" s="44" t="s">
        <v>24</v>
      </c>
      <c r="C17" s="45"/>
      <c r="D17" s="46"/>
      <c r="E17" s="22">
        <f>E16</f>
        <v>0</v>
      </c>
      <c r="F17" s="1" t="s">
        <v>25</v>
      </c>
    </row>
  </sheetData>
  <mergeCells count="8">
    <mergeCell ref="B15:D15"/>
    <mergeCell ref="B17:D17"/>
    <mergeCell ref="B2:F2"/>
    <mergeCell ref="C3:D3"/>
    <mergeCell ref="B4:D4"/>
    <mergeCell ref="B6:D6"/>
    <mergeCell ref="B7:B13"/>
    <mergeCell ref="B14:D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47D5-ECC1-4A5B-BE7D-353F1773F8F0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5" customWidth="1"/>
    <col min="2" max="2" width="17" customWidth="1"/>
    <col min="3" max="3" width="25" customWidth="1"/>
    <col min="4" max="4" width="22.625" customWidth="1"/>
    <col min="5" max="5" width="14.75" customWidth="1"/>
    <col min="6" max="6" width="12.5" customWidth="1"/>
    <col min="7" max="7" width="16.25" customWidth="1"/>
    <col min="8" max="10" width="12.5" customWidth="1"/>
    <col min="11" max="11" width="8.375" customWidth="1"/>
    <col min="12" max="12" width="13.5" customWidth="1"/>
    <col min="13" max="13" width="10.75" customWidth="1"/>
    <col min="14" max="14" width="10.5" customWidth="1"/>
    <col min="15" max="15" width="12.5" customWidth="1"/>
    <col min="16" max="16" width="25.875" customWidth="1"/>
    <col min="17" max="17" width="9" style="26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40</v>
      </c>
    </row>
    <row r="3" spans="1:17" x14ac:dyDescent="0.2">
      <c r="A3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7A53-0036-4CBE-A3B2-DD920CF2181E}">
  <sheetPr codeName="Sheet6"/>
  <dimension ref="A1:Q30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125" bestFit="1" customWidth="1"/>
    <col min="2" max="2" width="17.75" customWidth="1"/>
    <col min="3" max="3" width="15.75" customWidth="1"/>
    <col min="4" max="4" width="17.75" customWidth="1"/>
    <col min="5" max="5" width="17.875" customWidth="1"/>
    <col min="6" max="6" width="16.125" customWidth="1"/>
    <col min="7" max="7" width="20.875" bestFit="1" customWidth="1"/>
    <col min="8" max="8" width="21.25" bestFit="1" customWidth="1"/>
    <col min="9" max="9" width="15.5" customWidth="1"/>
    <col min="12" max="12" width="16.625" customWidth="1"/>
    <col min="13" max="13" width="15.375" customWidth="1"/>
    <col min="14" max="14" width="9.5" customWidth="1"/>
    <col min="16" max="16" width="9" customWidth="1"/>
    <col min="17" max="17" width="7.87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40</v>
      </c>
    </row>
    <row r="2" spans="1:17" x14ac:dyDescent="0.2">
      <c r="A2" t="s">
        <v>96</v>
      </c>
      <c r="B2" s="59">
        <v>45930.800219907411</v>
      </c>
      <c r="C2" t="s">
        <v>93</v>
      </c>
      <c r="D2" t="s">
        <v>92</v>
      </c>
      <c r="F2" t="s">
        <v>46</v>
      </c>
      <c r="G2" t="s">
        <v>97</v>
      </c>
      <c r="H2" t="s">
        <v>47</v>
      </c>
      <c r="I2" t="s">
        <v>45</v>
      </c>
      <c r="J2" t="s">
        <v>48</v>
      </c>
      <c r="K2" t="s">
        <v>44</v>
      </c>
      <c r="L2">
        <v>432</v>
      </c>
      <c r="M2">
        <v>432</v>
      </c>
      <c r="N2">
        <v>25841.94</v>
      </c>
      <c r="Q2">
        <v>202509</v>
      </c>
    </row>
    <row r="3" spans="1:17" x14ac:dyDescent="0.2">
      <c r="A3" t="s">
        <v>98</v>
      </c>
      <c r="B3" s="59">
        <v>45926.861967592595</v>
      </c>
      <c r="C3" t="s">
        <v>93</v>
      </c>
      <c r="D3" t="s">
        <v>92</v>
      </c>
      <c r="F3" t="s">
        <v>46</v>
      </c>
      <c r="G3" t="s">
        <v>99</v>
      </c>
      <c r="H3" t="s">
        <v>47</v>
      </c>
      <c r="I3" t="s">
        <v>45</v>
      </c>
      <c r="J3" t="s">
        <v>48</v>
      </c>
      <c r="K3" t="s">
        <v>44</v>
      </c>
      <c r="L3">
        <v>432</v>
      </c>
      <c r="M3">
        <v>432</v>
      </c>
      <c r="N3">
        <v>25382.94</v>
      </c>
      <c r="Q3">
        <v>202509</v>
      </c>
    </row>
    <row r="4" spans="1:17" x14ac:dyDescent="0.2">
      <c r="A4" t="s">
        <v>100</v>
      </c>
      <c r="B4" s="59">
        <v>45926.852476851855</v>
      </c>
      <c r="C4" t="s">
        <v>93</v>
      </c>
      <c r="D4" t="s">
        <v>92</v>
      </c>
      <c r="E4" t="s">
        <v>101</v>
      </c>
      <c r="F4" t="s">
        <v>46</v>
      </c>
      <c r="G4" t="s">
        <v>102</v>
      </c>
      <c r="H4" t="s">
        <v>47</v>
      </c>
      <c r="I4" t="s">
        <v>45</v>
      </c>
      <c r="J4" t="s">
        <v>48</v>
      </c>
      <c r="K4" t="s">
        <v>44</v>
      </c>
      <c r="L4">
        <v>328.98</v>
      </c>
      <c r="M4">
        <v>328.98</v>
      </c>
      <c r="N4">
        <v>24923.94</v>
      </c>
      <c r="Q4">
        <v>202509</v>
      </c>
    </row>
    <row r="5" spans="1:17" x14ac:dyDescent="0.2">
      <c r="A5" t="s">
        <v>103</v>
      </c>
      <c r="B5" s="59">
        <v>45925.835370370369</v>
      </c>
      <c r="C5" t="s">
        <v>93</v>
      </c>
      <c r="D5" t="s">
        <v>92</v>
      </c>
      <c r="E5" t="s">
        <v>104</v>
      </c>
      <c r="F5" t="s">
        <v>46</v>
      </c>
      <c r="G5" t="s">
        <v>105</v>
      </c>
      <c r="H5" t="s">
        <v>47</v>
      </c>
      <c r="I5" t="s">
        <v>45</v>
      </c>
      <c r="J5" t="s">
        <v>48</v>
      </c>
      <c r="K5" t="s">
        <v>44</v>
      </c>
      <c r="L5">
        <v>80.400000000000006</v>
      </c>
      <c r="M5">
        <v>80.400000000000006</v>
      </c>
      <c r="N5">
        <v>24578.959999999999</v>
      </c>
      <c r="Q5">
        <v>202509</v>
      </c>
    </row>
    <row r="6" spans="1:17" x14ac:dyDescent="0.2">
      <c r="A6" t="s">
        <v>106</v>
      </c>
      <c r="B6" s="59">
        <v>45925.83353009259</v>
      </c>
      <c r="C6" t="s">
        <v>93</v>
      </c>
      <c r="D6" t="s">
        <v>92</v>
      </c>
      <c r="F6" t="s">
        <v>46</v>
      </c>
      <c r="G6" t="s">
        <v>107</v>
      </c>
      <c r="H6" t="s">
        <v>47</v>
      </c>
      <c r="I6" t="s">
        <v>45</v>
      </c>
      <c r="J6" t="s">
        <v>48</v>
      </c>
      <c r="K6" t="s">
        <v>44</v>
      </c>
      <c r="L6">
        <v>27</v>
      </c>
      <c r="M6">
        <v>27</v>
      </c>
      <c r="N6">
        <v>24491.56</v>
      </c>
      <c r="Q6">
        <v>202509</v>
      </c>
    </row>
    <row r="7" spans="1:17" x14ac:dyDescent="0.2">
      <c r="A7" t="s">
        <v>108</v>
      </c>
      <c r="B7" s="59">
        <v>45922.609363425923</v>
      </c>
      <c r="C7" t="s">
        <v>93</v>
      </c>
      <c r="D7" t="s">
        <v>92</v>
      </c>
      <c r="E7" t="s">
        <v>109</v>
      </c>
      <c r="F7" t="s">
        <v>46</v>
      </c>
      <c r="G7" t="s">
        <v>110</v>
      </c>
      <c r="H7" t="s">
        <v>47</v>
      </c>
      <c r="I7" t="s">
        <v>45</v>
      </c>
      <c r="J7" t="s">
        <v>48</v>
      </c>
      <c r="K7" t="s">
        <v>44</v>
      </c>
      <c r="L7">
        <v>27</v>
      </c>
      <c r="M7">
        <v>27</v>
      </c>
      <c r="N7">
        <v>24457.56</v>
      </c>
      <c r="Q7">
        <v>202509</v>
      </c>
    </row>
    <row r="8" spans="1:17" x14ac:dyDescent="0.2">
      <c r="A8" t="s">
        <v>111</v>
      </c>
      <c r="B8" s="59">
        <v>45922.606631944444</v>
      </c>
      <c r="C8" t="s">
        <v>93</v>
      </c>
      <c r="D8" t="s">
        <v>92</v>
      </c>
      <c r="E8" t="s">
        <v>112</v>
      </c>
      <c r="F8" t="s">
        <v>46</v>
      </c>
      <c r="G8" t="s">
        <v>113</v>
      </c>
      <c r="H8" t="s">
        <v>47</v>
      </c>
      <c r="I8" t="s">
        <v>45</v>
      </c>
      <c r="J8" t="s">
        <v>48</v>
      </c>
      <c r="K8" t="s">
        <v>44</v>
      </c>
      <c r="L8">
        <v>588.92999999999995</v>
      </c>
      <c r="M8">
        <v>588.92999999999995</v>
      </c>
      <c r="N8">
        <v>24403.56</v>
      </c>
      <c r="Q8">
        <v>202509</v>
      </c>
    </row>
    <row r="9" spans="1:17" x14ac:dyDescent="0.2">
      <c r="A9" t="s">
        <v>114</v>
      </c>
      <c r="B9" s="59">
        <v>45922.605312500003</v>
      </c>
      <c r="C9" t="s">
        <v>93</v>
      </c>
      <c r="D9" t="s">
        <v>92</v>
      </c>
      <c r="F9" t="s">
        <v>46</v>
      </c>
      <c r="G9" t="s">
        <v>115</v>
      </c>
      <c r="H9" t="s">
        <v>47</v>
      </c>
      <c r="I9" t="s">
        <v>45</v>
      </c>
      <c r="J9" t="s">
        <v>48</v>
      </c>
      <c r="K9" t="s">
        <v>44</v>
      </c>
      <c r="L9">
        <v>27</v>
      </c>
      <c r="M9">
        <v>27</v>
      </c>
      <c r="N9">
        <v>23807.63</v>
      </c>
      <c r="Q9">
        <v>202509</v>
      </c>
    </row>
    <row r="10" spans="1:17" x14ac:dyDescent="0.2">
      <c r="A10" t="s">
        <v>116</v>
      </c>
      <c r="B10" s="59">
        <v>45918.851643518516</v>
      </c>
      <c r="C10" t="s">
        <v>93</v>
      </c>
      <c r="D10" t="s">
        <v>92</v>
      </c>
      <c r="E10" t="s">
        <v>117</v>
      </c>
      <c r="F10" t="s">
        <v>46</v>
      </c>
      <c r="G10" t="s">
        <v>118</v>
      </c>
      <c r="H10" t="s">
        <v>47</v>
      </c>
      <c r="I10" t="s">
        <v>45</v>
      </c>
      <c r="J10" t="s">
        <v>48</v>
      </c>
      <c r="K10" t="s">
        <v>44</v>
      </c>
      <c r="L10">
        <v>27</v>
      </c>
      <c r="M10">
        <v>27</v>
      </c>
      <c r="N10">
        <v>25609.63</v>
      </c>
      <c r="Q10">
        <v>202509</v>
      </c>
    </row>
    <row r="11" spans="1:17" x14ac:dyDescent="0.2">
      <c r="A11" t="s">
        <v>119</v>
      </c>
      <c r="B11" s="59">
        <v>45917.821342592593</v>
      </c>
      <c r="C11" t="s">
        <v>93</v>
      </c>
      <c r="D11" t="s">
        <v>92</v>
      </c>
      <c r="F11" t="s">
        <v>46</v>
      </c>
      <c r="G11" t="s">
        <v>120</v>
      </c>
      <c r="H11" t="s">
        <v>47</v>
      </c>
      <c r="I11" t="s">
        <v>45</v>
      </c>
      <c r="J11" t="s">
        <v>48</v>
      </c>
      <c r="K11" t="s">
        <v>44</v>
      </c>
      <c r="L11">
        <v>80</v>
      </c>
      <c r="M11">
        <v>80</v>
      </c>
      <c r="N11">
        <v>22385.119999999999</v>
      </c>
      <c r="Q11">
        <v>202509</v>
      </c>
    </row>
    <row r="12" spans="1:17" x14ac:dyDescent="0.2">
      <c r="A12" t="s">
        <v>121</v>
      </c>
      <c r="B12" s="59">
        <v>45917.81925925926</v>
      </c>
      <c r="C12" t="s">
        <v>93</v>
      </c>
      <c r="D12" t="s">
        <v>92</v>
      </c>
      <c r="E12" t="s">
        <v>122</v>
      </c>
      <c r="F12" t="s">
        <v>46</v>
      </c>
      <c r="G12" t="s">
        <v>123</v>
      </c>
      <c r="H12" t="s">
        <v>47</v>
      </c>
      <c r="I12" t="s">
        <v>45</v>
      </c>
      <c r="J12" t="s">
        <v>48</v>
      </c>
      <c r="K12" t="s">
        <v>44</v>
      </c>
      <c r="L12">
        <v>32</v>
      </c>
      <c r="M12">
        <v>32</v>
      </c>
      <c r="N12">
        <v>22289.119999999999</v>
      </c>
      <c r="Q12">
        <v>202509</v>
      </c>
    </row>
    <row r="13" spans="1:17" x14ac:dyDescent="0.2">
      <c r="A13" t="s">
        <v>124</v>
      </c>
      <c r="B13" s="59">
        <v>45917.814143518517</v>
      </c>
      <c r="C13" t="s">
        <v>93</v>
      </c>
      <c r="D13" t="s">
        <v>92</v>
      </c>
      <c r="F13" t="s">
        <v>46</v>
      </c>
      <c r="G13" t="s">
        <v>125</v>
      </c>
      <c r="H13" t="s">
        <v>47</v>
      </c>
      <c r="I13" t="s">
        <v>45</v>
      </c>
      <c r="J13" t="s">
        <v>48</v>
      </c>
      <c r="K13" t="s">
        <v>44</v>
      </c>
      <c r="L13">
        <v>27</v>
      </c>
      <c r="M13">
        <v>27</v>
      </c>
      <c r="N13">
        <v>22250.12</v>
      </c>
      <c r="Q13">
        <v>202509</v>
      </c>
    </row>
    <row r="14" spans="1:17" x14ac:dyDescent="0.2">
      <c r="A14" t="s">
        <v>126</v>
      </c>
      <c r="B14" s="59">
        <v>45916.858217592591</v>
      </c>
      <c r="C14" t="s">
        <v>93</v>
      </c>
      <c r="D14" t="s">
        <v>92</v>
      </c>
      <c r="E14" t="s">
        <v>127</v>
      </c>
      <c r="F14" t="s">
        <v>46</v>
      </c>
      <c r="G14" t="s">
        <v>128</v>
      </c>
      <c r="H14" t="s">
        <v>47</v>
      </c>
      <c r="I14" t="s">
        <v>45</v>
      </c>
      <c r="J14" t="s">
        <v>48</v>
      </c>
      <c r="K14" t="s">
        <v>44</v>
      </c>
      <c r="L14">
        <v>141.56</v>
      </c>
      <c r="M14">
        <v>141.56</v>
      </c>
      <c r="N14">
        <v>22216.12</v>
      </c>
      <c r="Q14">
        <v>202509</v>
      </c>
    </row>
    <row r="15" spans="1:17" x14ac:dyDescent="0.2">
      <c r="A15" t="s">
        <v>129</v>
      </c>
      <c r="B15" s="59">
        <v>45916.856608796297</v>
      </c>
      <c r="C15" t="s">
        <v>93</v>
      </c>
      <c r="D15" t="s">
        <v>92</v>
      </c>
      <c r="F15" t="s">
        <v>46</v>
      </c>
      <c r="G15" t="s">
        <v>130</v>
      </c>
      <c r="H15" t="s">
        <v>47</v>
      </c>
      <c r="I15" t="s">
        <v>45</v>
      </c>
      <c r="J15" t="s">
        <v>48</v>
      </c>
      <c r="K15" t="s">
        <v>44</v>
      </c>
      <c r="L15">
        <v>261.25</v>
      </c>
      <c r="M15">
        <v>261.25</v>
      </c>
      <c r="N15">
        <v>22067.56</v>
      </c>
      <c r="Q15">
        <v>202509</v>
      </c>
    </row>
    <row r="16" spans="1:17" x14ac:dyDescent="0.2">
      <c r="A16" t="s">
        <v>131</v>
      </c>
      <c r="B16" s="59">
        <v>45915.633391203701</v>
      </c>
      <c r="C16" t="s">
        <v>93</v>
      </c>
      <c r="D16" t="s">
        <v>92</v>
      </c>
      <c r="F16" t="s">
        <v>46</v>
      </c>
      <c r="G16" t="s">
        <v>132</v>
      </c>
      <c r="H16" t="s">
        <v>47</v>
      </c>
      <c r="I16" t="s">
        <v>45</v>
      </c>
      <c r="J16" t="s">
        <v>48</v>
      </c>
      <c r="K16" t="s">
        <v>44</v>
      </c>
      <c r="L16">
        <v>570</v>
      </c>
      <c r="M16">
        <v>570</v>
      </c>
      <c r="N16">
        <v>21799.31</v>
      </c>
      <c r="Q16">
        <v>202509</v>
      </c>
    </row>
    <row r="17" spans="1:17" x14ac:dyDescent="0.2">
      <c r="A17" t="s">
        <v>133</v>
      </c>
      <c r="B17" s="59">
        <v>45911.85297453704</v>
      </c>
      <c r="C17" t="s">
        <v>93</v>
      </c>
      <c r="D17" t="s">
        <v>92</v>
      </c>
      <c r="E17" t="s">
        <v>122</v>
      </c>
      <c r="F17" t="s">
        <v>46</v>
      </c>
      <c r="G17" t="s">
        <v>134</v>
      </c>
      <c r="H17" t="s">
        <v>47</v>
      </c>
      <c r="I17" t="s">
        <v>45</v>
      </c>
      <c r="J17" t="s">
        <v>48</v>
      </c>
      <c r="K17" t="s">
        <v>44</v>
      </c>
      <c r="L17">
        <v>570</v>
      </c>
      <c r="M17">
        <v>570</v>
      </c>
      <c r="N17">
        <v>21222.31</v>
      </c>
      <c r="Q17">
        <v>202509</v>
      </c>
    </row>
    <row r="18" spans="1:17" x14ac:dyDescent="0.2">
      <c r="A18" t="s">
        <v>135</v>
      </c>
      <c r="B18" s="59">
        <v>45911.844537037039</v>
      </c>
      <c r="C18" t="s">
        <v>93</v>
      </c>
      <c r="D18" t="s">
        <v>92</v>
      </c>
      <c r="E18" t="s">
        <v>117</v>
      </c>
      <c r="F18" t="s">
        <v>46</v>
      </c>
      <c r="G18" t="s">
        <v>136</v>
      </c>
      <c r="H18" t="s">
        <v>47</v>
      </c>
      <c r="I18" t="s">
        <v>45</v>
      </c>
      <c r="J18" t="s">
        <v>48</v>
      </c>
      <c r="K18" t="s">
        <v>44</v>
      </c>
      <c r="L18">
        <v>432</v>
      </c>
      <c r="M18">
        <v>432</v>
      </c>
      <c r="N18">
        <v>20625.310000000001</v>
      </c>
      <c r="Q18">
        <v>202509</v>
      </c>
    </row>
    <row r="19" spans="1:17" x14ac:dyDescent="0.2">
      <c r="A19" t="s">
        <v>137</v>
      </c>
      <c r="B19" s="59">
        <v>45910.888738425929</v>
      </c>
      <c r="C19" t="s">
        <v>93</v>
      </c>
      <c r="D19" t="s">
        <v>92</v>
      </c>
      <c r="E19" t="s">
        <v>104</v>
      </c>
      <c r="F19" t="s">
        <v>46</v>
      </c>
      <c r="G19" t="s">
        <v>138</v>
      </c>
      <c r="H19" t="s">
        <v>47</v>
      </c>
      <c r="I19" t="s">
        <v>45</v>
      </c>
      <c r="J19" t="s">
        <v>48</v>
      </c>
      <c r="K19" t="s">
        <v>44</v>
      </c>
      <c r="L19">
        <v>80</v>
      </c>
      <c r="M19">
        <v>80</v>
      </c>
      <c r="N19">
        <v>20186.310000000001</v>
      </c>
      <c r="Q19">
        <v>202509</v>
      </c>
    </row>
    <row r="20" spans="1:17" x14ac:dyDescent="0.2">
      <c r="A20" t="s">
        <v>139</v>
      </c>
      <c r="B20" s="59">
        <v>45905.854629629626</v>
      </c>
      <c r="C20" t="s">
        <v>93</v>
      </c>
      <c r="D20" t="s">
        <v>92</v>
      </c>
      <c r="E20" t="s">
        <v>104</v>
      </c>
      <c r="F20" t="s">
        <v>46</v>
      </c>
      <c r="G20" t="s">
        <v>140</v>
      </c>
      <c r="H20" t="s">
        <v>47</v>
      </c>
      <c r="I20" t="s">
        <v>45</v>
      </c>
      <c r="J20" t="s">
        <v>48</v>
      </c>
      <c r="K20" t="s">
        <v>44</v>
      </c>
      <c r="L20">
        <v>48</v>
      </c>
      <c r="M20">
        <v>48</v>
      </c>
      <c r="N20">
        <v>20099.310000000001</v>
      </c>
      <c r="Q20">
        <v>202509</v>
      </c>
    </row>
    <row r="21" spans="1:17" x14ac:dyDescent="0.2">
      <c r="A21" t="s">
        <v>141</v>
      </c>
      <c r="B21" s="59">
        <v>45905.844756944447</v>
      </c>
      <c r="C21" t="s">
        <v>93</v>
      </c>
      <c r="D21" t="s">
        <v>92</v>
      </c>
      <c r="E21" t="s">
        <v>117</v>
      </c>
      <c r="F21" t="s">
        <v>46</v>
      </c>
      <c r="G21" t="s">
        <v>142</v>
      </c>
      <c r="H21" t="s">
        <v>47</v>
      </c>
      <c r="I21" t="s">
        <v>45</v>
      </c>
      <c r="J21" t="s">
        <v>48</v>
      </c>
      <c r="K21" t="s">
        <v>44</v>
      </c>
      <c r="L21">
        <v>149</v>
      </c>
      <c r="M21">
        <v>149</v>
      </c>
      <c r="N21">
        <v>20044.310000000001</v>
      </c>
      <c r="Q21">
        <v>202509</v>
      </c>
    </row>
    <row r="22" spans="1:17" x14ac:dyDescent="0.2">
      <c r="A22" t="s">
        <v>143</v>
      </c>
      <c r="B22" s="59">
        <v>45903.837905092594</v>
      </c>
      <c r="C22" t="s">
        <v>93</v>
      </c>
      <c r="D22" t="s">
        <v>92</v>
      </c>
      <c r="E22" t="s">
        <v>117</v>
      </c>
      <c r="F22" t="s">
        <v>46</v>
      </c>
      <c r="G22" t="s">
        <v>144</v>
      </c>
      <c r="H22" t="s">
        <v>47</v>
      </c>
      <c r="I22" t="s">
        <v>45</v>
      </c>
      <c r="J22" t="s">
        <v>48</v>
      </c>
      <c r="K22" t="s">
        <v>44</v>
      </c>
      <c r="L22">
        <v>501</v>
      </c>
      <c r="M22">
        <v>501</v>
      </c>
      <c r="N22">
        <v>19888.310000000001</v>
      </c>
      <c r="Q22">
        <v>202509</v>
      </c>
    </row>
    <row r="23" spans="1:17" x14ac:dyDescent="0.2">
      <c r="A23" t="s">
        <v>145</v>
      </c>
      <c r="B23" s="59">
        <v>45903.837650462963</v>
      </c>
      <c r="C23" t="s">
        <v>93</v>
      </c>
      <c r="D23" t="s">
        <v>92</v>
      </c>
      <c r="E23" t="s">
        <v>117</v>
      </c>
      <c r="F23" t="s">
        <v>46</v>
      </c>
      <c r="G23" t="s">
        <v>146</v>
      </c>
      <c r="H23" t="s">
        <v>47</v>
      </c>
      <c r="I23" t="s">
        <v>45</v>
      </c>
      <c r="J23" t="s">
        <v>48</v>
      </c>
      <c r="K23" t="s">
        <v>44</v>
      </c>
      <c r="L23">
        <v>147</v>
      </c>
      <c r="M23">
        <v>147</v>
      </c>
      <c r="N23">
        <v>19380.310000000001</v>
      </c>
      <c r="Q23">
        <v>202509</v>
      </c>
    </row>
    <row r="24" spans="1:17" x14ac:dyDescent="0.2">
      <c r="A24" t="s">
        <v>147</v>
      </c>
      <c r="B24" s="59">
        <v>45902.853877314818</v>
      </c>
      <c r="C24" t="s">
        <v>93</v>
      </c>
      <c r="D24" t="s">
        <v>92</v>
      </c>
      <c r="F24" t="s">
        <v>46</v>
      </c>
      <c r="G24" t="s">
        <v>148</v>
      </c>
      <c r="H24" t="s">
        <v>47</v>
      </c>
      <c r="I24" t="s">
        <v>45</v>
      </c>
      <c r="J24" t="s">
        <v>48</v>
      </c>
      <c r="K24" t="s">
        <v>44</v>
      </c>
      <c r="L24">
        <v>27</v>
      </c>
      <c r="M24">
        <v>27</v>
      </c>
      <c r="N24">
        <v>19226.310000000001</v>
      </c>
      <c r="Q24">
        <v>202509</v>
      </c>
    </row>
    <row r="25" spans="1:17" x14ac:dyDescent="0.2">
      <c r="A25" t="s">
        <v>149</v>
      </c>
      <c r="B25" s="59">
        <v>45901.672638888886</v>
      </c>
      <c r="C25" t="s">
        <v>93</v>
      </c>
      <c r="D25" t="s">
        <v>92</v>
      </c>
      <c r="E25" t="s">
        <v>122</v>
      </c>
      <c r="F25" t="s">
        <v>46</v>
      </c>
      <c r="G25" t="s">
        <v>150</v>
      </c>
      <c r="H25" t="s">
        <v>47</v>
      </c>
      <c r="I25" t="s">
        <v>45</v>
      </c>
      <c r="J25" t="s">
        <v>48</v>
      </c>
      <c r="K25" t="s">
        <v>44</v>
      </c>
      <c r="L25">
        <v>660.3</v>
      </c>
      <c r="M25">
        <v>660.3</v>
      </c>
      <c r="N25">
        <v>19172.310000000001</v>
      </c>
      <c r="Q25">
        <v>202509</v>
      </c>
    </row>
    <row r="26" spans="1:17" x14ac:dyDescent="0.2">
      <c r="A26" t="s">
        <v>151</v>
      </c>
      <c r="B26" s="59">
        <v>45901.665636574071</v>
      </c>
      <c r="C26" t="s">
        <v>93</v>
      </c>
      <c r="D26" t="s">
        <v>92</v>
      </c>
      <c r="E26" t="s">
        <v>152</v>
      </c>
      <c r="F26" t="s">
        <v>46</v>
      </c>
      <c r="G26" t="s">
        <v>153</v>
      </c>
      <c r="H26" t="s">
        <v>47</v>
      </c>
      <c r="I26" t="s">
        <v>45</v>
      </c>
      <c r="J26" t="s">
        <v>48</v>
      </c>
      <c r="K26" t="s">
        <v>44</v>
      </c>
      <c r="L26">
        <v>432</v>
      </c>
      <c r="M26">
        <v>432</v>
      </c>
      <c r="N26">
        <v>18485.009999999998</v>
      </c>
      <c r="Q26">
        <v>202509</v>
      </c>
    </row>
    <row r="27" spans="1:17" x14ac:dyDescent="0.2">
      <c r="A27" t="s">
        <v>154</v>
      </c>
      <c r="B27" s="59">
        <v>45901.661226851851</v>
      </c>
      <c r="C27" t="s">
        <v>93</v>
      </c>
      <c r="D27" t="s">
        <v>92</v>
      </c>
      <c r="E27" t="s">
        <v>117</v>
      </c>
      <c r="F27" t="s">
        <v>46</v>
      </c>
      <c r="G27" t="s">
        <v>155</v>
      </c>
      <c r="H27" t="s">
        <v>47</v>
      </c>
      <c r="I27" t="s">
        <v>45</v>
      </c>
      <c r="J27" t="s">
        <v>48</v>
      </c>
      <c r="K27" t="s">
        <v>44</v>
      </c>
      <c r="L27">
        <v>626.26</v>
      </c>
      <c r="M27">
        <v>626.26</v>
      </c>
      <c r="N27">
        <v>18026.009999999998</v>
      </c>
      <c r="Q27">
        <v>202509</v>
      </c>
    </row>
    <row r="28" spans="1:17" x14ac:dyDescent="0.2">
      <c r="A28" t="s">
        <v>156</v>
      </c>
      <c r="B28" s="59">
        <v>45901.657500000001</v>
      </c>
      <c r="C28" t="s">
        <v>93</v>
      </c>
      <c r="D28" t="s">
        <v>92</v>
      </c>
      <c r="F28" t="s">
        <v>46</v>
      </c>
      <c r="G28" t="s">
        <v>157</v>
      </c>
      <c r="H28" t="s">
        <v>47</v>
      </c>
      <c r="I28" t="s">
        <v>45</v>
      </c>
      <c r="J28" t="s">
        <v>48</v>
      </c>
      <c r="K28" t="s">
        <v>44</v>
      </c>
      <c r="L28">
        <v>432</v>
      </c>
      <c r="M28">
        <v>432</v>
      </c>
      <c r="N28">
        <v>17372.75</v>
      </c>
      <c r="Q28">
        <v>202509</v>
      </c>
    </row>
    <row r="29" spans="1:17" x14ac:dyDescent="0.2">
      <c r="A29" t="s">
        <v>158</v>
      </c>
      <c r="B29" s="59">
        <v>45901.633703703701</v>
      </c>
      <c r="C29" t="s">
        <v>93</v>
      </c>
      <c r="D29" t="s">
        <v>92</v>
      </c>
      <c r="F29" t="s">
        <v>46</v>
      </c>
      <c r="G29" t="s">
        <v>159</v>
      </c>
      <c r="H29" t="s">
        <v>47</v>
      </c>
      <c r="I29" t="s">
        <v>45</v>
      </c>
      <c r="J29" t="s">
        <v>48</v>
      </c>
      <c r="K29" t="s">
        <v>44</v>
      </c>
      <c r="L29">
        <v>432</v>
      </c>
      <c r="M29">
        <v>432</v>
      </c>
      <c r="N29">
        <v>16913.75</v>
      </c>
      <c r="Q29">
        <v>202509</v>
      </c>
    </row>
    <row r="30" spans="1:17" x14ac:dyDescent="0.2">
      <c r="A30" t="s">
        <v>160</v>
      </c>
      <c r="B30" s="59">
        <v>45960.499201388891</v>
      </c>
      <c r="C30" t="s">
        <v>93</v>
      </c>
      <c r="D30" t="s">
        <v>92</v>
      </c>
      <c r="F30" t="s">
        <v>41</v>
      </c>
      <c r="G30" t="s">
        <v>161</v>
      </c>
      <c r="H30" t="s">
        <v>47</v>
      </c>
      <c r="I30" t="s">
        <v>42</v>
      </c>
      <c r="J30" t="s">
        <v>43</v>
      </c>
      <c r="K30" t="s">
        <v>44</v>
      </c>
      <c r="L30">
        <v>432</v>
      </c>
      <c r="M30">
        <v>-432</v>
      </c>
      <c r="N30">
        <v>7627.68</v>
      </c>
      <c r="P30" t="s">
        <v>162</v>
      </c>
      <c r="Q30">
        <v>202509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4B22-743E-4AC4-9D53-56196EBDB576}">
  <sheetPr codeName="Sheet10"/>
  <dimension ref="A1:Q30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9.75" bestFit="1" customWidth="1"/>
    <col min="2" max="2" width="19.625" customWidth="1"/>
    <col min="3" max="3" width="22.5" customWidth="1"/>
    <col min="4" max="4" width="37.375" customWidth="1"/>
    <col min="5" max="5" width="17.125" customWidth="1"/>
    <col min="7" max="7" width="9" customWidth="1"/>
    <col min="12" max="12" width="9.375" bestFit="1" customWidth="1"/>
    <col min="13" max="13" width="10.5" bestFit="1" customWidth="1"/>
    <col min="14" max="14" width="10.625" bestFit="1" customWidth="1"/>
    <col min="17" max="17" width="9.37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49</v>
      </c>
    </row>
    <row r="2" spans="1:17" x14ac:dyDescent="0.2">
      <c r="A2" t="s">
        <v>163</v>
      </c>
      <c r="B2" s="59">
        <v>45930.800219907411</v>
      </c>
      <c r="C2" t="s">
        <v>93</v>
      </c>
      <c r="D2" t="s">
        <v>92</v>
      </c>
      <c r="F2" t="s">
        <v>46</v>
      </c>
      <c r="G2" t="s">
        <v>97</v>
      </c>
      <c r="H2" t="s">
        <v>50</v>
      </c>
      <c r="I2" t="s">
        <v>45</v>
      </c>
      <c r="J2" t="s">
        <v>48</v>
      </c>
      <c r="K2" t="s">
        <v>44</v>
      </c>
      <c r="L2">
        <v>27</v>
      </c>
      <c r="M2">
        <v>27</v>
      </c>
      <c r="N2">
        <v>25868.94</v>
      </c>
      <c r="Q2">
        <v>202509</v>
      </c>
    </row>
    <row r="3" spans="1:17" x14ac:dyDescent="0.2">
      <c r="A3" t="s">
        <v>164</v>
      </c>
      <c r="B3" s="59">
        <v>45926.861967592595</v>
      </c>
      <c r="C3" t="s">
        <v>93</v>
      </c>
      <c r="D3" t="s">
        <v>92</v>
      </c>
      <c r="F3" t="s">
        <v>46</v>
      </c>
      <c r="G3" t="s">
        <v>99</v>
      </c>
      <c r="H3" t="s">
        <v>50</v>
      </c>
      <c r="I3" t="s">
        <v>45</v>
      </c>
      <c r="J3" t="s">
        <v>48</v>
      </c>
      <c r="K3" t="s">
        <v>44</v>
      </c>
      <c r="L3">
        <v>27</v>
      </c>
      <c r="M3">
        <v>27</v>
      </c>
      <c r="N3">
        <v>25409.94</v>
      </c>
      <c r="Q3">
        <v>202509</v>
      </c>
    </row>
    <row r="4" spans="1:17" x14ac:dyDescent="0.2">
      <c r="A4" t="s">
        <v>165</v>
      </c>
      <c r="B4" s="59">
        <v>45926.852476851855</v>
      </c>
      <c r="C4" t="s">
        <v>93</v>
      </c>
      <c r="D4" t="s">
        <v>92</v>
      </c>
      <c r="E4" t="s">
        <v>101</v>
      </c>
      <c r="F4" t="s">
        <v>46</v>
      </c>
      <c r="G4" t="s">
        <v>102</v>
      </c>
      <c r="H4" t="s">
        <v>50</v>
      </c>
      <c r="I4" t="s">
        <v>45</v>
      </c>
      <c r="J4" t="s">
        <v>48</v>
      </c>
      <c r="K4" t="s">
        <v>44</v>
      </c>
      <c r="L4">
        <v>27</v>
      </c>
      <c r="M4">
        <v>27</v>
      </c>
      <c r="N4">
        <v>24950.94</v>
      </c>
      <c r="Q4">
        <v>202509</v>
      </c>
    </row>
    <row r="5" spans="1:17" x14ac:dyDescent="0.2">
      <c r="A5" t="s">
        <v>166</v>
      </c>
      <c r="B5" s="59">
        <v>45925.835370370369</v>
      </c>
      <c r="C5" t="s">
        <v>93</v>
      </c>
      <c r="D5" t="s">
        <v>92</v>
      </c>
      <c r="E5" t="s">
        <v>104</v>
      </c>
      <c r="F5" t="s">
        <v>46</v>
      </c>
      <c r="G5" t="s">
        <v>105</v>
      </c>
      <c r="H5" t="s">
        <v>50</v>
      </c>
      <c r="I5" t="s">
        <v>45</v>
      </c>
      <c r="J5" t="s">
        <v>48</v>
      </c>
      <c r="K5" t="s">
        <v>44</v>
      </c>
      <c r="L5">
        <v>16</v>
      </c>
      <c r="M5">
        <v>16</v>
      </c>
      <c r="N5">
        <v>24594.959999999999</v>
      </c>
      <c r="Q5">
        <v>202509</v>
      </c>
    </row>
    <row r="6" spans="1:17" x14ac:dyDescent="0.2">
      <c r="A6" t="s">
        <v>167</v>
      </c>
      <c r="B6" s="59">
        <v>45925.83353009259</v>
      </c>
      <c r="C6" t="s">
        <v>93</v>
      </c>
      <c r="D6" t="s">
        <v>92</v>
      </c>
      <c r="F6" t="s">
        <v>46</v>
      </c>
      <c r="G6" t="s">
        <v>107</v>
      </c>
      <c r="H6" t="s">
        <v>50</v>
      </c>
      <c r="I6" t="s">
        <v>45</v>
      </c>
      <c r="J6" t="s">
        <v>48</v>
      </c>
      <c r="K6" t="s">
        <v>44</v>
      </c>
      <c r="L6">
        <v>7</v>
      </c>
      <c r="M6">
        <v>7</v>
      </c>
      <c r="N6">
        <v>24498.560000000001</v>
      </c>
      <c r="Q6">
        <v>202509</v>
      </c>
    </row>
    <row r="7" spans="1:17" x14ac:dyDescent="0.2">
      <c r="A7" t="s">
        <v>168</v>
      </c>
      <c r="B7" s="59">
        <v>45922.609363425923</v>
      </c>
      <c r="C7" t="s">
        <v>93</v>
      </c>
      <c r="D7" t="s">
        <v>92</v>
      </c>
      <c r="E7" t="s">
        <v>109</v>
      </c>
      <c r="F7" t="s">
        <v>46</v>
      </c>
      <c r="G7" t="s">
        <v>110</v>
      </c>
      <c r="H7" t="s">
        <v>50</v>
      </c>
      <c r="I7" t="s">
        <v>45</v>
      </c>
      <c r="J7" t="s">
        <v>48</v>
      </c>
      <c r="K7" t="s">
        <v>44</v>
      </c>
      <c r="L7">
        <v>7</v>
      </c>
      <c r="M7">
        <v>7</v>
      </c>
      <c r="N7">
        <v>24464.560000000001</v>
      </c>
      <c r="Q7">
        <v>202509</v>
      </c>
    </row>
    <row r="8" spans="1:17" x14ac:dyDescent="0.2">
      <c r="A8" t="s">
        <v>169</v>
      </c>
      <c r="B8" s="59">
        <v>45922.606631944444</v>
      </c>
      <c r="C8" t="s">
        <v>93</v>
      </c>
      <c r="D8" t="s">
        <v>92</v>
      </c>
      <c r="E8" t="s">
        <v>112</v>
      </c>
      <c r="F8" t="s">
        <v>46</v>
      </c>
      <c r="G8" t="s">
        <v>113</v>
      </c>
      <c r="H8" t="s">
        <v>50</v>
      </c>
      <c r="I8" t="s">
        <v>45</v>
      </c>
      <c r="J8" t="s">
        <v>48</v>
      </c>
      <c r="K8" t="s">
        <v>44</v>
      </c>
      <c r="L8">
        <v>27</v>
      </c>
      <c r="M8">
        <v>27</v>
      </c>
      <c r="N8">
        <v>24430.560000000001</v>
      </c>
      <c r="Q8">
        <v>202509</v>
      </c>
    </row>
    <row r="9" spans="1:17" x14ac:dyDescent="0.2">
      <c r="A9" t="s">
        <v>170</v>
      </c>
      <c r="B9" s="59">
        <v>45922.605312500003</v>
      </c>
      <c r="C9" t="s">
        <v>93</v>
      </c>
      <c r="D9" t="s">
        <v>92</v>
      </c>
      <c r="F9" t="s">
        <v>46</v>
      </c>
      <c r="G9" t="s">
        <v>115</v>
      </c>
      <c r="H9" t="s">
        <v>50</v>
      </c>
      <c r="I9" t="s">
        <v>45</v>
      </c>
      <c r="J9" t="s">
        <v>48</v>
      </c>
      <c r="K9" t="s">
        <v>44</v>
      </c>
      <c r="L9">
        <v>7</v>
      </c>
      <c r="M9">
        <v>7</v>
      </c>
      <c r="N9">
        <v>23814.63</v>
      </c>
      <c r="Q9">
        <v>202509</v>
      </c>
    </row>
    <row r="10" spans="1:17" x14ac:dyDescent="0.2">
      <c r="A10" t="s">
        <v>171</v>
      </c>
      <c r="B10" s="59">
        <v>45918.851643518516</v>
      </c>
      <c r="C10" t="s">
        <v>93</v>
      </c>
      <c r="D10" t="s">
        <v>92</v>
      </c>
      <c r="E10" t="s">
        <v>117</v>
      </c>
      <c r="F10" t="s">
        <v>46</v>
      </c>
      <c r="G10" t="s">
        <v>118</v>
      </c>
      <c r="H10" t="s">
        <v>50</v>
      </c>
      <c r="I10" t="s">
        <v>45</v>
      </c>
      <c r="J10" t="s">
        <v>48</v>
      </c>
      <c r="K10" t="s">
        <v>44</v>
      </c>
      <c r="L10">
        <v>7</v>
      </c>
      <c r="M10">
        <v>7</v>
      </c>
      <c r="N10">
        <v>25616.63</v>
      </c>
      <c r="Q10">
        <v>202509</v>
      </c>
    </row>
    <row r="11" spans="1:17" x14ac:dyDescent="0.2">
      <c r="A11" t="s">
        <v>172</v>
      </c>
      <c r="B11" s="59">
        <v>45917.821342592593</v>
      </c>
      <c r="C11" t="s">
        <v>93</v>
      </c>
      <c r="D11" t="s">
        <v>92</v>
      </c>
      <c r="F11" t="s">
        <v>46</v>
      </c>
      <c r="G11" t="s">
        <v>120</v>
      </c>
      <c r="H11" t="s">
        <v>50</v>
      </c>
      <c r="I11" t="s">
        <v>45</v>
      </c>
      <c r="J11" t="s">
        <v>48</v>
      </c>
      <c r="K11" t="s">
        <v>44</v>
      </c>
      <c r="L11">
        <v>7</v>
      </c>
      <c r="M11">
        <v>7</v>
      </c>
      <c r="N11">
        <v>22392.12</v>
      </c>
      <c r="Q11">
        <v>202509</v>
      </c>
    </row>
    <row r="12" spans="1:17" x14ac:dyDescent="0.2">
      <c r="A12" t="s">
        <v>173</v>
      </c>
      <c r="B12" s="59">
        <v>45917.81925925926</v>
      </c>
      <c r="C12" t="s">
        <v>93</v>
      </c>
      <c r="D12" t="s">
        <v>92</v>
      </c>
      <c r="E12" t="s">
        <v>122</v>
      </c>
      <c r="F12" t="s">
        <v>46</v>
      </c>
      <c r="G12" t="s">
        <v>123</v>
      </c>
      <c r="H12" t="s">
        <v>50</v>
      </c>
      <c r="I12" t="s">
        <v>45</v>
      </c>
      <c r="J12" t="s">
        <v>48</v>
      </c>
      <c r="K12" t="s">
        <v>44</v>
      </c>
      <c r="L12">
        <v>16</v>
      </c>
      <c r="M12">
        <v>16</v>
      </c>
      <c r="N12">
        <v>22305.119999999999</v>
      </c>
      <c r="Q12">
        <v>202509</v>
      </c>
    </row>
    <row r="13" spans="1:17" x14ac:dyDescent="0.2">
      <c r="A13" t="s">
        <v>174</v>
      </c>
      <c r="B13" s="59">
        <v>45917.814143518517</v>
      </c>
      <c r="C13" t="s">
        <v>93</v>
      </c>
      <c r="D13" t="s">
        <v>92</v>
      </c>
      <c r="F13" t="s">
        <v>46</v>
      </c>
      <c r="G13" t="s">
        <v>125</v>
      </c>
      <c r="H13" t="s">
        <v>50</v>
      </c>
      <c r="I13" t="s">
        <v>45</v>
      </c>
      <c r="J13" t="s">
        <v>48</v>
      </c>
      <c r="K13" t="s">
        <v>44</v>
      </c>
      <c r="L13">
        <v>7</v>
      </c>
      <c r="M13">
        <v>7</v>
      </c>
      <c r="N13">
        <v>22257.119999999999</v>
      </c>
      <c r="Q13">
        <v>202509</v>
      </c>
    </row>
    <row r="14" spans="1:17" x14ac:dyDescent="0.2">
      <c r="A14" t="s">
        <v>175</v>
      </c>
      <c r="B14" s="59">
        <v>45916.858217592591</v>
      </c>
      <c r="C14" t="s">
        <v>93</v>
      </c>
      <c r="D14" t="s">
        <v>92</v>
      </c>
      <c r="E14" t="s">
        <v>127</v>
      </c>
      <c r="F14" t="s">
        <v>46</v>
      </c>
      <c r="G14" t="s">
        <v>128</v>
      </c>
      <c r="H14" t="s">
        <v>50</v>
      </c>
      <c r="I14" t="s">
        <v>45</v>
      </c>
      <c r="J14" t="s">
        <v>48</v>
      </c>
      <c r="K14" t="s">
        <v>44</v>
      </c>
      <c r="L14">
        <v>7</v>
      </c>
      <c r="M14">
        <v>7</v>
      </c>
      <c r="N14">
        <v>22223.119999999999</v>
      </c>
      <c r="Q14">
        <v>202509</v>
      </c>
    </row>
    <row r="15" spans="1:17" x14ac:dyDescent="0.2">
      <c r="A15" t="s">
        <v>176</v>
      </c>
      <c r="B15" s="59">
        <v>45916.856608796297</v>
      </c>
      <c r="C15" t="s">
        <v>93</v>
      </c>
      <c r="D15" t="s">
        <v>92</v>
      </c>
      <c r="F15" t="s">
        <v>46</v>
      </c>
      <c r="G15" t="s">
        <v>130</v>
      </c>
      <c r="H15" t="s">
        <v>50</v>
      </c>
      <c r="I15" t="s">
        <v>45</v>
      </c>
      <c r="J15" t="s">
        <v>48</v>
      </c>
      <c r="K15" t="s">
        <v>44</v>
      </c>
      <c r="L15">
        <v>7</v>
      </c>
      <c r="M15">
        <v>7</v>
      </c>
      <c r="N15">
        <v>22074.560000000001</v>
      </c>
      <c r="Q15">
        <v>202509</v>
      </c>
    </row>
    <row r="16" spans="1:17" x14ac:dyDescent="0.2">
      <c r="A16" t="s">
        <v>177</v>
      </c>
      <c r="B16" s="59">
        <v>45915.633391203701</v>
      </c>
      <c r="C16" t="s">
        <v>93</v>
      </c>
      <c r="D16" t="s">
        <v>92</v>
      </c>
      <c r="F16" t="s">
        <v>46</v>
      </c>
      <c r="G16" t="s">
        <v>132</v>
      </c>
      <c r="H16" t="s">
        <v>50</v>
      </c>
      <c r="I16" t="s">
        <v>45</v>
      </c>
      <c r="J16" t="s">
        <v>48</v>
      </c>
      <c r="K16" t="s">
        <v>44</v>
      </c>
      <c r="L16">
        <v>7</v>
      </c>
      <c r="M16">
        <v>7</v>
      </c>
      <c r="N16">
        <v>21806.31</v>
      </c>
      <c r="Q16">
        <v>202509</v>
      </c>
    </row>
    <row r="17" spans="1:17" x14ac:dyDescent="0.2">
      <c r="A17" t="s">
        <v>178</v>
      </c>
      <c r="B17" s="59">
        <v>45911.85297453704</v>
      </c>
      <c r="C17" t="s">
        <v>93</v>
      </c>
      <c r="D17" t="s">
        <v>92</v>
      </c>
      <c r="E17" t="s">
        <v>122</v>
      </c>
      <c r="F17" t="s">
        <v>46</v>
      </c>
      <c r="G17" t="s">
        <v>134</v>
      </c>
      <c r="H17" t="s">
        <v>50</v>
      </c>
      <c r="I17" t="s">
        <v>45</v>
      </c>
      <c r="J17" t="s">
        <v>48</v>
      </c>
      <c r="K17" t="s">
        <v>44</v>
      </c>
      <c r="L17">
        <v>7</v>
      </c>
      <c r="M17">
        <v>7</v>
      </c>
      <c r="N17">
        <v>21229.31</v>
      </c>
      <c r="Q17">
        <v>202509</v>
      </c>
    </row>
    <row r="18" spans="1:17" x14ac:dyDescent="0.2">
      <c r="A18" t="s">
        <v>179</v>
      </c>
      <c r="B18" s="59">
        <v>45911.844537037039</v>
      </c>
      <c r="C18" t="s">
        <v>93</v>
      </c>
      <c r="D18" t="s">
        <v>92</v>
      </c>
      <c r="E18" t="s">
        <v>117</v>
      </c>
      <c r="F18" t="s">
        <v>46</v>
      </c>
      <c r="G18" t="s">
        <v>136</v>
      </c>
      <c r="H18" t="s">
        <v>50</v>
      </c>
      <c r="I18" t="s">
        <v>45</v>
      </c>
      <c r="J18" t="s">
        <v>48</v>
      </c>
      <c r="K18" t="s">
        <v>44</v>
      </c>
      <c r="L18">
        <v>27</v>
      </c>
      <c r="M18">
        <v>27</v>
      </c>
      <c r="N18">
        <v>20652.310000000001</v>
      </c>
      <c r="Q18">
        <v>202509</v>
      </c>
    </row>
    <row r="19" spans="1:17" x14ac:dyDescent="0.2">
      <c r="A19" t="s">
        <v>180</v>
      </c>
      <c r="B19" s="59">
        <v>45910.888738425929</v>
      </c>
      <c r="C19" t="s">
        <v>93</v>
      </c>
      <c r="D19" t="s">
        <v>92</v>
      </c>
      <c r="E19" t="s">
        <v>104</v>
      </c>
      <c r="F19" t="s">
        <v>46</v>
      </c>
      <c r="G19" t="s">
        <v>138</v>
      </c>
      <c r="H19" t="s">
        <v>50</v>
      </c>
      <c r="I19" t="s">
        <v>45</v>
      </c>
      <c r="J19" t="s">
        <v>48</v>
      </c>
      <c r="K19" t="s">
        <v>44</v>
      </c>
      <c r="L19">
        <v>7</v>
      </c>
      <c r="M19">
        <v>7</v>
      </c>
      <c r="N19">
        <v>20193.310000000001</v>
      </c>
      <c r="Q19">
        <v>202509</v>
      </c>
    </row>
    <row r="20" spans="1:17" x14ac:dyDescent="0.2">
      <c r="A20" t="s">
        <v>181</v>
      </c>
      <c r="B20" s="59">
        <v>45905.854629629626</v>
      </c>
      <c r="C20" t="s">
        <v>93</v>
      </c>
      <c r="D20" t="s">
        <v>92</v>
      </c>
      <c r="E20" t="s">
        <v>104</v>
      </c>
      <c r="F20" t="s">
        <v>46</v>
      </c>
      <c r="G20" t="s">
        <v>140</v>
      </c>
      <c r="H20" t="s">
        <v>50</v>
      </c>
      <c r="I20" t="s">
        <v>45</v>
      </c>
      <c r="J20" t="s">
        <v>48</v>
      </c>
      <c r="K20" t="s">
        <v>44</v>
      </c>
      <c r="L20">
        <v>7</v>
      </c>
      <c r="M20">
        <v>7</v>
      </c>
      <c r="N20">
        <v>20106.310000000001</v>
      </c>
      <c r="Q20">
        <v>202509</v>
      </c>
    </row>
    <row r="21" spans="1:17" x14ac:dyDescent="0.2">
      <c r="A21" t="s">
        <v>182</v>
      </c>
      <c r="B21" s="59">
        <v>45905.844756944447</v>
      </c>
      <c r="C21" t="s">
        <v>93</v>
      </c>
      <c r="D21" t="s">
        <v>92</v>
      </c>
      <c r="E21" t="s">
        <v>117</v>
      </c>
      <c r="F21" t="s">
        <v>46</v>
      </c>
      <c r="G21" t="s">
        <v>142</v>
      </c>
      <c r="H21" t="s">
        <v>50</v>
      </c>
      <c r="I21" t="s">
        <v>45</v>
      </c>
      <c r="J21" t="s">
        <v>48</v>
      </c>
      <c r="K21" t="s">
        <v>44</v>
      </c>
      <c r="L21">
        <v>7</v>
      </c>
      <c r="M21">
        <v>7</v>
      </c>
      <c r="N21">
        <v>20051.310000000001</v>
      </c>
      <c r="Q21">
        <v>202509</v>
      </c>
    </row>
    <row r="22" spans="1:17" x14ac:dyDescent="0.2">
      <c r="A22" t="s">
        <v>183</v>
      </c>
      <c r="B22" s="59">
        <v>45903.837905092594</v>
      </c>
      <c r="C22" t="s">
        <v>93</v>
      </c>
      <c r="D22" t="s">
        <v>92</v>
      </c>
      <c r="E22" t="s">
        <v>117</v>
      </c>
      <c r="F22" t="s">
        <v>46</v>
      </c>
      <c r="G22" t="s">
        <v>144</v>
      </c>
      <c r="H22" t="s">
        <v>50</v>
      </c>
      <c r="I22" t="s">
        <v>45</v>
      </c>
      <c r="J22" t="s">
        <v>48</v>
      </c>
      <c r="K22" t="s">
        <v>44</v>
      </c>
      <c r="L22">
        <v>7</v>
      </c>
      <c r="M22">
        <v>7</v>
      </c>
      <c r="N22">
        <v>19895.310000000001</v>
      </c>
      <c r="Q22">
        <v>202509</v>
      </c>
    </row>
    <row r="23" spans="1:17" x14ac:dyDescent="0.2">
      <c r="A23" t="s">
        <v>184</v>
      </c>
      <c r="B23" s="59">
        <v>45903.837650462963</v>
      </c>
      <c r="C23" t="s">
        <v>93</v>
      </c>
      <c r="D23" t="s">
        <v>92</v>
      </c>
      <c r="E23" t="s">
        <v>117</v>
      </c>
      <c r="F23" t="s">
        <v>46</v>
      </c>
      <c r="G23" t="s">
        <v>146</v>
      </c>
      <c r="H23" t="s">
        <v>50</v>
      </c>
      <c r="I23" t="s">
        <v>45</v>
      </c>
      <c r="J23" t="s">
        <v>48</v>
      </c>
      <c r="K23" t="s">
        <v>44</v>
      </c>
      <c r="L23">
        <v>7</v>
      </c>
      <c r="M23">
        <v>7</v>
      </c>
      <c r="N23">
        <v>19387.310000000001</v>
      </c>
      <c r="Q23">
        <v>202509</v>
      </c>
    </row>
    <row r="24" spans="1:17" x14ac:dyDescent="0.2">
      <c r="A24" t="s">
        <v>185</v>
      </c>
      <c r="B24" s="59">
        <v>45902.853877314818</v>
      </c>
      <c r="C24" t="s">
        <v>93</v>
      </c>
      <c r="D24" t="s">
        <v>92</v>
      </c>
      <c r="F24" t="s">
        <v>46</v>
      </c>
      <c r="G24" t="s">
        <v>148</v>
      </c>
      <c r="H24" t="s">
        <v>50</v>
      </c>
      <c r="I24" t="s">
        <v>45</v>
      </c>
      <c r="J24" t="s">
        <v>48</v>
      </c>
      <c r="K24" t="s">
        <v>44</v>
      </c>
      <c r="L24">
        <v>7</v>
      </c>
      <c r="M24">
        <v>7</v>
      </c>
      <c r="N24">
        <v>19233.310000000001</v>
      </c>
      <c r="Q24">
        <v>202509</v>
      </c>
    </row>
    <row r="25" spans="1:17" x14ac:dyDescent="0.2">
      <c r="A25" t="s">
        <v>186</v>
      </c>
      <c r="B25" s="59">
        <v>45901.672638888886</v>
      </c>
      <c r="C25" t="s">
        <v>93</v>
      </c>
      <c r="D25" t="s">
        <v>92</v>
      </c>
      <c r="E25" t="s">
        <v>122</v>
      </c>
      <c r="F25" t="s">
        <v>46</v>
      </c>
      <c r="G25" t="s">
        <v>150</v>
      </c>
      <c r="H25" t="s">
        <v>50</v>
      </c>
      <c r="I25" t="s">
        <v>45</v>
      </c>
      <c r="J25" t="s">
        <v>48</v>
      </c>
      <c r="K25" t="s">
        <v>44</v>
      </c>
      <c r="L25">
        <v>27</v>
      </c>
      <c r="M25">
        <v>27</v>
      </c>
      <c r="N25">
        <v>19199.310000000001</v>
      </c>
      <c r="Q25">
        <v>202509</v>
      </c>
    </row>
    <row r="26" spans="1:17" x14ac:dyDescent="0.2">
      <c r="A26" t="s">
        <v>187</v>
      </c>
      <c r="B26" s="59">
        <v>45901.665636574071</v>
      </c>
      <c r="C26" t="s">
        <v>93</v>
      </c>
      <c r="D26" t="s">
        <v>92</v>
      </c>
      <c r="E26" t="s">
        <v>152</v>
      </c>
      <c r="F26" t="s">
        <v>46</v>
      </c>
      <c r="G26" t="s">
        <v>153</v>
      </c>
      <c r="H26" t="s">
        <v>50</v>
      </c>
      <c r="I26" t="s">
        <v>45</v>
      </c>
      <c r="J26" t="s">
        <v>48</v>
      </c>
      <c r="K26" t="s">
        <v>44</v>
      </c>
      <c r="L26">
        <v>27</v>
      </c>
      <c r="M26">
        <v>27</v>
      </c>
      <c r="N26">
        <v>18512.009999999998</v>
      </c>
      <c r="Q26">
        <v>202509</v>
      </c>
    </row>
    <row r="27" spans="1:17" x14ac:dyDescent="0.2">
      <c r="A27" t="s">
        <v>188</v>
      </c>
      <c r="B27" s="59">
        <v>45901.661226851851</v>
      </c>
      <c r="C27" t="s">
        <v>93</v>
      </c>
      <c r="D27" t="s">
        <v>92</v>
      </c>
      <c r="E27" t="s">
        <v>117</v>
      </c>
      <c r="F27" t="s">
        <v>46</v>
      </c>
      <c r="G27" t="s">
        <v>155</v>
      </c>
      <c r="H27" t="s">
        <v>50</v>
      </c>
      <c r="I27" t="s">
        <v>45</v>
      </c>
      <c r="J27" t="s">
        <v>48</v>
      </c>
      <c r="K27" t="s">
        <v>44</v>
      </c>
      <c r="L27">
        <v>27</v>
      </c>
      <c r="M27">
        <v>27</v>
      </c>
      <c r="N27">
        <v>18053.009999999998</v>
      </c>
      <c r="Q27">
        <v>202509</v>
      </c>
    </row>
    <row r="28" spans="1:17" x14ac:dyDescent="0.2">
      <c r="A28" t="s">
        <v>189</v>
      </c>
      <c r="B28" s="59">
        <v>45901.657500000001</v>
      </c>
      <c r="C28" t="s">
        <v>93</v>
      </c>
      <c r="D28" t="s">
        <v>92</v>
      </c>
      <c r="F28" t="s">
        <v>46</v>
      </c>
      <c r="G28" t="s">
        <v>157</v>
      </c>
      <c r="H28" t="s">
        <v>50</v>
      </c>
      <c r="I28" t="s">
        <v>45</v>
      </c>
      <c r="J28" t="s">
        <v>48</v>
      </c>
      <c r="K28" t="s">
        <v>44</v>
      </c>
      <c r="L28">
        <v>27</v>
      </c>
      <c r="M28">
        <v>27</v>
      </c>
      <c r="N28">
        <v>17399.75</v>
      </c>
      <c r="Q28">
        <v>202509</v>
      </c>
    </row>
    <row r="29" spans="1:17" x14ac:dyDescent="0.2">
      <c r="A29" t="s">
        <v>190</v>
      </c>
      <c r="B29" s="59">
        <v>45901.633703703701</v>
      </c>
      <c r="C29" t="s">
        <v>93</v>
      </c>
      <c r="D29" t="s">
        <v>92</v>
      </c>
      <c r="F29" t="s">
        <v>46</v>
      </c>
      <c r="G29" t="s">
        <v>159</v>
      </c>
      <c r="H29" t="s">
        <v>50</v>
      </c>
      <c r="I29" t="s">
        <v>45</v>
      </c>
      <c r="J29" t="s">
        <v>48</v>
      </c>
      <c r="K29" t="s">
        <v>44</v>
      </c>
      <c r="L29">
        <v>27</v>
      </c>
      <c r="M29">
        <v>27</v>
      </c>
      <c r="N29">
        <v>16940.75</v>
      </c>
      <c r="Q29">
        <v>202509</v>
      </c>
    </row>
    <row r="30" spans="1:17" x14ac:dyDescent="0.2">
      <c r="A30" t="s">
        <v>191</v>
      </c>
      <c r="B30" s="59">
        <v>45960.499201388891</v>
      </c>
      <c r="C30" t="s">
        <v>93</v>
      </c>
      <c r="D30" t="s">
        <v>92</v>
      </c>
      <c r="F30" t="s">
        <v>41</v>
      </c>
      <c r="G30" t="s">
        <v>161</v>
      </c>
      <c r="H30" t="s">
        <v>50</v>
      </c>
      <c r="I30" t="s">
        <v>42</v>
      </c>
      <c r="J30" t="s">
        <v>43</v>
      </c>
      <c r="K30" t="s">
        <v>44</v>
      </c>
      <c r="L30">
        <v>27</v>
      </c>
      <c r="M30">
        <v>-27</v>
      </c>
      <c r="N30">
        <v>7600.68</v>
      </c>
      <c r="P30" t="s">
        <v>192</v>
      </c>
      <c r="Q30">
        <v>202509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5C30-5FB5-4D0B-A2F0-EBA65047E56E}">
  <dimension ref="A1:Q11"/>
  <sheetViews>
    <sheetView zoomScale="85" zoomScaleNormal="85" workbookViewId="0">
      <pane ySplit="1" topLeftCell="A2" activePane="bottomLeft" state="frozen"/>
      <selection activeCell="M1" sqref="M1:M1048576"/>
      <selection pane="bottomLeft"/>
    </sheetView>
  </sheetViews>
  <sheetFormatPr defaultRowHeight="14.25" x14ac:dyDescent="0.2"/>
  <cols>
    <col min="1" max="2" width="13.25" customWidth="1"/>
    <col min="3" max="3" width="15.75" customWidth="1"/>
    <col min="4" max="4" width="17.125" customWidth="1"/>
    <col min="5" max="5" width="14.375" customWidth="1"/>
    <col min="6" max="6" width="16.5" customWidth="1"/>
    <col min="7" max="7" width="15.75" customWidth="1"/>
    <col min="8" max="8" width="8.625" customWidth="1"/>
    <col min="9" max="9" width="9.5" customWidth="1"/>
    <col min="10" max="10" width="17.5" bestFit="1" customWidth="1"/>
    <col min="11" max="11" width="9.125" customWidth="1"/>
    <col min="12" max="12" width="13.375" customWidth="1"/>
    <col min="13" max="13" width="11.25" bestFit="1" customWidth="1"/>
    <col min="14" max="15" width="11.25" customWidth="1"/>
    <col min="16" max="16" width="9.25" bestFit="1" customWidth="1"/>
    <col min="17" max="17" width="7.5" bestFit="1" customWidth="1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25" t="s">
        <v>49</v>
      </c>
    </row>
    <row r="2" spans="1:17" x14ac:dyDescent="0.2">
      <c r="A2" t="s">
        <v>193</v>
      </c>
      <c r="B2" s="59">
        <v>45960.511458333334</v>
      </c>
      <c r="C2" t="s">
        <v>93</v>
      </c>
      <c r="D2" t="s">
        <v>92</v>
      </c>
      <c r="F2" t="s">
        <v>41</v>
      </c>
      <c r="G2" t="s">
        <v>51</v>
      </c>
      <c r="H2" t="s">
        <v>63</v>
      </c>
      <c r="I2" t="s">
        <v>45</v>
      </c>
      <c r="J2" t="s">
        <v>43</v>
      </c>
      <c r="K2" t="s">
        <v>44</v>
      </c>
      <c r="L2">
        <v>1088.17</v>
      </c>
      <c r="M2">
        <v>1088.17</v>
      </c>
      <c r="N2">
        <v>12214.54</v>
      </c>
      <c r="P2" t="s">
        <v>194</v>
      </c>
      <c r="Q2">
        <v>202509</v>
      </c>
    </row>
    <row r="3" spans="1:17" x14ac:dyDescent="0.2">
      <c r="A3" t="s">
        <v>195</v>
      </c>
      <c r="B3" s="59">
        <v>45960.511458333334</v>
      </c>
      <c r="C3" t="s">
        <v>93</v>
      </c>
      <c r="D3" t="s">
        <v>92</v>
      </c>
      <c r="F3" t="s">
        <v>41</v>
      </c>
      <c r="G3" t="s">
        <v>51</v>
      </c>
      <c r="H3" t="s">
        <v>63</v>
      </c>
      <c r="I3" t="s">
        <v>45</v>
      </c>
      <c r="J3" t="s">
        <v>43</v>
      </c>
      <c r="K3" t="s">
        <v>44</v>
      </c>
      <c r="L3">
        <v>154.62</v>
      </c>
      <c r="M3">
        <v>154.62</v>
      </c>
      <c r="N3">
        <v>11126.37</v>
      </c>
      <c r="P3" t="s">
        <v>196</v>
      </c>
      <c r="Q3">
        <v>202509</v>
      </c>
    </row>
    <row r="4" spans="1:17" x14ac:dyDescent="0.2">
      <c r="A4" t="s">
        <v>197</v>
      </c>
      <c r="B4" s="59">
        <v>45960.511458333334</v>
      </c>
      <c r="C4" t="s">
        <v>93</v>
      </c>
      <c r="D4" t="s">
        <v>92</v>
      </c>
      <c r="F4" t="s">
        <v>41</v>
      </c>
      <c r="G4" t="s">
        <v>51</v>
      </c>
      <c r="H4" t="s">
        <v>63</v>
      </c>
      <c r="I4" t="s">
        <v>45</v>
      </c>
      <c r="J4" t="s">
        <v>43</v>
      </c>
      <c r="K4" t="s">
        <v>44</v>
      </c>
      <c r="L4">
        <v>884.66</v>
      </c>
      <c r="M4">
        <v>884.66</v>
      </c>
      <c r="N4">
        <v>10971.75</v>
      </c>
      <c r="P4" t="s">
        <v>198</v>
      </c>
      <c r="Q4">
        <v>202509</v>
      </c>
    </row>
    <row r="5" spans="1:17" x14ac:dyDescent="0.2">
      <c r="A5" t="s">
        <v>199</v>
      </c>
      <c r="B5" s="59">
        <v>45960.511458333334</v>
      </c>
      <c r="C5" t="s">
        <v>93</v>
      </c>
      <c r="D5" t="s">
        <v>92</v>
      </c>
      <c r="F5" t="s">
        <v>41</v>
      </c>
      <c r="G5" t="s">
        <v>51</v>
      </c>
      <c r="H5" t="s">
        <v>63</v>
      </c>
      <c r="I5" t="s">
        <v>45</v>
      </c>
      <c r="J5" t="s">
        <v>43</v>
      </c>
      <c r="K5" t="s">
        <v>44</v>
      </c>
      <c r="L5">
        <v>1236.1199999999999</v>
      </c>
      <c r="M5">
        <v>1236.1199999999999</v>
      </c>
      <c r="N5">
        <v>10087.09</v>
      </c>
      <c r="P5" t="s">
        <v>200</v>
      </c>
      <c r="Q5">
        <v>202509</v>
      </c>
    </row>
    <row r="6" spans="1:17" x14ac:dyDescent="0.2">
      <c r="A6" t="s">
        <v>201</v>
      </c>
      <c r="B6" s="59">
        <v>45960.511458333334</v>
      </c>
      <c r="C6" t="s">
        <v>93</v>
      </c>
      <c r="D6" t="s">
        <v>92</v>
      </c>
      <c r="F6" t="s">
        <v>41</v>
      </c>
      <c r="G6" t="s">
        <v>51</v>
      </c>
      <c r="H6" t="s">
        <v>63</v>
      </c>
      <c r="I6" t="s">
        <v>45</v>
      </c>
      <c r="J6" t="s">
        <v>43</v>
      </c>
      <c r="K6" t="s">
        <v>44</v>
      </c>
      <c r="L6">
        <v>203.04</v>
      </c>
      <c r="M6">
        <v>203.04</v>
      </c>
      <c r="N6">
        <v>8850.9699999999993</v>
      </c>
      <c r="P6" t="s">
        <v>202</v>
      </c>
      <c r="Q6">
        <v>202509</v>
      </c>
    </row>
    <row r="7" spans="1:17" x14ac:dyDescent="0.2">
      <c r="A7" t="s">
        <v>203</v>
      </c>
      <c r="B7" s="59">
        <v>45960.511458333334</v>
      </c>
      <c r="C7" t="s">
        <v>93</v>
      </c>
      <c r="D7" t="s">
        <v>92</v>
      </c>
      <c r="F7" t="s">
        <v>41</v>
      </c>
      <c r="G7" t="s">
        <v>51</v>
      </c>
      <c r="H7" t="s">
        <v>63</v>
      </c>
      <c r="I7" t="s">
        <v>45</v>
      </c>
      <c r="J7" t="s">
        <v>43</v>
      </c>
      <c r="K7" t="s">
        <v>44</v>
      </c>
      <c r="L7">
        <v>593.28</v>
      </c>
      <c r="M7">
        <v>593.28</v>
      </c>
      <c r="N7">
        <v>8647.93</v>
      </c>
      <c r="P7" t="s">
        <v>204</v>
      </c>
      <c r="Q7">
        <v>202509</v>
      </c>
    </row>
    <row r="8" spans="1:17" x14ac:dyDescent="0.2">
      <c r="A8" t="s">
        <v>205</v>
      </c>
      <c r="B8" s="59">
        <v>45960.511458333334</v>
      </c>
      <c r="C8" t="s">
        <v>93</v>
      </c>
      <c r="D8" t="s">
        <v>92</v>
      </c>
      <c r="F8" t="s">
        <v>41</v>
      </c>
      <c r="G8" t="s">
        <v>51</v>
      </c>
      <c r="H8" t="s">
        <v>63</v>
      </c>
      <c r="I8" t="s">
        <v>45</v>
      </c>
      <c r="J8" t="s">
        <v>43</v>
      </c>
      <c r="K8" t="s">
        <v>44</v>
      </c>
      <c r="L8">
        <v>12.69</v>
      </c>
      <c r="M8">
        <v>12.69</v>
      </c>
      <c r="N8">
        <v>8054.65</v>
      </c>
      <c r="P8" t="s">
        <v>206</v>
      </c>
      <c r="Q8">
        <v>202509</v>
      </c>
    </row>
    <row r="9" spans="1:17" x14ac:dyDescent="0.2">
      <c r="A9" t="s">
        <v>207</v>
      </c>
      <c r="B9" s="59">
        <v>45960.511458333334</v>
      </c>
      <c r="C9" t="s">
        <v>93</v>
      </c>
      <c r="D9" t="s">
        <v>92</v>
      </c>
      <c r="F9" t="s">
        <v>41</v>
      </c>
      <c r="G9" t="s">
        <v>51</v>
      </c>
      <c r="H9" t="s">
        <v>63</v>
      </c>
      <c r="I9" t="s">
        <v>45</v>
      </c>
      <c r="J9" t="s">
        <v>43</v>
      </c>
      <c r="K9" t="s">
        <v>44</v>
      </c>
      <c r="L9">
        <v>97.95</v>
      </c>
      <c r="M9">
        <v>97.95</v>
      </c>
      <c r="N9">
        <v>8041.96</v>
      </c>
      <c r="P9" t="s">
        <v>208</v>
      </c>
      <c r="Q9">
        <v>202509</v>
      </c>
    </row>
    <row r="10" spans="1:17" x14ac:dyDescent="0.2">
      <c r="A10" t="s">
        <v>209</v>
      </c>
      <c r="B10" s="59">
        <v>45960.511458333334</v>
      </c>
      <c r="C10" t="s">
        <v>93</v>
      </c>
      <c r="D10" t="s">
        <v>92</v>
      </c>
      <c r="F10" t="s">
        <v>41</v>
      </c>
      <c r="G10" t="s">
        <v>51</v>
      </c>
      <c r="H10" t="s">
        <v>63</v>
      </c>
      <c r="I10" t="s">
        <v>45</v>
      </c>
      <c r="J10" t="s">
        <v>43</v>
      </c>
      <c r="K10" t="s">
        <v>44</v>
      </c>
      <c r="L10">
        <v>276.8</v>
      </c>
      <c r="M10">
        <v>276.8</v>
      </c>
      <c r="N10">
        <v>7944.01</v>
      </c>
      <c r="P10" t="s">
        <v>210</v>
      </c>
      <c r="Q10">
        <v>202509</v>
      </c>
    </row>
    <row r="11" spans="1:17" x14ac:dyDescent="0.2">
      <c r="A11" t="s">
        <v>211</v>
      </c>
      <c r="B11" s="59">
        <v>45960.511458333334</v>
      </c>
      <c r="C11" t="s">
        <v>93</v>
      </c>
      <c r="D11" t="s">
        <v>92</v>
      </c>
      <c r="F11" t="s">
        <v>41</v>
      </c>
      <c r="G11" t="s">
        <v>51</v>
      </c>
      <c r="H11" t="s">
        <v>63</v>
      </c>
      <c r="I11" t="s">
        <v>45</v>
      </c>
      <c r="J11" t="s">
        <v>43</v>
      </c>
      <c r="K11" t="s">
        <v>44</v>
      </c>
      <c r="L11">
        <v>66.53</v>
      </c>
      <c r="M11">
        <v>66.53</v>
      </c>
      <c r="N11">
        <v>7667.21</v>
      </c>
      <c r="P11" t="s">
        <v>212</v>
      </c>
      <c r="Q11">
        <v>202509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9032-9FA6-4B12-8A77-212881C0D7F0}">
  <sheetPr codeName="Sheet1"/>
  <dimension ref="A1:J100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20.25" customWidth="1"/>
    <col min="2" max="3" width="15.375" customWidth="1"/>
    <col min="4" max="4" width="17.375" customWidth="1"/>
    <col min="5" max="5" width="20.625" customWidth="1"/>
    <col min="6" max="6" width="46.875" customWidth="1"/>
    <col min="7" max="8" width="11.875" customWidth="1"/>
    <col min="10" max="10" width="11.375" customWidth="1"/>
  </cols>
  <sheetData>
    <row r="1" spans="1:10" ht="57" x14ac:dyDescent="0.2">
      <c r="A1" s="28" t="s">
        <v>52</v>
      </c>
      <c r="B1" s="28" t="s">
        <v>53</v>
      </c>
      <c r="C1" s="29" t="s">
        <v>54</v>
      </c>
      <c r="D1" s="29" t="s">
        <v>55</v>
      </c>
      <c r="E1" s="28" t="s">
        <v>56</v>
      </c>
      <c r="F1" s="28" t="s">
        <v>57</v>
      </c>
      <c r="G1" s="28" t="s">
        <v>58</v>
      </c>
      <c r="H1" s="28" t="s">
        <v>59</v>
      </c>
      <c r="I1" s="28" t="s">
        <v>60</v>
      </c>
      <c r="J1" s="28" t="s">
        <v>61</v>
      </c>
    </row>
    <row r="2" spans="1:10" x14ac:dyDescent="0.2">
      <c r="A2" t="s">
        <v>97</v>
      </c>
      <c r="B2" t="s">
        <v>92</v>
      </c>
      <c r="C2" t="s">
        <v>92</v>
      </c>
      <c r="D2" t="s">
        <v>93</v>
      </c>
      <c r="E2" t="s">
        <v>213</v>
      </c>
      <c r="F2" t="s">
        <v>214</v>
      </c>
      <c r="G2">
        <v>1</v>
      </c>
      <c r="H2" t="s">
        <v>44</v>
      </c>
      <c r="I2">
        <v>432</v>
      </c>
      <c r="J2">
        <v>432</v>
      </c>
    </row>
    <row r="3" spans="1:10" x14ac:dyDescent="0.2">
      <c r="A3" t="s">
        <v>99</v>
      </c>
      <c r="B3" t="s">
        <v>92</v>
      </c>
      <c r="C3" t="s">
        <v>92</v>
      </c>
      <c r="D3" t="s">
        <v>93</v>
      </c>
      <c r="E3" t="s">
        <v>213</v>
      </c>
      <c r="F3" t="s">
        <v>214</v>
      </c>
      <c r="G3">
        <v>1</v>
      </c>
      <c r="H3" t="s">
        <v>44</v>
      </c>
      <c r="I3">
        <v>432</v>
      </c>
      <c r="J3">
        <v>432</v>
      </c>
    </row>
    <row r="4" spans="1:10" x14ac:dyDescent="0.2">
      <c r="A4" t="s">
        <v>102</v>
      </c>
      <c r="B4" t="s">
        <v>101</v>
      </c>
      <c r="C4" t="s">
        <v>92</v>
      </c>
      <c r="D4" t="s">
        <v>93</v>
      </c>
      <c r="E4" t="s">
        <v>215</v>
      </c>
      <c r="F4" t="s">
        <v>216</v>
      </c>
      <c r="G4">
        <v>1</v>
      </c>
      <c r="H4" t="s">
        <v>44</v>
      </c>
      <c r="I4">
        <v>207.76</v>
      </c>
      <c r="J4">
        <v>207.76</v>
      </c>
    </row>
    <row r="5" spans="1:10" x14ac:dyDescent="0.2">
      <c r="A5" t="s">
        <v>102</v>
      </c>
      <c r="B5" t="s">
        <v>101</v>
      </c>
      <c r="C5" t="s">
        <v>92</v>
      </c>
      <c r="D5" t="s">
        <v>93</v>
      </c>
      <c r="E5" t="s">
        <v>217</v>
      </c>
      <c r="F5" t="s">
        <v>218</v>
      </c>
      <c r="G5">
        <v>1</v>
      </c>
      <c r="H5" t="s">
        <v>44</v>
      </c>
      <c r="I5">
        <v>121.22</v>
      </c>
      <c r="J5">
        <v>121.22</v>
      </c>
    </row>
    <row r="6" spans="1:10" x14ac:dyDescent="0.2">
      <c r="A6" t="s">
        <v>107</v>
      </c>
      <c r="B6" t="s">
        <v>92</v>
      </c>
      <c r="C6" t="s">
        <v>92</v>
      </c>
      <c r="D6" t="s">
        <v>93</v>
      </c>
      <c r="E6" t="s">
        <v>219</v>
      </c>
      <c r="F6" t="s">
        <v>220</v>
      </c>
      <c r="G6">
        <v>1</v>
      </c>
      <c r="H6" t="s">
        <v>44</v>
      </c>
      <c r="I6">
        <v>27</v>
      </c>
      <c r="J6">
        <v>27</v>
      </c>
    </row>
    <row r="7" spans="1:10" x14ac:dyDescent="0.2">
      <c r="A7" t="s">
        <v>115</v>
      </c>
      <c r="B7" t="s">
        <v>92</v>
      </c>
      <c r="C7" t="s">
        <v>92</v>
      </c>
      <c r="D7" t="s">
        <v>93</v>
      </c>
      <c r="E7" t="s">
        <v>219</v>
      </c>
      <c r="F7" t="s">
        <v>220</v>
      </c>
      <c r="G7">
        <v>1</v>
      </c>
      <c r="H7" t="s">
        <v>44</v>
      </c>
      <c r="I7">
        <v>27</v>
      </c>
      <c r="J7">
        <v>27</v>
      </c>
    </row>
    <row r="8" spans="1:10" x14ac:dyDescent="0.2">
      <c r="A8" t="s">
        <v>113</v>
      </c>
      <c r="B8" t="s">
        <v>112</v>
      </c>
      <c r="C8" t="s">
        <v>92</v>
      </c>
      <c r="D8" t="s">
        <v>93</v>
      </c>
      <c r="E8" t="s">
        <v>221</v>
      </c>
      <c r="F8" t="s">
        <v>222</v>
      </c>
      <c r="G8">
        <v>1</v>
      </c>
      <c r="H8" t="s">
        <v>44</v>
      </c>
      <c r="I8">
        <v>259.95</v>
      </c>
      <c r="J8">
        <v>259.95</v>
      </c>
    </row>
    <row r="9" spans="1:10" x14ac:dyDescent="0.2">
      <c r="A9" t="s">
        <v>113</v>
      </c>
      <c r="B9" t="s">
        <v>112</v>
      </c>
      <c r="C9" t="s">
        <v>92</v>
      </c>
      <c r="D9" t="s">
        <v>93</v>
      </c>
      <c r="E9" t="s">
        <v>215</v>
      </c>
      <c r="F9" t="s">
        <v>216</v>
      </c>
      <c r="G9">
        <v>1</v>
      </c>
      <c r="H9" t="s">
        <v>44</v>
      </c>
      <c r="I9">
        <v>207.76</v>
      </c>
      <c r="J9">
        <v>207.76</v>
      </c>
    </row>
    <row r="10" spans="1:10" x14ac:dyDescent="0.2">
      <c r="A10" t="s">
        <v>113</v>
      </c>
      <c r="B10" t="s">
        <v>112</v>
      </c>
      <c r="C10" t="s">
        <v>92</v>
      </c>
      <c r="D10" t="s">
        <v>93</v>
      </c>
      <c r="E10" t="s">
        <v>217</v>
      </c>
      <c r="F10" t="s">
        <v>218</v>
      </c>
      <c r="G10">
        <v>1</v>
      </c>
      <c r="H10" t="s">
        <v>44</v>
      </c>
      <c r="I10">
        <v>121.22</v>
      </c>
      <c r="J10">
        <v>121.22</v>
      </c>
    </row>
    <row r="11" spans="1:10" x14ac:dyDescent="0.2">
      <c r="A11" t="s">
        <v>105</v>
      </c>
      <c r="B11" t="s">
        <v>104</v>
      </c>
      <c r="C11" t="s">
        <v>92</v>
      </c>
      <c r="D11" t="s">
        <v>93</v>
      </c>
      <c r="E11" t="s">
        <v>223</v>
      </c>
      <c r="F11" t="s">
        <v>224</v>
      </c>
      <c r="G11">
        <v>1</v>
      </c>
      <c r="H11" t="s">
        <v>44</v>
      </c>
      <c r="I11">
        <v>80.400000000000006</v>
      </c>
      <c r="J11">
        <v>80.400000000000006</v>
      </c>
    </row>
    <row r="12" spans="1:10" x14ac:dyDescent="0.2">
      <c r="A12" t="s">
        <v>110</v>
      </c>
      <c r="B12" t="s">
        <v>109</v>
      </c>
      <c r="C12" t="s">
        <v>92</v>
      </c>
      <c r="D12" t="s">
        <v>93</v>
      </c>
      <c r="E12" t="s">
        <v>219</v>
      </c>
      <c r="F12" t="s">
        <v>220</v>
      </c>
      <c r="G12">
        <v>1</v>
      </c>
      <c r="H12" t="s">
        <v>44</v>
      </c>
      <c r="I12">
        <v>27</v>
      </c>
      <c r="J12">
        <v>27</v>
      </c>
    </row>
    <row r="13" spans="1:10" x14ac:dyDescent="0.2">
      <c r="A13" t="s">
        <v>118</v>
      </c>
      <c r="B13" t="s">
        <v>117</v>
      </c>
      <c r="C13" t="s">
        <v>92</v>
      </c>
      <c r="D13" t="s">
        <v>93</v>
      </c>
      <c r="E13" t="s">
        <v>219</v>
      </c>
      <c r="F13" t="s">
        <v>220</v>
      </c>
      <c r="G13">
        <v>1</v>
      </c>
      <c r="H13" t="s">
        <v>44</v>
      </c>
      <c r="I13">
        <v>27</v>
      </c>
      <c r="J13">
        <v>27</v>
      </c>
    </row>
    <row r="14" spans="1:10" x14ac:dyDescent="0.2">
      <c r="A14" t="s">
        <v>123</v>
      </c>
      <c r="B14" t="s">
        <v>122</v>
      </c>
      <c r="C14" t="s">
        <v>92</v>
      </c>
      <c r="D14" t="s">
        <v>93</v>
      </c>
      <c r="E14" t="s">
        <v>225</v>
      </c>
      <c r="F14" t="s">
        <v>226</v>
      </c>
      <c r="G14">
        <v>1</v>
      </c>
      <c r="H14" t="s">
        <v>44</v>
      </c>
      <c r="I14">
        <v>19</v>
      </c>
      <c r="J14">
        <v>19</v>
      </c>
    </row>
    <row r="15" spans="1:10" x14ac:dyDescent="0.2">
      <c r="A15" t="s">
        <v>123</v>
      </c>
      <c r="B15" t="s">
        <v>122</v>
      </c>
      <c r="C15" t="s">
        <v>92</v>
      </c>
      <c r="D15" t="s">
        <v>93</v>
      </c>
      <c r="E15" t="s">
        <v>227</v>
      </c>
      <c r="F15" t="s">
        <v>228</v>
      </c>
      <c r="G15">
        <v>1</v>
      </c>
      <c r="H15" t="s">
        <v>44</v>
      </c>
      <c r="I15">
        <v>13</v>
      </c>
      <c r="J15">
        <v>13</v>
      </c>
    </row>
    <row r="16" spans="1:10" x14ac:dyDescent="0.2">
      <c r="A16" t="s">
        <v>120</v>
      </c>
      <c r="B16" t="s">
        <v>92</v>
      </c>
      <c r="C16" t="s">
        <v>92</v>
      </c>
      <c r="D16" t="s">
        <v>93</v>
      </c>
      <c r="E16" t="s">
        <v>229</v>
      </c>
      <c r="F16" t="s">
        <v>230</v>
      </c>
      <c r="G16">
        <v>1</v>
      </c>
      <c r="H16" t="s">
        <v>44</v>
      </c>
      <c r="I16">
        <v>80</v>
      </c>
      <c r="J16">
        <v>80</v>
      </c>
    </row>
    <row r="17" spans="1:10" x14ac:dyDescent="0.2">
      <c r="A17" t="s">
        <v>125</v>
      </c>
      <c r="B17" t="s">
        <v>92</v>
      </c>
      <c r="C17" t="s">
        <v>92</v>
      </c>
      <c r="D17" t="s">
        <v>93</v>
      </c>
      <c r="E17" t="s">
        <v>219</v>
      </c>
      <c r="F17" t="s">
        <v>220</v>
      </c>
      <c r="G17">
        <v>1</v>
      </c>
      <c r="H17" t="s">
        <v>44</v>
      </c>
      <c r="I17">
        <v>27</v>
      </c>
      <c r="J17">
        <v>27</v>
      </c>
    </row>
    <row r="18" spans="1:10" x14ac:dyDescent="0.2">
      <c r="A18" t="s">
        <v>130</v>
      </c>
      <c r="B18" t="s">
        <v>92</v>
      </c>
      <c r="C18" t="s">
        <v>92</v>
      </c>
      <c r="D18" t="s">
        <v>93</v>
      </c>
      <c r="E18" t="s">
        <v>231</v>
      </c>
      <c r="F18" t="s">
        <v>232</v>
      </c>
      <c r="G18">
        <v>1</v>
      </c>
      <c r="H18" t="s">
        <v>44</v>
      </c>
      <c r="I18">
        <v>261.25</v>
      </c>
      <c r="J18">
        <v>261.25</v>
      </c>
    </row>
    <row r="19" spans="1:10" x14ac:dyDescent="0.2">
      <c r="A19" t="s">
        <v>128</v>
      </c>
      <c r="B19" t="s">
        <v>127</v>
      </c>
      <c r="C19" t="s">
        <v>92</v>
      </c>
      <c r="D19" t="s">
        <v>93</v>
      </c>
      <c r="E19" t="s">
        <v>233</v>
      </c>
      <c r="F19" t="s">
        <v>234</v>
      </c>
      <c r="G19">
        <v>1</v>
      </c>
      <c r="H19" t="s">
        <v>44</v>
      </c>
      <c r="I19">
        <v>141.56</v>
      </c>
      <c r="J19">
        <v>141.56</v>
      </c>
    </row>
    <row r="20" spans="1:10" x14ac:dyDescent="0.2">
      <c r="A20" t="s">
        <v>134</v>
      </c>
      <c r="B20" t="s">
        <v>122</v>
      </c>
      <c r="C20" t="s">
        <v>92</v>
      </c>
      <c r="D20" t="s">
        <v>93</v>
      </c>
      <c r="E20" t="s">
        <v>235</v>
      </c>
      <c r="F20" t="s">
        <v>236</v>
      </c>
      <c r="G20">
        <v>1</v>
      </c>
      <c r="H20" t="s">
        <v>44</v>
      </c>
      <c r="I20">
        <v>570</v>
      </c>
      <c r="J20">
        <v>570</v>
      </c>
    </row>
    <row r="21" spans="1:10" x14ac:dyDescent="0.2">
      <c r="A21" t="s">
        <v>136</v>
      </c>
      <c r="B21" t="s">
        <v>117</v>
      </c>
      <c r="C21" t="s">
        <v>92</v>
      </c>
      <c r="D21" t="s">
        <v>93</v>
      </c>
      <c r="E21" t="s">
        <v>213</v>
      </c>
      <c r="F21" t="s">
        <v>214</v>
      </c>
      <c r="G21">
        <v>1</v>
      </c>
      <c r="H21" t="s">
        <v>44</v>
      </c>
      <c r="I21">
        <v>432</v>
      </c>
      <c r="J21">
        <v>432</v>
      </c>
    </row>
    <row r="22" spans="1:10" x14ac:dyDescent="0.2">
      <c r="A22" t="s">
        <v>138</v>
      </c>
      <c r="B22" t="s">
        <v>104</v>
      </c>
      <c r="C22" t="s">
        <v>92</v>
      </c>
      <c r="D22" t="s">
        <v>93</v>
      </c>
      <c r="E22" t="s">
        <v>237</v>
      </c>
      <c r="F22" t="s">
        <v>230</v>
      </c>
      <c r="G22">
        <v>1</v>
      </c>
      <c r="H22" t="s">
        <v>44</v>
      </c>
      <c r="I22">
        <v>80</v>
      </c>
      <c r="J22">
        <v>80</v>
      </c>
    </row>
    <row r="23" spans="1:10" x14ac:dyDescent="0.2">
      <c r="A23" t="s">
        <v>142</v>
      </c>
      <c r="B23" t="s">
        <v>117</v>
      </c>
      <c r="C23" t="s">
        <v>92</v>
      </c>
      <c r="D23" t="s">
        <v>93</v>
      </c>
      <c r="E23" t="s">
        <v>238</v>
      </c>
      <c r="F23" t="s">
        <v>239</v>
      </c>
      <c r="G23">
        <v>1</v>
      </c>
      <c r="H23" t="s">
        <v>44</v>
      </c>
      <c r="I23">
        <v>149</v>
      </c>
      <c r="J23">
        <v>149</v>
      </c>
    </row>
    <row r="24" spans="1:10" x14ac:dyDescent="0.2">
      <c r="A24" t="s">
        <v>140</v>
      </c>
      <c r="B24" t="s">
        <v>104</v>
      </c>
      <c r="C24" t="s">
        <v>92</v>
      </c>
      <c r="D24" t="s">
        <v>93</v>
      </c>
      <c r="E24" t="s">
        <v>240</v>
      </c>
      <c r="F24" t="s">
        <v>241</v>
      </c>
      <c r="G24">
        <v>1</v>
      </c>
      <c r="H24" t="s">
        <v>44</v>
      </c>
      <c r="I24">
        <v>48</v>
      </c>
      <c r="J24">
        <v>48</v>
      </c>
    </row>
    <row r="25" spans="1:10" x14ac:dyDescent="0.2">
      <c r="A25" t="s">
        <v>132</v>
      </c>
      <c r="B25" t="s">
        <v>92</v>
      </c>
      <c r="C25" t="s">
        <v>92</v>
      </c>
      <c r="D25" t="s">
        <v>93</v>
      </c>
      <c r="E25" t="s">
        <v>235</v>
      </c>
      <c r="F25" t="s">
        <v>236</v>
      </c>
      <c r="G25">
        <v>1</v>
      </c>
      <c r="H25" t="s">
        <v>44</v>
      </c>
      <c r="I25">
        <v>570</v>
      </c>
      <c r="J25">
        <v>570</v>
      </c>
    </row>
    <row r="26" spans="1:10" x14ac:dyDescent="0.2">
      <c r="A26" t="s">
        <v>144</v>
      </c>
      <c r="B26" t="s">
        <v>117</v>
      </c>
      <c r="C26" t="s">
        <v>92</v>
      </c>
      <c r="D26" t="s">
        <v>93</v>
      </c>
      <c r="E26" t="s">
        <v>242</v>
      </c>
      <c r="F26" t="s">
        <v>243</v>
      </c>
      <c r="G26">
        <v>1</v>
      </c>
      <c r="H26" t="s">
        <v>44</v>
      </c>
      <c r="I26">
        <v>501</v>
      </c>
      <c r="J26">
        <v>501</v>
      </c>
    </row>
    <row r="27" spans="1:10" x14ac:dyDescent="0.2">
      <c r="A27" t="s">
        <v>146</v>
      </c>
      <c r="B27" t="s">
        <v>117</v>
      </c>
      <c r="C27" t="s">
        <v>92</v>
      </c>
      <c r="D27" t="s">
        <v>93</v>
      </c>
      <c r="E27" t="s">
        <v>244</v>
      </c>
      <c r="F27" t="s">
        <v>245</v>
      </c>
      <c r="G27">
        <v>1</v>
      </c>
      <c r="H27" t="s">
        <v>44</v>
      </c>
      <c r="I27">
        <v>147</v>
      </c>
      <c r="J27">
        <v>147</v>
      </c>
    </row>
    <row r="28" spans="1:10" x14ac:dyDescent="0.2">
      <c r="A28" t="s">
        <v>148</v>
      </c>
      <c r="B28" t="s">
        <v>92</v>
      </c>
      <c r="C28" t="s">
        <v>92</v>
      </c>
      <c r="D28" t="s">
        <v>93</v>
      </c>
      <c r="E28" t="s">
        <v>219</v>
      </c>
      <c r="F28" t="s">
        <v>220</v>
      </c>
      <c r="G28">
        <v>1</v>
      </c>
      <c r="H28" t="s">
        <v>44</v>
      </c>
      <c r="I28">
        <v>27</v>
      </c>
      <c r="J28">
        <v>27</v>
      </c>
    </row>
    <row r="29" spans="1:10" x14ac:dyDescent="0.2">
      <c r="A29" t="s">
        <v>150</v>
      </c>
      <c r="B29" t="s">
        <v>122</v>
      </c>
      <c r="C29" t="s">
        <v>92</v>
      </c>
      <c r="D29" t="s">
        <v>93</v>
      </c>
      <c r="E29" t="s">
        <v>246</v>
      </c>
      <c r="F29" t="s">
        <v>247</v>
      </c>
      <c r="G29">
        <v>2</v>
      </c>
      <c r="H29" t="s">
        <v>44</v>
      </c>
      <c r="I29">
        <v>2</v>
      </c>
      <c r="J29">
        <v>4</v>
      </c>
    </row>
    <row r="30" spans="1:10" x14ac:dyDescent="0.2">
      <c r="A30" t="s">
        <v>150</v>
      </c>
      <c r="B30" t="s">
        <v>122</v>
      </c>
      <c r="C30" t="s">
        <v>92</v>
      </c>
      <c r="D30" t="s">
        <v>93</v>
      </c>
      <c r="E30" t="s">
        <v>248</v>
      </c>
      <c r="F30" t="s">
        <v>249</v>
      </c>
      <c r="G30">
        <v>1</v>
      </c>
      <c r="H30" t="s">
        <v>44</v>
      </c>
      <c r="I30">
        <v>15</v>
      </c>
      <c r="J30">
        <v>15</v>
      </c>
    </row>
    <row r="31" spans="1:10" x14ac:dyDescent="0.2">
      <c r="A31" t="s">
        <v>150</v>
      </c>
      <c r="B31" t="s">
        <v>122</v>
      </c>
      <c r="C31" t="s">
        <v>92</v>
      </c>
      <c r="D31" t="s">
        <v>93</v>
      </c>
      <c r="E31" t="s">
        <v>250</v>
      </c>
      <c r="F31" t="s">
        <v>251</v>
      </c>
      <c r="G31">
        <v>10</v>
      </c>
      <c r="H31" t="s">
        <v>44</v>
      </c>
      <c r="I31">
        <v>0.17</v>
      </c>
      <c r="J31">
        <v>1.7</v>
      </c>
    </row>
    <row r="32" spans="1:10" x14ac:dyDescent="0.2">
      <c r="A32" t="s">
        <v>150</v>
      </c>
      <c r="B32" t="s">
        <v>122</v>
      </c>
      <c r="C32" t="s">
        <v>92</v>
      </c>
      <c r="D32" t="s">
        <v>93</v>
      </c>
      <c r="E32" t="s">
        <v>252</v>
      </c>
      <c r="F32" t="s">
        <v>253</v>
      </c>
      <c r="G32">
        <v>2</v>
      </c>
      <c r="H32" t="s">
        <v>44</v>
      </c>
      <c r="I32">
        <v>10</v>
      </c>
      <c r="J32">
        <v>20</v>
      </c>
    </row>
    <row r="33" spans="1:10" x14ac:dyDescent="0.2">
      <c r="A33" t="s">
        <v>150</v>
      </c>
      <c r="B33" t="s">
        <v>122</v>
      </c>
      <c r="C33" t="s">
        <v>92</v>
      </c>
      <c r="D33" t="s">
        <v>93</v>
      </c>
      <c r="E33" t="s">
        <v>254</v>
      </c>
      <c r="F33" t="s">
        <v>255</v>
      </c>
      <c r="G33">
        <v>2</v>
      </c>
      <c r="H33" t="s">
        <v>44</v>
      </c>
      <c r="I33">
        <v>0.5</v>
      </c>
      <c r="J33">
        <v>1</v>
      </c>
    </row>
    <row r="34" spans="1:10" x14ac:dyDescent="0.2">
      <c r="A34" t="s">
        <v>150</v>
      </c>
      <c r="B34" t="s">
        <v>122</v>
      </c>
      <c r="C34" t="s">
        <v>92</v>
      </c>
      <c r="D34" t="s">
        <v>93</v>
      </c>
      <c r="E34" t="s">
        <v>213</v>
      </c>
      <c r="F34" t="s">
        <v>214</v>
      </c>
      <c r="G34">
        <v>1</v>
      </c>
      <c r="H34" t="s">
        <v>44</v>
      </c>
      <c r="I34">
        <v>432</v>
      </c>
      <c r="J34">
        <v>432</v>
      </c>
    </row>
    <row r="35" spans="1:10" x14ac:dyDescent="0.2">
      <c r="A35" t="s">
        <v>150</v>
      </c>
      <c r="B35" t="s">
        <v>122</v>
      </c>
      <c r="C35" t="s">
        <v>92</v>
      </c>
      <c r="D35" t="s">
        <v>93</v>
      </c>
      <c r="E35" t="s">
        <v>256</v>
      </c>
      <c r="F35" t="s">
        <v>257</v>
      </c>
      <c r="G35">
        <v>1</v>
      </c>
      <c r="H35" t="s">
        <v>44</v>
      </c>
      <c r="I35">
        <v>0.87</v>
      </c>
      <c r="J35">
        <v>0.87</v>
      </c>
    </row>
    <row r="36" spans="1:10" x14ac:dyDescent="0.2">
      <c r="A36" t="s">
        <v>150</v>
      </c>
      <c r="B36" t="s">
        <v>122</v>
      </c>
      <c r="C36" t="s">
        <v>92</v>
      </c>
      <c r="D36" t="s">
        <v>93</v>
      </c>
      <c r="E36" t="s">
        <v>258</v>
      </c>
      <c r="F36" t="s">
        <v>259</v>
      </c>
      <c r="G36">
        <v>4</v>
      </c>
      <c r="H36" t="s">
        <v>44</v>
      </c>
      <c r="I36">
        <v>2</v>
      </c>
      <c r="J36">
        <v>8</v>
      </c>
    </row>
    <row r="37" spans="1:10" x14ac:dyDescent="0.2">
      <c r="A37" t="s">
        <v>150</v>
      </c>
      <c r="B37" t="s">
        <v>122</v>
      </c>
      <c r="C37" t="s">
        <v>92</v>
      </c>
      <c r="D37" t="s">
        <v>93</v>
      </c>
      <c r="E37" t="s">
        <v>260</v>
      </c>
      <c r="F37" t="s">
        <v>261</v>
      </c>
      <c r="G37">
        <v>1</v>
      </c>
      <c r="H37" t="s">
        <v>44</v>
      </c>
      <c r="I37">
        <v>1</v>
      </c>
      <c r="J37">
        <v>1</v>
      </c>
    </row>
    <row r="38" spans="1:10" x14ac:dyDescent="0.2">
      <c r="A38" t="s">
        <v>150</v>
      </c>
      <c r="B38" t="s">
        <v>122</v>
      </c>
      <c r="C38" t="s">
        <v>92</v>
      </c>
      <c r="D38" t="s">
        <v>93</v>
      </c>
      <c r="E38" t="s">
        <v>237</v>
      </c>
      <c r="F38" t="s">
        <v>230</v>
      </c>
      <c r="G38">
        <v>1</v>
      </c>
      <c r="H38" t="s">
        <v>44</v>
      </c>
      <c r="I38">
        <v>80</v>
      </c>
      <c r="J38">
        <v>80</v>
      </c>
    </row>
    <row r="39" spans="1:10" x14ac:dyDescent="0.2">
      <c r="A39" t="s">
        <v>150</v>
      </c>
      <c r="B39" t="s">
        <v>122</v>
      </c>
      <c r="C39" t="s">
        <v>92</v>
      </c>
      <c r="D39" t="s">
        <v>93</v>
      </c>
      <c r="E39" t="s">
        <v>262</v>
      </c>
      <c r="F39" t="s">
        <v>263</v>
      </c>
      <c r="G39">
        <v>1</v>
      </c>
      <c r="H39" t="s">
        <v>44</v>
      </c>
      <c r="I39">
        <v>4.95</v>
      </c>
      <c r="J39">
        <v>4.95</v>
      </c>
    </row>
    <row r="40" spans="1:10" x14ac:dyDescent="0.2">
      <c r="A40" t="s">
        <v>150</v>
      </c>
      <c r="B40" t="s">
        <v>122</v>
      </c>
      <c r="C40" t="s">
        <v>92</v>
      </c>
      <c r="D40" t="s">
        <v>93</v>
      </c>
      <c r="E40" t="s">
        <v>264</v>
      </c>
      <c r="F40" t="s">
        <v>265</v>
      </c>
      <c r="G40">
        <v>4</v>
      </c>
      <c r="H40" t="s">
        <v>44</v>
      </c>
      <c r="I40">
        <v>1</v>
      </c>
      <c r="J40">
        <v>4</v>
      </c>
    </row>
    <row r="41" spans="1:10" x14ac:dyDescent="0.2">
      <c r="A41" t="s">
        <v>150</v>
      </c>
      <c r="B41" t="s">
        <v>122</v>
      </c>
      <c r="C41" t="s">
        <v>92</v>
      </c>
      <c r="D41" t="s">
        <v>93</v>
      </c>
      <c r="E41" t="s">
        <v>266</v>
      </c>
      <c r="F41" t="s">
        <v>267</v>
      </c>
      <c r="G41">
        <v>1</v>
      </c>
      <c r="H41" t="s">
        <v>44</v>
      </c>
      <c r="I41">
        <v>9</v>
      </c>
      <c r="J41">
        <v>9</v>
      </c>
    </row>
    <row r="42" spans="1:10" x14ac:dyDescent="0.2">
      <c r="A42" t="s">
        <v>150</v>
      </c>
      <c r="B42" t="s">
        <v>122</v>
      </c>
      <c r="C42" t="s">
        <v>92</v>
      </c>
      <c r="D42" t="s">
        <v>93</v>
      </c>
      <c r="E42" t="s">
        <v>268</v>
      </c>
      <c r="F42" t="s">
        <v>269</v>
      </c>
      <c r="G42">
        <v>1</v>
      </c>
      <c r="H42" t="s">
        <v>44</v>
      </c>
      <c r="I42">
        <v>0.34</v>
      </c>
      <c r="J42">
        <v>0.34</v>
      </c>
    </row>
    <row r="43" spans="1:10" x14ac:dyDescent="0.2">
      <c r="A43" t="s">
        <v>150</v>
      </c>
      <c r="B43" t="s">
        <v>122</v>
      </c>
      <c r="C43" t="s">
        <v>92</v>
      </c>
      <c r="D43" t="s">
        <v>93</v>
      </c>
      <c r="E43" t="s">
        <v>270</v>
      </c>
      <c r="F43" t="s">
        <v>271</v>
      </c>
      <c r="G43">
        <v>1</v>
      </c>
      <c r="H43" t="s">
        <v>44</v>
      </c>
      <c r="I43">
        <v>2</v>
      </c>
      <c r="J43">
        <v>2</v>
      </c>
    </row>
    <row r="44" spans="1:10" x14ac:dyDescent="0.2">
      <c r="A44" t="s">
        <v>150</v>
      </c>
      <c r="B44" t="s">
        <v>122</v>
      </c>
      <c r="C44" t="s">
        <v>92</v>
      </c>
      <c r="D44" t="s">
        <v>93</v>
      </c>
      <c r="E44" t="s">
        <v>272</v>
      </c>
      <c r="F44" t="s">
        <v>273</v>
      </c>
      <c r="G44">
        <v>1</v>
      </c>
      <c r="H44" t="s">
        <v>44</v>
      </c>
      <c r="I44">
        <v>0.4</v>
      </c>
      <c r="J44">
        <v>0.4</v>
      </c>
    </row>
    <row r="45" spans="1:10" x14ac:dyDescent="0.2">
      <c r="A45" t="s">
        <v>150</v>
      </c>
      <c r="B45" t="s">
        <v>122</v>
      </c>
      <c r="C45" t="s">
        <v>92</v>
      </c>
      <c r="D45" t="s">
        <v>93</v>
      </c>
      <c r="E45" t="s">
        <v>274</v>
      </c>
      <c r="F45" t="s">
        <v>275</v>
      </c>
      <c r="G45">
        <v>1</v>
      </c>
      <c r="H45" t="s">
        <v>44</v>
      </c>
      <c r="I45">
        <v>3.48</v>
      </c>
      <c r="J45">
        <v>3.48</v>
      </c>
    </row>
    <row r="46" spans="1:10" x14ac:dyDescent="0.2">
      <c r="A46" t="s">
        <v>150</v>
      </c>
      <c r="B46" t="s">
        <v>122</v>
      </c>
      <c r="C46" t="s">
        <v>92</v>
      </c>
      <c r="D46" t="s">
        <v>93</v>
      </c>
      <c r="E46" t="s">
        <v>276</v>
      </c>
      <c r="F46" t="s">
        <v>277</v>
      </c>
      <c r="G46">
        <v>2</v>
      </c>
      <c r="H46" t="s">
        <v>44</v>
      </c>
      <c r="I46">
        <v>8</v>
      </c>
      <c r="J46">
        <v>16</v>
      </c>
    </row>
    <row r="47" spans="1:10" x14ac:dyDescent="0.2">
      <c r="A47" t="s">
        <v>150</v>
      </c>
      <c r="B47" t="s">
        <v>122</v>
      </c>
      <c r="C47" t="s">
        <v>92</v>
      </c>
      <c r="D47" t="s">
        <v>93</v>
      </c>
      <c r="E47" t="s">
        <v>227</v>
      </c>
      <c r="F47" t="s">
        <v>228</v>
      </c>
      <c r="G47">
        <v>2</v>
      </c>
      <c r="H47" t="s">
        <v>44</v>
      </c>
      <c r="I47">
        <v>13</v>
      </c>
      <c r="J47">
        <v>26</v>
      </c>
    </row>
    <row r="48" spans="1:10" x14ac:dyDescent="0.2">
      <c r="A48" t="s">
        <v>150</v>
      </c>
      <c r="B48" t="s">
        <v>122</v>
      </c>
      <c r="C48" t="s">
        <v>92</v>
      </c>
      <c r="D48" t="s">
        <v>93</v>
      </c>
      <c r="E48" t="s">
        <v>278</v>
      </c>
      <c r="F48" t="s">
        <v>279</v>
      </c>
      <c r="G48">
        <v>1</v>
      </c>
      <c r="H48" t="s">
        <v>44</v>
      </c>
      <c r="I48">
        <v>11</v>
      </c>
      <c r="J48">
        <v>11</v>
      </c>
    </row>
    <row r="49" spans="1:10" x14ac:dyDescent="0.2">
      <c r="A49" t="s">
        <v>150</v>
      </c>
      <c r="B49" t="s">
        <v>122</v>
      </c>
      <c r="C49" t="s">
        <v>92</v>
      </c>
      <c r="D49" t="s">
        <v>93</v>
      </c>
      <c r="E49" t="s">
        <v>280</v>
      </c>
      <c r="F49" t="s">
        <v>281</v>
      </c>
      <c r="G49">
        <v>2</v>
      </c>
      <c r="H49" t="s">
        <v>44</v>
      </c>
      <c r="I49">
        <v>3</v>
      </c>
      <c r="J49">
        <v>6</v>
      </c>
    </row>
    <row r="50" spans="1:10" x14ac:dyDescent="0.2">
      <c r="A50" t="s">
        <v>150</v>
      </c>
      <c r="B50" t="s">
        <v>122</v>
      </c>
      <c r="C50" t="s">
        <v>92</v>
      </c>
      <c r="D50" t="s">
        <v>93</v>
      </c>
      <c r="E50" t="s">
        <v>282</v>
      </c>
      <c r="F50" t="s">
        <v>283</v>
      </c>
      <c r="G50">
        <v>1</v>
      </c>
      <c r="H50" t="s">
        <v>44</v>
      </c>
      <c r="I50">
        <v>1</v>
      </c>
      <c r="J50">
        <v>1</v>
      </c>
    </row>
    <row r="51" spans="1:10" x14ac:dyDescent="0.2">
      <c r="A51" t="s">
        <v>150</v>
      </c>
      <c r="B51" t="s">
        <v>122</v>
      </c>
      <c r="C51" t="s">
        <v>92</v>
      </c>
      <c r="D51" t="s">
        <v>93</v>
      </c>
      <c r="E51" t="s">
        <v>284</v>
      </c>
      <c r="F51" t="s">
        <v>285</v>
      </c>
      <c r="G51">
        <v>4</v>
      </c>
      <c r="H51" t="s">
        <v>44</v>
      </c>
      <c r="I51">
        <v>0.2</v>
      </c>
      <c r="J51">
        <v>0.8</v>
      </c>
    </row>
    <row r="52" spans="1:10" x14ac:dyDescent="0.2">
      <c r="A52" t="s">
        <v>150</v>
      </c>
      <c r="B52" t="s">
        <v>122</v>
      </c>
      <c r="C52" t="s">
        <v>92</v>
      </c>
      <c r="D52" t="s">
        <v>93</v>
      </c>
      <c r="E52" t="s">
        <v>286</v>
      </c>
      <c r="F52" t="s">
        <v>287</v>
      </c>
      <c r="G52">
        <v>1</v>
      </c>
      <c r="H52" t="s">
        <v>44</v>
      </c>
      <c r="I52">
        <v>9</v>
      </c>
      <c r="J52">
        <v>9</v>
      </c>
    </row>
    <row r="53" spans="1:10" x14ac:dyDescent="0.2">
      <c r="A53" t="s">
        <v>150</v>
      </c>
      <c r="B53" t="s">
        <v>122</v>
      </c>
      <c r="C53" t="s">
        <v>92</v>
      </c>
      <c r="D53" t="s">
        <v>93</v>
      </c>
      <c r="E53" t="s">
        <v>288</v>
      </c>
      <c r="F53" t="s">
        <v>289</v>
      </c>
      <c r="G53">
        <v>1</v>
      </c>
      <c r="H53" t="s">
        <v>44</v>
      </c>
      <c r="I53">
        <v>1</v>
      </c>
      <c r="J53">
        <v>1</v>
      </c>
    </row>
    <row r="54" spans="1:10" x14ac:dyDescent="0.2">
      <c r="A54" t="s">
        <v>150</v>
      </c>
      <c r="B54" t="s">
        <v>122</v>
      </c>
      <c r="C54" t="s">
        <v>92</v>
      </c>
      <c r="D54" t="s">
        <v>93</v>
      </c>
      <c r="E54" t="s">
        <v>290</v>
      </c>
      <c r="F54" t="s">
        <v>291</v>
      </c>
      <c r="G54">
        <v>8</v>
      </c>
      <c r="H54" t="s">
        <v>44</v>
      </c>
      <c r="I54">
        <v>0.22</v>
      </c>
      <c r="J54">
        <v>1.76</v>
      </c>
    </row>
    <row r="55" spans="1:10" x14ac:dyDescent="0.2">
      <c r="A55" t="s">
        <v>155</v>
      </c>
      <c r="B55" t="s">
        <v>117</v>
      </c>
      <c r="C55" t="s">
        <v>92</v>
      </c>
      <c r="D55" t="s">
        <v>93</v>
      </c>
      <c r="E55" t="s">
        <v>292</v>
      </c>
      <c r="F55" t="s">
        <v>293</v>
      </c>
      <c r="G55">
        <v>1</v>
      </c>
      <c r="H55" t="s">
        <v>44</v>
      </c>
      <c r="I55">
        <v>32</v>
      </c>
      <c r="J55">
        <v>32</v>
      </c>
    </row>
    <row r="56" spans="1:10" x14ac:dyDescent="0.2">
      <c r="A56" t="s">
        <v>155</v>
      </c>
      <c r="B56" t="s">
        <v>117</v>
      </c>
      <c r="C56" t="s">
        <v>92</v>
      </c>
      <c r="D56" t="s">
        <v>93</v>
      </c>
      <c r="E56" t="s">
        <v>294</v>
      </c>
      <c r="F56" t="s">
        <v>295</v>
      </c>
      <c r="G56">
        <v>1</v>
      </c>
      <c r="H56" t="s">
        <v>44</v>
      </c>
      <c r="I56">
        <v>1</v>
      </c>
      <c r="J56">
        <v>1</v>
      </c>
    </row>
    <row r="57" spans="1:10" x14ac:dyDescent="0.2">
      <c r="A57" t="s">
        <v>155</v>
      </c>
      <c r="B57" t="s">
        <v>117</v>
      </c>
      <c r="C57" t="s">
        <v>92</v>
      </c>
      <c r="D57" t="s">
        <v>93</v>
      </c>
      <c r="E57" t="s">
        <v>296</v>
      </c>
      <c r="F57" t="s">
        <v>297</v>
      </c>
      <c r="G57">
        <v>3</v>
      </c>
      <c r="H57" t="s">
        <v>44</v>
      </c>
      <c r="I57">
        <v>1</v>
      </c>
      <c r="J57">
        <v>3</v>
      </c>
    </row>
    <row r="58" spans="1:10" x14ac:dyDescent="0.2">
      <c r="A58" t="s">
        <v>155</v>
      </c>
      <c r="B58" t="s">
        <v>117</v>
      </c>
      <c r="C58" t="s">
        <v>92</v>
      </c>
      <c r="D58" t="s">
        <v>93</v>
      </c>
      <c r="E58" t="s">
        <v>298</v>
      </c>
      <c r="F58" t="s">
        <v>299</v>
      </c>
      <c r="G58">
        <v>1</v>
      </c>
      <c r="H58" t="s">
        <v>44</v>
      </c>
      <c r="I58">
        <v>4.13</v>
      </c>
      <c r="J58">
        <v>4.13</v>
      </c>
    </row>
    <row r="59" spans="1:10" x14ac:dyDescent="0.2">
      <c r="A59" t="s">
        <v>155</v>
      </c>
      <c r="B59" t="s">
        <v>117</v>
      </c>
      <c r="C59" t="s">
        <v>92</v>
      </c>
      <c r="D59" t="s">
        <v>93</v>
      </c>
      <c r="E59" t="s">
        <v>300</v>
      </c>
      <c r="F59" t="s">
        <v>301</v>
      </c>
      <c r="G59">
        <v>2</v>
      </c>
      <c r="H59" t="s">
        <v>44</v>
      </c>
      <c r="I59">
        <v>5</v>
      </c>
      <c r="J59">
        <v>10</v>
      </c>
    </row>
    <row r="60" spans="1:10" x14ac:dyDescent="0.2">
      <c r="A60" t="s">
        <v>155</v>
      </c>
      <c r="B60" t="s">
        <v>117</v>
      </c>
      <c r="C60" t="s">
        <v>92</v>
      </c>
      <c r="D60" t="s">
        <v>93</v>
      </c>
      <c r="E60" t="s">
        <v>302</v>
      </c>
      <c r="F60" t="s">
        <v>303</v>
      </c>
      <c r="G60">
        <v>1</v>
      </c>
      <c r="H60" t="s">
        <v>44</v>
      </c>
      <c r="I60">
        <v>1</v>
      </c>
      <c r="J60">
        <v>1</v>
      </c>
    </row>
    <row r="61" spans="1:10" x14ac:dyDescent="0.2">
      <c r="A61" t="s">
        <v>155</v>
      </c>
      <c r="B61" t="s">
        <v>117</v>
      </c>
      <c r="C61" t="s">
        <v>92</v>
      </c>
      <c r="D61" t="s">
        <v>93</v>
      </c>
      <c r="E61" t="s">
        <v>304</v>
      </c>
      <c r="F61" t="s">
        <v>305</v>
      </c>
      <c r="G61">
        <v>1</v>
      </c>
      <c r="H61" t="s">
        <v>44</v>
      </c>
      <c r="I61">
        <v>4.99</v>
      </c>
      <c r="J61">
        <v>4.99</v>
      </c>
    </row>
    <row r="62" spans="1:10" x14ac:dyDescent="0.2">
      <c r="A62" t="s">
        <v>155</v>
      </c>
      <c r="B62" t="s">
        <v>117</v>
      </c>
      <c r="C62" t="s">
        <v>92</v>
      </c>
      <c r="D62" t="s">
        <v>93</v>
      </c>
      <c r="E62" t="s">
        <v>306</v>
      </c>
      <c r="F62" t="s">
        <v>307</v>
      </c>
      <c r="G62">
        <v>1</v>
      </c>
      <c r="H62" t="s">
        <v>44</v>
      </c>
      <c r="I62">
        <v>0.52</v>
      </c>
      <c r="J62">
        <v>0.52</v>
      </c>
    </row>
    <row r="63" spans="1:10" x14ac:dyDescent="0.2">
      <c r="A63" t="s">
        <v>155</v>
      </c>
      <c r="B63" t="s">
        <v>117</v>
      </c>
      <c r="C63" t="s">
        <v>92</v>
      </c>
      <c r="D63" t="s">
        <v>93</v>
      </c>
      <c r="E63" t="s">
        <v>308</v>
      </c>
      <c r="F63" t="s">
        <v>309</v>
      </c>
      <c r="G63">
        <v>4</v>
      </c>
      <c r="H63" t="s">
        <v>44</v>
      </c>
      <c r="I63">
        <v>0.52</v>
      </c>
      <c r="J63">
        <v>2.08</v>
      </c>
    </row>
    <row r="64" spans="1:10" x14ac:dyDescent="0.2">
      <c r="A64" t="s">
        <v>155</v>
      </c>
      <c r="B64" t="s">
        <v>117</v>
      </c>
      <c r="C64" t="s">
        <v>92</v>
      </c>
      <c r="D64" t="s">
        <v>93</v>
      </c>
      <c r="E64" t="s">
        <v>310</v>
      </c>
      <c r="F64" t="s">
        <v>311</v>
      </c>
      <c r="G64">
        <v>1</v>
      </c>
      <c r="H64" t="s">
        <v>44</v>
      </c>
      <c r="I64">
        <v>97</v>
      </c>
      <c r="J64">
        <v>97</v>
      </c>
    </row>
    <row r="65" spans="1:10" x14ac:dyDescent="0.2">
      <c r="A65" t="s">
        <v>155</v>
      </c>
      <c r="B65" t="s">
        <v>117</v>
      </c>
      <c r="C65" t="s">
        <v>92</v>
      </c>
      <c r="D65" t="s">
        <v>93</v>
      </c>
      <c r="E65" t="s">
        <v>312</v>
      </c>
      <c r="F65" t="s">
        <v>313</v>
      </c>
      <c r="G65">
        <v>2</v>
      </c>
      <c r="H65" t="s">
        <v>44</v>
      </c>
      <c r="I65">
        <v>2</v>
      </c>
      <c r="J65">
        <v>4</v>
      </c>
    </row>
    <row r="66" spans="1:10" x14ac:dyDescent="0.2">
      <c r="A66" t="s">
        <v>155</v>
      </c>
      <c r="B66" t="s">
        <v>117</v>
      </c>
      <c r="C66" t="s">
        <v>92</v>
      </c>
      <c r="D66" t="s">
        <v>93</v>
      </c>
      <c r="E66" t="s">
        <v>314</v>
      </c>
      <c r="F66" t="s">
        <v>315</v>
      </c>
      <c r="G66">
        <v>1</v>
      </c>
      <c r="H66" t="s">
        <v>44</v>
      </c>
      <c r="I66">
        <v>19</v>
      </c>
      <c r="J66">
        <v>19</v>
      </c>
    </row>
    <row r="67" spans="1:10" x14ac:dyDescent="0.2">
      <c r="A67" t="s">
        <v>155</v>
      </c>
      <c r="B67" t="s">
        <v>117</v>
      </c>
      <c r="C67" t="s">
        <v>92</v>
      </c>
      <c r="D67" t="s">
        <v>93</v>
      </c>
      <c r="E67" t="s">
        <v>316</v>
      </c>
      <c r="F67" t="s">
        <v>317</v>
      </c>
      <c r="G67">
        <v>1</v>
      </c>
      <c r="H67" t="s">
        <v>44</v>
      </c>
      <c r="I67">
        <v>0.4</v>
      </c>
      <c r="J67">
        <v>0.4</v>
      </c>
    </row>
    <row r="68" spans="1:10" x14ac:dyDescent="0.2">
      <c r="A68" t="s">
        <v>155</v>
      </c>
      <c r="B68" t="s">
        <v>117</v>
      </c>
      <c r="C68" t="s">
        <v>92</v>
      </c>
      <c r="D68" t="s">
        <v>93</v>
      </c>
      <c r="E68" t="s">
        <v>318</v>
      </c>
      <c r="F68" t="s">
        <v>319</v>
      </c>
      <c r="G68">
        <v>1</v>
      </c>
      <c r="H68" t="s">
        <v>44</v>
      </c>
      <c r="I68">
        <v>19</v>
      </c>
      <c r="J68">
        <v>19</v>
      </c>
    </row>
    <row r="69" spans="1:10" x14ac:dyDescent="0.2">
      <c r="A69" t="s">
        <v>155</v>
      </c>
      <c r="B69" t="s">
        <v>117</v>
      </c>
      <c r="C69" t="s">
        <v>92</v>
      </c>
      <c r="D69" t="s">
        <v>93</v>
      </c>
      <c r="E69" t="s">
        <v>320</v>
      </c>
      <c r="F69" t="s">
        <v>321</v>
      </c>
      <c r="G69">
        <v>2</v>
      </c>
      <c r="H69" t="s">
        <v>44</v>
      </c>
      <c r="I69">
        <v>11</v>
      </c>
      <c r="J69">
        <v>22</v>
      </c>
    </row>
    <row r="70" spans="1:10" x14ac:dyDescent="0.2">
      <c r="A70" t="s">
        <v>155</v>
      </c>
      <c r="B70" t="s">
        <v>117</v>
      </c>
      <c r="C70" t="s">
        <v>92</v>
      </c>
      <c r="D70" t="s">
        <v>93</v>
      </c>
      <c r="E70" t="s">
        <v>256</v>
      </c>
      <c r="F70" t="s">
        <v>257</v>
      </c>
      <c r="G70">
        <v>1</v>
      </c>
      <c r="H70" t="s">
        <v>44</v>
      </c>
      <c r="I70">
        <v>0.87</v>
      </c>
      <c r="J70">
        <v>0.87</v>
      </c>
    </row>
    <row r="71" spans="1:10" x14ac:dyDescent="0.2">
      <c r="A71" t="s">
        <v>155</v>
      </c>
      <c r="B71" t="s">
        <v>117</v>
      </c>
      <c r="C71" t="s">
        <v>92</v>
      </c>
      <c r="D71" t="s">
        <v>93</v>
      </c>
      <c r="E71" t="s">
        <v>322</v>
      </c>
      <c r="F71" t="s">
        <v>323</v>
      </c>
      <c r="G71">
        <v>1</v>
      </c>
      <c r="H71" t="s">
        <v>44</v>
      </c>
      <c r="I71">
        <v>0.17</v>
      </c>
      <c r="J71">
        <v>0.17</v>
      </c>
    </row>
    <row r="72" spans="1:10" x14ac:dyDescent="0.2">
      <c r="A72" t="s">
        <v>155</v>
      </c>
      <c r="B72" t="s">
        <v>117</v>
      </c>
      <c r="C72" t="s">
        <v>92</v>
      </c>
      <c r="D72" t="s">
        <v>93</v>
      </c>
      <c r="E72" t="s">
        <v>324</v>
      </c>
      <c r="F72" t="s">
        <v>325</v>
      </c>
      <c r="G72">
        <v>1</v>
      </c>
      <c r="H72" t="s">
        <v>44</v>
      </c>
      <c r="I72">
        <v>19</v>
      </c>
      <c r="J72">
        <v>19</v>
      </c>
    </row>
    <row r="73" spans="1:10" x14ac:dyDescent="0.2">
      <c r="A73" t="s">
        <v>155</v>
      </c>
      <c r="B73" t="s">
        <v>117</v>
      </c>
      <c r="C73" t="s">
        <v>92</v>
      </c>
      <c r="D73" t="s">
        <v>93</v>
      </c>
      <c r="E73" t="s">
        <v>326</v>
      </c>
      <c r="F73" t="s">
        <v>327</v>
      </c>
      <c r="G73">
        <v>1</v>
      </c>
      <c r="H73" t="s">
        <v>44</v>
      </c>
      <c r="I73">
        <v>0.69</v>
      </c>
      <c r="J73">
        <v>0.69</v>
      </c>
    </row>
    <row r="74" spans="1:10" x14ac:dyDescent="0.2">
      <c r="A74" t="s">
        <v>155</v>
      </c>
      <c r="B74" t="s">
        <v>117</v>
      </c>
      <c r="C74" t="s">
        <v>92</v>
      </c>
      <c r="D74" t="s">
        <v>93</v>
      </c>
      <c r="E74" t="s">
        <v>328</v>
      </c>
      <c r="F74" t="s">
        <v>329</v>
      </c>
      <c r="G74">
        <v>1</v>
      </c>
      <c r="H74" t="s">
        <v>44</v>
      </c>
      <c r="I74">
        <v>0.17</v>
      </c>
      <c r="J74">
        <v>0.17</v>
      </c>
    </row>
    <row r="75" spans="1:10" x14ac:dyDescent="0.2">
      <c r="A75" t="s">
        <v>155</v>
      </c>
      <c r="B75" t="s">
        <v>117</v>
      </c>
      <c r="C75" t="s">
        <v>92</v>
      </c>
      <c r="D75" t="s">
        <v>93</v>
      </c>
      <c r="E75" t="s">
        <v>330</v>
      </c>
      <c r="F75" t="s">
        <v>331</v>
      </c>
      <c r="G75">
        <v>1</v>
      </c>
      <c r="H75" t="s">
        <v>44</v>
      </c>
      <c r="I75">
        <v>1</v>
      </c>
      <c r="J75">
        <v>1</v>
      </c>
    </row>
    <row r="76" spans="1:10" x14ac:dyDescent="0.2">
      <c r="A76" t="s">
        <v>155</v>
      </c>
      <c r="B76" t="s">
        <v>117</v>
      </c>
      <c r="C76" t="s">
        <v>92</v>
      </c>
      <c r="D76" t="s">
        <v>93</v>
      </c>
      <c r="E76" t="s">
        <v>332</v>
      </c>
      <c r="F76" t="s">
        <v>333</v>
      </c>
      <c r="G76">
        <v>2</v>
      </c>
      <c r="H76" t="s">
        <v>44</v>
      </c>
      <c r="I76">
        <v>11</v>
      </c>
      <c r="J76">
        <v>22</v>
      </c>
    </row>
    <row r="77" spans="1:10" x14ac:dyDescent="0.2">
      <c r="A77" t="s">
        <v>155</v>
      </c>
      <c r="B77" t="s">
        <v>117</v>
      </c>
      <c r="C77" t="s">
        <v>92</v>
      </c>
      <c r="D77" t="s">
        <v>93</v>
      </c>
      <c r="E77" t="s">
        <v>334</v>
      </c>
      <c r="F77" t="s">
        <v>335</v>
      </c>
      <c r="G77">
        <v>1</v>
      </c>
      <c r="H77" t="s">
        <v>44</v>
      </c>
      <c r="I77">
        <v>2</v>
      </c>
      <c r="J77">
        <v>2</v>
      </c>
    </row>
    <row r="78" spans="1:10" x14ac:dyDescent="0.2">
      <c r="A78" t="s">
        <v>155</v>
      </c>
      <c r="B78" t="s">
        <v>117</v>
      </c>
      <c r="C78" t="s">
        <v>92</v>
      </c>
      <c r="D78" t="s">
        <v>93</v>
      </c>
      <c r="E78" t="s">
        <v>336</v>
      </c>
      <c r="F78" t="s">
        <v>337</v>
      </c>
      <c r="G78">
        <v>1</v>
      </c>
      <c r="H78" t="s">
        <v>44</v>
      </c>
      <c r="I78">
        <v>7.75</v>
      </c>
      <c r="J78">
        <v>7.75</v>
      </c>
    </row>
    <row r="79" spans="1:10" x14ac:dyDescent="0.2">
      <c r="A79" t="s">
        <v>155</v>
      </c>
      <c r="B79" t="s">
        <v>117</v>
      </c>
      <c r="C79" t="s">
        <v>92</v>
      </c>
      <c r="D79" t="s">
        <v>93</v>
      </c>
      <c r="E79" t="s">
        <v>338</v>
      </c>
      <c r="F79" t="s">
        <v>335</v>
      </c>
      <c r="G79">
        <v>2</v>
      </c>
      <c r="H79" t="s">
        <v>44</v>
      </c>
      <c r="I79">
        <v>2</v>
      </c>
      <c r="J79">
        <v>4</v>
      </c>
    </row>
    <row r="80" spans="1:10" x14ac:dyDescent="0.2">
      <c r="A80" t="s">
        <v>155</v>
      </c>
      <c r="B80" t="s">
        <v>117</v>
      </c>
      <c r="C80" t="s">
        <v>92</v>
      </c>
      <c r="D80" t="s">
        <v>93</v>
      </c>
      <c r="E80" t="s">
        <v>248</v>
      </c>
      <c r="F80" t="s">
        <v>249</v>
      </c>
      <c r="G80">
        <v>1</v>
      </c>
      <c r="H80" t="s">
        <v>44</v>
      </c>
      <c r="I80">
        <v>15</v>
      </c>
      <c r="J80">
        <v>15</v>
      </c>
    </row>
    <row r="81" spans="1:10" x14ac:dyDescent="0.2">
      <c r="A81" t="s">
        <v>155</v>
      </c>
      <c r="B81" t="s">
        <v>117</v>
      </c>
      <c r="C81" t="s">
        <v>92</v>
      </c>
      <c r="D81" t="s">
        <v>93</v>
      </c>
      <c r="E81" t="s">
        <v>339</v>
      </c>
      <c r="F81" t="s">
        <v>340</v>
      </c>
      <c r="G81">
        <v>1</v>
      </c>
      <c r="H81" t="s">
        <v>44</v>
      </c>
      <c r="I81">
        <v>0.17</v>
      </c>
      <c r="J81">
        <v>0.17</v>
      </c>
    </row>
    <row r="82" spans="1:10" x14ac:dyDescent="0.2">
      <c r="A82" t="s">
        <v>155</v>
      </c>
      <c r="B82" t="s">
        <v>117</v>
      </c>
      <c r="C82" t="s">
        <v>92</v>
      </c>
      <c r="D82" t="s">
        <v>93</v>
      </c>
      <c r="E82" t="s">
        <v>341</v>
      </c>
      <c r="F82" t="s">
        <v>342</v>
      </c>
      <c r="G82">
        <v>3</v>
      </c>
      <c r="H82" t="s">
        <v>44</v>
      </c>
      <c r="I82">
        <v>4</v>
      </c>
      <c r="J82">
        <v>12</v>
      </c>
    </row>
    <row r="83" spans="1:10" x14ac:dyDescent="0.2">
      <c r="A83" t="s">
        <v>155</v>
      </c>
      <c r="B83" t="s">
        <v>117</v>
      </c>
      <c r="C83" t="s">
        <v>92</v>
      </c>
      <c r="D83" t="s">
        <v>93</v>
      </c>
      <c r="E83" t="s">
        <v>343</v>
      </c>
      <c r="F83" t="s">
        <v>317</v>
      </c>
      <c r="G83">
        <v>1</v>
      </c>
      <c r="H83" t="s">
        <v>44</v>
      </c>
      <c r="I83">
        <v>0.4</v>
      </c>
      <c r="J83">
        <v>0.4</v>
      </c>
    </row>
    <row r="84" spans="1:10" x14ac:dyDescent="0.2">
      <c r="A84" t="s">
        <v>155</v>
      </c>
      <c r="B84" t="s">
        <v>117</v>
      </c>
      <c r="C84" t="s">
        <v>92</v>
      </c>
      <c r="D84" t="s">
        <v>93</v>
      </c>
      <c r="E84" t="s">
        <v>225</v>
      </c>
      <c r="F84" t="s">
        <v>226</v>
      </c>
      <c r="G84">
        <v>1</v>
      </c>
      <c r="H84" t="s">
        <v>44</v>
      </c>
      <c r="I84">
        <v>19</v>
      </c>
      <c r="J84">
        <v>19</v>
      </c>
    </row>
    <row r="85" spans="1:10" x14ac:dyDescent="0.2">
      <c r="A85" t="s">
        <v>155</v>
      </c>
      <c r="B85" t="s">
        <v>117</v>
      </c>
      <c r="C85" t="s">
        <v>92</v>
      </c>
      <c r="D85" t="s">
        <v>93</v>
      </c>
      <c r="E85" t="s">
        <v>344</v>
      </c>
      <c r="F85" t="s">
        <v>345</v>
      </c>
      <c r="G85">
        <v>2</v>
      </c>
      <c r="H85" t="s">
        <v>44</v>
      </c>
      <c r="I85">
        <v>2.41</v>
      </c>
      <c r="J85">
        <v>4.82</v>
      </c>
    </row>
    <row r="86" spans="1:10" x14ac:dyDescent="0.2">
      <c r="A86" t="s">
        <v>155</v>
      </c>
      <c r="B86" t="s">
        <v>117</v>
      </c>
      <c r="C86" t="s">
        <v>92</v>
      </c>
      <c r="D86" t="s">
        <v>93</v>
      </c>
      <c r="E86" t="s">
        <v>346</v>
      </c>
      <c r="F86" t="s">
        <v>347</v>
      </c>
      <c r="G86">
        <v>1</v>
      </c>
      <c r="H86" t="s">
        <v>44</v>
      </c>
      <c r="I86">
        <v>1.03</v>
      </c>
      <c r="J86">
        <v>1.03</v>
      </c>
    </row>
    <row r="87" spans="1:10" x14ac:dyDescent="0.2">
      <c r="A87" t="s">
        <v>155</v>
      </c>
      <c r="B87" t="s">
        <v>117</v>
      </c>
      <c r="C87" t="s">
        <v>92</v>
      </c>
      <c r="D87" t="s">
        <v>93</v>
      </c>
      <c r="E87" t="s">
        <v>348</v>
      </c>
      <c r="F87" t="s">
        <v>349</v>
      </c>
      <c r="G87">
        <v>2</v>
      </c>
      <c r="H87" t="s">
        <v>44</v>
      </c>
      <c r="I87">
        <v>0.17</v>
      </c>
      <c r="J87">
        <v>0.34</v>
      </c>
    </row>
    <row r="88" spans="1:10" x14ac:dyDescent="0.2">
      <c r="A88" t="s">
        <v>155</v>
      </c>
      <c r="B88" t="s">
        <v>117</v>
      </c>
      <c r="C88" t="s">
        <v>92</v>
      </c>
      <c r="D88" t="s">
        <v>93</v>
      </c>
      <c r="E88" t="s">
        <v>227</v>
      </c>
      <c r="F88" t="s">
        <v>228</v>
      </c>
      <c r="G88">
        <v>1</v>
      </c>
      <c r="H88" t="s">
        <v>44</v>
      </c>
      <c r="I88">
        <v>13</v>
      </c>
      <c r="J88">
        <v>13</v>
      </c>
    </row>
    <row r="89" spans="1:10" x14ac:dyDescent="0.2">
      <c r="A89" t="s">
        <v>155</v>
      </c>
      <c r="B89" t="s">
        <v>117</v>
      </c>
      <c r="C89" t="s">
        <v>92</v>
      </c>
      <c r="D89" t="s">
        <v>93</v>
      </c>
      <c r="E89" t="s">
        <v>350</v>
      </c>
      <c r="F89" t="s">
        <v>351</v>
      </c>
      <c r="G89">
        <v>1</v>
      </c>
      <c r="H89" t="s">
        <v>44</v>
      </c>
      <c r="I89">
        <v>1</v>
      </c>
      <c r="J89">
        <v>1</v>
      </c>
    </row>
    <row r="90" spans="1:10" x14ac:dyDescent="0.2">
      <c r="A90" t="s">
        <v>155</v>
      </c>
      <c r="B90" t="s">
        <v>117</v>
      </c>
      <c r="C90" t="s">
        <v>92</v>
      </c>
      <c r="D90" t="s">
        <v>93</v>
      </c>
      <c r="E90" t="s">
        <v>352</v>
      </c>
      <c r="F90" t="s">
        <v>353</v>
      </c>
      <c r="G90">
        <v>1</v>
      </c>
      <c r="H90" t="s">
        <v>44</v>
      </c>
      <c r="I90">
        <v>1</v>
      </c>
      <c r="J90">
        <v>1</v>
      </c>
    </row>
    <row r="91" spans="1:10" x14ac:dyDescent="0.2">
      <c r="A91" t="s">
        <v>155</v>
      </c>
      <c r="B91" t="s">
        <v>117</v>
      </c>
      <c r="C91" t="s">
        <v>92</v>
      </c>
      <c r="D91" t="s">
        <v>93</v>
      </c>
      <c r="E91" t="s">
        <v>354</v>
      </c>
      <c r="F91" t="s">
        <v>355</v>
      </c>
      <c r="G91">
        <v>2</v>
      </c>
      <c r="H91" t="s">
        <v>44</v>
      </c>
      <c r="I91">
        <v>3</v>
      </c>
      <c r="J91">
        <v>6</v>
      </c>
    </row>
    <row r="92" spans="1:10" x14ac:dyDescent="0.2">
      <c r="A92" t="s">
        <v>155</v>
      </c>
      <c r="B92" t="s">
        <v>117</v>
      </c>
      <c r="C92" t="s">
        <v>92</v>
      </c>
      <c r="D92" t="s">
        <v>93</v>
      </c>
      <c r="E92" t="s">
        <v>356</v>
      </c>
      <c r="F92" t="s">
        <v>357</v>
      </c>
      <c r="G92">
        <v>2</v>
      </c>
      <c r="H92" t="s">
        <v>44</v>
      </c>
      <c r="I92">
        <v>0.52</v>
      </c>
      <c r="J92">
        <v>1.04</v>
      </c>
    </row>
    <row r="93" spans="1:10" x14ac:dyDescent="0.2">
      <c r="A93" t="s">
        <v>155</v>
      </c>
      <c r="B93" t="s">
        <v>117</v>
      </c>
      <c r="C93" t="s">
        <v>92</v>
      </c>
      <c r="D93" t="s">
        <v>93</v>
      </c>
      <c r="E93" t="s">
        <v>237</v>
      </c>
      <c r="F93" t="s">
        <v>230</v>
      </c>
      <c r="G93">
        <v>3</v>
      </c>
      <c r="H93" t="s">
        <v>44</v>
      </c>
      <c r="I93">
        <v>80</v>
      </c>
      <c r="J93">
        <v>240</v>
      </c>
    </row>
    <row r="94" spans="1:10" x14ac:dyDescent="0.2">
      <c r="A94" t="s">
        <v>155</v>
      </c>
      <c r="B94" t="s">
        <v>117</v>
      </c>
      <c r="C94" t="s">
        <v>92</v>
      </c>
      <c r="D94" t="s">
        <v>93</v>
      </c>
      <c r="E94" t="s">
        <v>358</v>
      </c>
      <c r="F94" t="s">
        <v>301</v>
      </c>
      <c r="G94">
        <v>2</v>
      </c>
      <c r="H94" t="s">
        <v>44</v>
      </c>
      <c r="I94">
        <v>5</v>
      </c>
      <c r="J94">
        <v>10</v>
      </c>
    </row>
    <row r="95" spans="1:10" x14ac:dyDescent="0.2">
      <c r="A95" t="s">
        <v>155</v>
      </c>
      <c r="B95" t="s">
        <v>117</v>
      </c>
      <c r="C95" t="s">
        <v>92</v>
      </c>
      <c r="D95" t="s">
        <v>93</v>
      </c>
      <c r="E95" t="s">
        <v>359</v>
      </c>
      <c r="F95" t="s">
        <v>360</v>
      </c>
      <c r="G95">
        <v>1</v>
      </c>
      <c r="H95" t="s">
        <v>44</v>
      </c>
      <c r="I95">
        <v>19</v>
      </c>
      <c r="J95">
        <v>19</v>
      </c>
    </row>
    <row r="96" spans="1:10" x14ac:dyDescent="0.2">
      <c r="A96" t="s">
        <v>155</v>
      </c>
      <c r="B96" t="s">
        <v>117</v>
      </c>
      <c r="C96" t="s">
        <v>92</v>
      </c>
      <c r="D96" t="s">
        <v>93</v>
      </c>
      <c r="E96" t="s">
        <v>246</v>
      </c>
      <c r="F96" t="s">
        <v>247</v>
      </c>
      <c r="G96">
        <v>2</v>
      </c>
      <c r="H96" t="s">
        <v>44</v>
      </c>
      <c r="I96">
        <v>2</v>
      </c>
      <c r="J96">
        <v>4</v>
      </c>
    </row>
    <row r="97" spans="1:10" x14ac:dyDescent="0.2">
      <c r="A97" t="s">
        <v>155</v>
      </c>
      <c r="B97" t="s">
        <v>117</v>
      </c>
      <c r="C97" t="s">
        <v>92</v>
      </c>
      <c r="D97" t="s">
        <v>93</v>
      </c>
      <c r="E97" t="s">
        <v>361</v>
      </c>
      <c r="F97" t="s">
        <v>362</v>
      </c>
      <c r="G97">
        <v>1</v>
      </c>
      <c r="H97" t="s">
        <v>44</v>
      </c>
      <c r="I97">
        <v>0.69</v>
      </c>
      <c r="J97">
        <v>0.69</v>
      </c>
    </row>
    <row r="98" spans="1:10" x14ac:dyDescent="0.2">
      <c r="A98" t="s">
        <v>157</v>
      </c>
      <c r="B98" t="s">
        <v>92</v>
      </c>
      <c r="C98" t="s">
        <v>92</v>
      </c>
      <c r="D98" t="s">
        <v>93</v>
      </c>
      <c r="E98" t="s">
        <v>213</v>
      </c>
      <c r="F98" t="s">
        <v>214</v>
      </c>
      <c r="G98">
        <v>1</v>
      </c>
      <c r="H98" t="s">
        <v>44</v>
      </c>
      <c r="I98">
        <v>432</v>
      </c>
      <c r="J98">
        <v>432</v>
      </c>
    </row>
    <row r="99" spans="1:10" x14ac:dyDescent="0.2">
      <c r="A99" t="s">
        <v>159</v>
      </c>
      <c r="B99" t="s">
        <v>92</v>
      </c>
      <c r="C99" t="s">
        <v>92</v>
      </c>
      <c r="D99" t="s">
        <v>93</v>
      </c>
      <c r="E99" t="s">
        <v>213</v>
      </c>
      <c r="F99" t="s">
        <v>214</v>
      </c>
      <c r="G99">
        <v>1</v>
      </c>
      <c r="H99" t="s">
        <v>44</v>
      </c>
      <c r="I99">
        <v>432</v>
      </c>
      <c r="J99">
        <v>432</v>
      </c>
    </row>
    <row r="100" spans="1:10" x14ac:dyDescent="0.2">
      <c r="A100" t="s">
        <v>153</v>
      </c>
      <c r="B100" t="s">
        <v>152</v>
      </c>
      <c r="C100" t="s">
        <v>92</v>
      </c>
      <c r="D100" t="s">
        <v>93</v>
      </c>
      <c r="E100" t="s">
        <v>213</v>
      </c>
      <c r="F100" t="s">
        <v>214</v>
      </c>
      <c r="G100">
        <v>1</v>
      </c>
      <c r="H100" t="s">
        <v>44</v>
      </c>
      <c r="I100">
        <v>432</v>
      </c>
      <c r="J100">
        <v>432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0F77-3265-4141-99DF-EDB7C425FCA0}">
  <sheetPr codeName="Sheet2"/>
  <dimension ref="A1:Q3"/>
  <sheetViews>
    <sheetView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4.5" style="27" customWidth="1"/>
    <col min="2" max="2" width="9" style="27"/>
    <col min="3" max="3" width="13.625" style="27" customWidth="1"/>
    <col min="4" max="16384" width="9" style="27"/>
  </cols>
  <sheetData>
    <row r="1" spans="1:17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2">
      <c r="A3" s="27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2D76-F47A-449C-B530-DAF166C0243C}">
  <sheetPr codeName="Sheet12"/>
  <dimension ref="A1:Q3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2" max="13" width="9.125" bestFit="1" customWidth="1"/>
    <col min="14" max="14" width="10.5" bestFit="1" customWidth="1"/>
    <col min="17" max="17" width="9.125" bestFit="1" customWidth="1"/>
  </cols>
  <sheetData>
    <row r="1" spans="1:17" s="27" customFormat="1" ht="15" x14ac:dyDescent="0.2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36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2">
      <c r="A3" t="s">
        <v>95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EBD6-5A1A-4931-B6E1-902AB626C917}">
  <sheetPr codeName="Sheet7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6.5" x14ac:dyDescent="0.35"/>
  <cols>
    <col min="1" max="1" width="9" style="31"/>
    <col min="2" max="2" width="15.375" style="31" customWidth="1"/>
    <col min="3" max="3" width="17.75" style="31" customWidth="1"/>
    <col min="4" max="11" width="9" style="31"/>
    <col min="12" max="12" width="10.625" style="31" bestFit="1" customWidth="1"/>
    <col min="13" max="13" width="11.375" style="31" bestFit="1" customWidth="1"/>
    <col min="14" max="14" width="10.5" style="31" bestFit="1" customWidth="1"/>
    <col min="15" max="15" width="9" style="31"/>
    <col min="16" max="16" width="16.625" style="31" customWidth="1"/>
    <col min="17" max="17" width="9.375" style="31" bestFit="1" customWidth="1"/>
    <col min="18" max="16384" width="9" style="31"/>
  </cols>
  <sheetData>
    <row r="1" spans="1:17" x14ac:dyDescent="0.35">
      <c r="A1" s="23" t="s">
        <v>26</v>
      </c>
      <c r="B1" s="23" t="s">
        <v>27</v>
      </c>
      <c r="C1" s="24" t="s">
        <v>1</v>
      </c>
      <c r="D1" s="24" t="s">
        <v>0</v>
      </c>
      <c r="E1" s="23" t="s">
        <v>28</v>
      </c>
      <c r="F1" s="23" t="s">
        <v>29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3" t="s">
        <v>35</v>
      </c>
      <c r="M1" s="23" t="s">
        <v>62</v>
      </c>
      <c r="N1" s="23" t="s">
        <v>37</v>
      </c>
      <c r="O1" s="23" t="s">
        <v>38</v>
      </c>
      <c r="P1" s="23" t="s">
        <v>39</v>
      </c>
      <c r="Q1" s="30" t="s">
        <v>40</v>
      </c>
    </row>
    <row r="3" spans="1:17" x14ac:dyDescent="0.35">
      <c r="A3" s="31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E136-A1A8-4FAC-BE33-737A8E5ECD19}">
  <sheetPr codeName="Sheet8"/>
  <dimension ref="A1:P3"/>
  <sheetViews>
    <sheetView zoomScale="85" zoomScaleNormal="85" workbookViewId="0">
      <pane ySplit="1" topLeftCell="A2" activePane="bottomLeft" state="frozen"/>
      <selection pane="bottomLeft"/>
    </sheetView>
  </sheetViews>
  <sheetFormatPr defaultColWidth="9" defaultRowHeight="14.25" x14ac:dyDescent="0.2"/>
  <cols>
    <col min="1" max="1" width="15.875" customWidth="1"/>
    <col min="2" max="2" width="11" style="39" customWidth="1"/>
    <col min="3" max="3" width="5.625" bestFit="1" customWidth="1"/>
    <col min="4" max="4" width="12.875" customWidth="1"/>
    <col min="5" max="5" width="11.625" customWidth="1"/>
    <col min="6" max="7" width="21.375" customWidth="1"/>
    <col min="8" max="8" width="30.375" customWidth="1"/>
    <col min="9" max="9" width="18.5" customWidth="1"/>
    <col min="10" max="10" width="19.5" customWidth="1"/>
    <col min="11" max="11" width="20.25" customWidth="1"/>
    <col min="12" max="12" width="19.125" customWidth="1"/>
    <col min="13" max="13" width="5.25" customWidth="1"/>
    <col min="14" max="14" width="7.875" bestFit="1" customWidth="1"/>
    <col min="15" max="15" width="15.375" style="40" customWidth="1"/>
    <col min="16" max="16" width="18.125" customWidth="1"/>
  </cols>
  <sheetData>
    <row r="1" spans="1:16" s="38" customFormat="1" ht="43.5" customHeight="1" x14ac:dyDescent="0.2">
      <c r="A1" s="32" t="s">
        <v>64</v>
      </c>
      <c r="B1" s="33" t="s">
        <v>65</v>
      </c>
      <c r="C1" s="32" t="s">
        <v>66</v>
      </c>
      <c r="D1" s="32" t="s">
        <v>67</v>
      </c>
      <c r="E1" s="32" t="s">
        <v>68</v>
      </c>
      <c r="F1" s="34" t="s">
        <v>69</v>
      </c>
      <c r="G1" s="34" t="s">
        <v>70</v>
      </c>
      <c r="H1" s="34" t="s">
        <v>71</v>
      </c>
      <c r="I1" s="35" t="s">
        <v>72</v>
      </c>
      <c r="J1" s="35" t="s">
        <v>73</v>
      </c>
      <c r="K1" s="34" t="s">
        <v>74</v>
      </c>
      <c r="L1" s="34" t="s">
        <v>75</v>
      </c>
      <c r="M1" s="34" t="s">
        <v>76</v>
      </c>
      <c r="N1" s="36" t="s">
        <v>77</v>
      </c>
      <c r="O1" s="37" t="s">
        <v>78</v>
      </c>
      <c r="P1" s="34" t="s">
        <v>79</v>
      </c>
    </row>
    <row r="3" spans="1:16" x14ac:dyDescent="0.2">
      <c r="A3" t="s">
        <v>95</v>
      </c>
    </row>
  </sheetData>
  <phoneticPr fontId="2" type="noConversion"/>
  <conditionalFormatting sqref="F1">
    <cfRule type="duplicateValues" dxfId="3" priority="1"/>
    <cfRule type="duplicateValues" dxfId="2" priority="2"/>
  </conditionalFormatting>
  <conditionalFormatting sqref="G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16A1-6489-46FD-9F05-6D022F607DEE}">
  <sheetPr codeName="Sheet9"/>
  <dimension ref="A1:L3"/>
  <sheetViews>
    <sheetView workbookViewId="0">
      <pane ySplit="1" topLeftCell="A2" activePane="bottomLeft" state="frozen"/>
      <selection activeCell="M1" sqref="M1:M1048576"/>
      <selection pane="bottomLeft"/>
    </sheetView>
  </sheetViews>
  <sheetFormatPr defaultRowHeight="14.25" x14ac:dyDescent="0.2"/>
  <cols>
    <col min="1" max="1" width="10.5" bestFit="1" customWidth="1"/>
    <col min="2" max="2" width="23.625" bestFit="1" customWidth="1"/>
    <col min="3" max="3" width="24.5" customWidth="1"/>
    <col min="4" max="4" width="19.25" customWidth="1"/>
    <col min="5" max="6" width="18.125" customWidth="1"/>
    <col min="7" max="9" width="11.625" customWidth="1"/>
    <col min="10" max="10" width="13.375" customWidth="1"/>
    <col min="11" max="12" width="11.625" customWidth="1"/>
  </cols>
  <sheetData>
    <row r="1" spans="1:12" ht="63.75" customHeight="1" x14ac:dyDescent="0.2">
      <c r="A1" s="28" t="s">
        <v>80</v>
      </c>
      <c r="B1" s="28" t="s">
        <v>81</v>
      </c>
      <c r="C1" s="35" t="s">
        <v>82</v>
      </c>
      <c r="D1" s="35" t="s">
        <v>83</v>
      </c>
      <c r="E1" s="28" t="s">
        <v>84</v>
      </c>
      <c r="F1" s="28" t="s">
        <v>85</v>
      </c>
      <c r="G1" s="28" t="s">
        <v>86</v>
      </c>
      <c r="H1" s="28" t="s">
        <v>87</v>
      </c>
      <c r="I1" s="28" t="s">
        <v>88</v>
      </c>
      <c r="J1" s="28" t="s">
        <v>89</v>
      </c>
      <c r="K1" s="28" t="s">
        <v>90</v>
      </c>
      <c r="L1" s="28" t="s">
        <v>91</v>
      </c>
    </row>
    <row r="3" spans="1:12" x14ac:dyDescent="0.2">
      <c r="A3" t="s">
        <v>95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monthly bill</vt:lpstr>
      <vt:lpstr>Accessories discount</vt:lpstr>
      <vt:lpstr>spare parts fee</vt:lpstr>
      <vt:lpstr>service fee</vt:lpstr>
      <vt:lpstr>tariff compensation</vt:lpstr>
      <vt:lpstr>Maintenance list</vt:lpstr>
      <vt:lpstr>service red-line deduction</vt:lpstr>
      <vt:lpstr>bad parts deduction</vt:lpstr>
      <vt:lpstr>other compensation</vt:lpstr>
      <vt:lpstr>DOA to CM</vt:lpstr>
      <vt:lpstr>pre-payment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o-mandi.yang</dc:creator>
  <cp:lastModifiedBy>o-mandi.yang</cp:lastModifiedBy>
  <dcterms:created xsi:type="dcterms:W3CDTF">2025-10-31T03:16:00Z</dcterms:created>
  <dcterms:modified xsi:type="dcterms:W3CDTF">2025-10-31T03:16:08Z</dcterms:modified>
</cp:coreProperties>
</file>