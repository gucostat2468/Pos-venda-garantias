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海外农机\农机结算\单位月结账单\"/>
    </mc:Choice>
  </mc:AlternateContent>
  <xr:revisionPtr revIDLastSave="0" documentId="8_{C46FA6CB-943C-47EE-B55A-359A0D30603E}" xr6:coauthVersionLast="36" xr6:coauthVersionMax="36" xr10:uidLastSave="{00000000-0000-0000-0000-000000000000}"/>
  <bookViews>
    <workbookView xWindow="0" yWindow="0" windowWidth="28800" windowHeight="12285" xr2:uid="{36F03391-0EFC-4E15-895D-46BB4911B0B2}"/>
  </bookViews>
  <sheets>
    <sheet name="monthly bill" sheetId="3" r:id="rId1"/>
    <sheet name="Accessories discount" sheetId="4" r:id="rId2"/>
    <sheet name="spare parts fee + service fee" sheetId="5" r:id="rId3"/>
    <sheet name="Maintenance list" sheetId="6" r:id="rId4"/>
    <sheet name="other compensation" sheetId="7" r:id="rId5"/>
    <sheet name="DOA to CM" sheetId="8" r:id="rId6"/>
  </sheets>
  <definedNames>
    <definedName name="_xlnm._FilterDatabase" localSheetId="1" hidden="1">'Accessories discount'!$A$1:$Q$1</definedName>
    <definedName name="_xlnm._FilterDatabase" localSheetId="5" hidden="1">'DOA to CM'!$A$1:$O$1</definedName>
    <definedName name="_xlnm._FilterDatabase" localSheetId="3" hidden="1">'Maintenance list'!$A$1:$G$1</definedName>
    <definedName name="_xlnm._FilterDatabase" localSheetId="4" hidden="1">'other compensation'!$A$1:$Q$1</definedName>
    <definedName name="_xlnm._FilterDatabase" localSheetId="2" hidden="1">'spare parts fee + service fee'!$A$1:$H$1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3" l="1"/>
  <c r="E9" i="3"/>
  <c r="E8" i="3"/>
  <c r="E7" i="3"/>
  <c r="E5" i="3"/>
  <c r="E6" i="3" s="1"/>
  <c r="E11" i="3" l="1"/>
  <c r="E1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56490136-2688-4F84-BA3F-99383C037744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如果转售前credit由区域经理联系售前反馈CM单号，如果转售后credit，由运营按月集中处理后填写额度调整单
</t>
        </r>
      </text>
    </comment>
    <comment ref="O1" authorId="0" shapeId="0" xr:uid="{276A2075-5FA3-47CA-A0D9-3442A0700797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标红为重复数据，请区域核查
</t>
        </r>
      </text>
    </comment>
  </commentList>
</comments>
</file>

<file path=xl/sharedStrings.xml><?xml version="1.0" encoding="utf-8"?>
<sst xmlns="http://schemas.openxmlformats.org/spreadsheetml/2006/main" count="660" uniqueCount="214">
  <si>
    <t>上级代理商名称Distributor Name</t>
  </si>
  <si>
    <t>代理商账号(Dealer Account)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</si>
  <si>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May</t>
    </r>
    <phoneticPr fontId="2" type="noConversion"/>
  </si>
  <si>
    <t>Dealer</t>
    <phoneticPr fontId="2" type="noConversion"/>
  </si>
  <si>
    <t>Dealer Account：</t>
    <phoneticPr fontId="2" type="noConversion"/>
  </si>
  <si>
    <t>Credit Trading</t>
    <phoneticPr fontId="3" type="noConversion"/>
  </si>
  <si>
    <t>Amount</t>
    <phoneticPr fontId="2" type="noConversion"/>
  </si>
  <si>
    <t>Remarks</t>
    <phoneticPr fontId="2" type="noConversion"/>
  </si>
  <si>
    <t>Expenditure item</t>
    <phoneticPr fontId="3" type="noConversion"/>
  </si>
  <si>
    <t>Spare parts order</t>
    <phoneticPr fontId="3" type="noConversion"/>
  </si>
  <si>
    <t>Total Expenditure</t>
    <phoneticPr fontId="3" type="noConversion"/>
  </si>
  <si>
    <t>Income item</t>
    <phoneticPr fontId="2" type="noConversion"/>
  </si>
  <si>
    <t>Spare parts fee of warranty cases</t>
    <phoneticPr fontId="3" type="noConversion"/>
  </si>
  <si>
    <t>Labor fee of warranty cases</t>
    <phoneticPr fontId="3" type="noConversion"/>
  </si>
  <si>
    <t>Other compensation</t>
  </si>
  <si>
    <t>Battery/DOA cases</t>
    <phoneticPr fontId="3" type="noConversion"/>
  </si>
  <si>
    <t>Total Income</t>
    <phoneticPr fontId="3" type="noConversion"/>
  </si>
  <si>
    <t>Credit Balance</t>
    <phoneticPr fontId="3" type="noConversion"/>
  </si>
  <si>
    <t>For your reference</t>
    <phoneticPr fontId="3" type="noConversion"/>
  </si>
  <si>
    <t>Serial Number</t>
    <phoneticPr fontId="3" type="noConversion"/>
  </si>
  <si>
    <t>Creation Date</t>
    <phoneticPr fontId="3" type="noConversion"/>
  </si>
  <si>
    <t>Dealer Account</t>
    <phoneticPr fontId="3" type="noConversion"/>
  </si>
  <si>
    <t>Dealer</t>
    <phoneticPr fontId="3" type="noConversion"/>
  </si>
  <si>
    <t>Sub Dealer</t>
    <phoneticPr fontId="3" type="noConversion"/>
  </si>
  <si>
    <t>Billing Type</t>
    <phoneticPr fontId="3" type="noConversion"/>
  </si>
  <si>
    <t>Bill No.</t>
    <phoneticPr fontId="3" type="noConversion"/>
  </si>
  <si>
    <t>Expense Type</t>
    <phoneticPr fontId="3" type="noConversion"/>
  </si>
  <si>
    <t>Calculation Type</t>
    <phoneticPr fontId="3" type="noConversion"/>
  </si>
  <si>
    <t>Operation Type</t>
    <phoneticPr fontId="3" type="noConversion"/>
  </si>
  <si>
    <t>Currency</t>
    <phoneticPr fontId="3" type="noConversion"/>
  </si>
  <si>
    <t>Trading Amount</t>
    <phoneticPr fontId="3" type="noConversion"/>
  </si>
  <si>
    <t>plus-minus</t>
    <phoneticPr fontId="3" type="noConversion"/>
  </si>
  <si>
    <t>Balance</t>
    <phoneticPr fontId="3" type="noConversion"/>
  </si>
  <si>
    <t>Receiving Status</t>
    <phoneticPr fontId="3" type="noConversion"/>
  </si>
  <si>
    <t>Remarks</t>
    <phoneticPr fontId="3" type="noConversion"/>
  </si>
  <si>
    <t>Month</t>
    <phoneticPr fontId="3" type="noConversion"/>
  </si>
  <si>
    <t>USD</t>
  </si>
  <si>
    <t>代理商名称(Dealer Name)</t>
  </si>
  <si>
    <t>代理商账号(Dealer Account)</t>
    <phoneticPr fontId="2" type="noConversion"/>
  </si>
  <si>
    <t>国家/地区
Country</t>
    <phoneticPr fontId="14" type="noConversion"/>
  </si>
  <si>
    <t>案例编号Case Number</t>
  </si>
  <si>
    <t>维修物料费Spare parts Amount</t>
    <phoneticPr fontId="3" type="noConversion"/>
  </si>
  <si>
    <t>维修劳务费Labor fee Amount</t>
    <phoneticPr fontId="14" type="noConversion"/>
  </si>
  <si>
    <t>合计劳务费Total Settlement Amount</t>
    <phoneticPr fontId="14" type="noConversion"/>
  </si>
  <si>
    <t>合计劳务费激励Settlement Amount</t>
    <phoneticPr fontId="14" type="noConversion"/>
  </si>
  <si>
    <t>物料编码Material code</t>
    <phoneticPr fontId="3" type="noConversion"/>
  </si>
  <si>
    <t>物料名称Material name</t>
    <phoneticPr fontId="3" type="noConversion"/>
  </si>
  <si>
    <t>数量Quantity</t>
    <phoneticPr fontId="3" type="noConversion"/>
  </si>
  <si>
    <t>转售前Credit/售后Cedit
Pre-sale credit/After-sale credit</t>
  </si>
  <si>
    <t>金额/Amount</t>
  </si>
  <si>
    <t>币种</t>
  </si>
  <si>
    <t>CM单号
Credit number</t>
  </si>
  <si>
    <t>其他说明
Supplement</t>
  </si>
  <si>
    <t>案例ID (案例)
Case Number</t>
  </si>
  <si>
    <t>客户 (案例)
Distributor/Dealer Name</t>
  </si>
  <si>
    <t>上级代理商(Distributor Name)</t>
  </si>
  <si>
    <t>产品 ID (产品)
Product ID</t>
  </si>
  <si>
    <t xml:space="preserve">产品
Product </t>
  </si>
  <si>
    <t>数量
Quantity</t>
  </si>
  <si>
    <t>月份
Month</t>
  </si>
  <si>
    <t>完成时间 (发货单)
Date</t>
  </si>
  <si>
    <t>产品SN码 (案例)
Product SN</t>
  </si>
  <si>
    <t>售后credit（After-sale credit）</t>
  </si>
  <si>
    <t>Huada Agricola Comercial LTDA</t>
  </si>
  <si>
    <t>HUADA-agras</t>
  </si>
  <si>
    <t>HUADA-agras</t>
    <phoneticPr fontId="3" type="noConversion"/>
  </si>
  <si>
    <t>本次不涉及此项</t>
  </si>
  <si>
    <t>BRAZIL</t>
  </si>
  <si>
    <t>WRC240510000003</t>
  </si>
  <si>
    <t>WRC240509000562</t>
  </si>
  <si>
    <t>WRC240508000594</t>
  </si>
  <si>
    <t>WRC240506000506</t>
  </si>
  <si>
    <t>DRONE NORTE</t>
  </si>
  <si>
    <t>WRC240508000003</t>
  </si>
  <si>
    <t>CASA DO DRONE</t>
  </si>
  <si>
    <t>WRC240423000850</t>
  </si>
  <si>
    <t>WRC240530000017</t>
  </si>
  <si>
    <t>WRC240529000504</t>
  </si>
  <si>
    <t>WRC240521000012</t>
  </si>
  <si>
    <t>WRC240518000455</t>
  </si>
  <si>
    <t>WRC240515000005</t>
  </si>
  <si>
    <t>WRC240529000022</t>
  </si>
  <si>
    <t>WRC240529000018</t>
  </si>
  <si>
    <t>WRC240528000572</t>
  </si>
  <si>
    <t>WRC240528000007</t>
  </si>
  <si>
    <t>WRC240524000519</t>
  </si>
  <si>
    <t>WRC240523000521</t>
  </si>
  <si>
    <t>WRC240523000497</t>
  </si>
  <si>
    <t>WRC240522000516</t>
  </si>
  <si>
    <t>WRC240528000583</t>
  </si>
  <si>
    <t>Mercadão dos Drones</t>
  </si>
  <si>
    <t>WRC240528000014</t>
  </si>
  <si>
    <t>WRC240423000859</t>
  </si>
  <si>
    <t>WRC240524000013</t>
  </si>
  <si>
    <t>MS Drones</t>
  </si>
  <si>
    <t>WRC240521000551</t>
  </si>
  <si>
    <t>BC.AG.SS000496.01</t>
  </si>
  <si>
    <t>航电模块（国家码 FCC）</t>
  </si>
  <si>
    <t>BC.AG.SS000617.01</t>
  </si>
  <si>
    <t>【T40/T20P】航电模块L</t>
  </si>
  <si>
    <t>BC.AG.SS000779.01</t>
  </si>
  <si>
    <t>M4机臂（右后）（包胶）</t>
  </si>
  <si>
    <t>YC.JG.MY000715.07</t>
  </si>
  <si>
    <t>【T40/T20P】离心喷头密封塞</t>
  </si>
  <si>
    <t>YC.JG.ZS002288.02</t>
  </si>
  <si>
    <t>【T40/T20P】离心喷头摩擦片</t>
  </si>
  <si>
    <t>YC.JG.ZS002298.02</t>
  </si>
  <si>
    <t>【T40/T20P】后壳上盖</t>
  </si>
  <si>
    <t>YC.JG.ZS002188.04</t>
  </si>
  <si>
    <t>【T40/T20P】脚架固定件（左前）</t>
  </si>
  <si>
    <t>YC.JG.TT000100.06</t>
  </si>
  <si>
    <t>【T40/T20P】离心喷头弹簧</t>
  </si>
  <si>
    <t>YC.JG.ZS002285.03</t>
  </si>
  <si>
    <t>【T40】脚架三通</t>
  </si>
  <si>
    <t>YC.JG.QX002084.03</t>
  </si>
  <si>
    <t>【T40】M2机臂连接件</t>
  </si>
  <si>
    <t>YC.JG.ZS002189.04</t>
  </si>
  <si>
    <t>【T40/T20P】脚架固定件（左后）</t>
  </si>
  <si>
    <t>YC.JG.ZS001966.05</t>
  </si>
  <si>
    <t>【T40】下反桨（L-CW）</t>
  </si>
  <si>
    <t>YC.JG.ZS001878.04</t>
  </si>
  <si>
    <t>【T40/T20P】离心喷头甩盘上盘</t>
  </si>
  <si>
    <t>YC.JG.ZS002483.02</t>
  </si>
  <si>
    <t>【T40/T20P】离心喷杆</t>
  </si>
  <si>
    <t>YC.JG.ZS002187.04</t>
  </si>
  <si>
    <t>【T40/T20P】脚架固定件（右前）</t>
  </si>
  <si>
    <t>YC.JG.ZS002299.02</t>
  </si>
  <si>
    <t>【T40/T20P】后壳下盖</t>
  </si>
  <si>
    <t>YC.JG.ZS003829.01</t>
  </si>
  <si>
    <t>【T40】桨叶垫片</t>
  </si>
  <si>
    <t>YC.JG.ZS002289.05</t>
  </si>
  <si>
    <t>【T40/T20P】离心喷头弹簧支架</t>
  </si>
  <si>
    <t>BC.AG.SS000604.02</t>
  </si>
  <si>
    <t>【T40/T20P】离心喷头下盖</t>
  </si>
  <si>
    <t>YC.JG.ZS002190.04</t>
  </si>
  <si>
    <t>【T40/T20P】脚架固定件（右后）</t>
  </si>
  <si>
    <t>YC.JG.ZS001879.10</t>
  </si>
  <si>
    <t>【T40/T20P】离心喷头甩盘下盘</t>
  </si>
  <si>
    <t>YC.JG.FP000018.05</t>
  </si>
  <si>
    <t>【T40】电机保护罩</t>
  </si>
  <si>
    <t>YC.JG.ZS002282.05</t>
  </si>
  <si>
    <t>【T40/T20P】前壳上盖</t>
  </si>
  <si>
    <t>YC.JG.ZS002253.05</t>
  </si>
  <si>
    <t>【T40/T20P】喷杆转接轴</t>
  </si>
  <si>
    <t>YC.JG.MY000712.04</t>
  </si>
  <si>
    <t>【T40/T20P】离心阀胶圈</t>
  </si>
  <si>
    <t>YC.JG.ZS001963.04</t>
  </si>
  <si>
    <t>【T40/T20P】上正桨（U-CCW）</t>
  </si>
  <si>
    <t>YC.XC.XX000841.04</t>
  </si>
  <si>
    <t>【T40/T20P】离心喷头信号线</t>
  </si>
  <si>
    <t>YC.JG.ZS001965.05</t>
  </si>
  <si>
    <t>【T40】下正桨（L-CCW）</t>
  </si>
  <si>
    <t>YC.JG.JS000018.03</t>
  </si>
  <si>
    <t>【T40/T20P】机臂水管</t>
  </si>
  <si>
    <t>YC.JG.ZS002262.04</t>
  </si>
  <si>
    <t>【T40/T20P】喷杆固定螺母</t>
  </si>
  <si>
    <t>YC.JG.ZS001964.04</t>
  </si>
  <si>
    <t>【T40/T20P】上反桨（U-CW）</t>
  </si>
  <si>
    <t>BC.AG.SS000565.02</t>
  </si>
  <si>
    <t>【T40/T20P】离心电机</t>
  </si>
  <si>
    <t>YC.JG.XW000089.01</t>
  </si>
  <si>
    <t>【T40】脚架横杆</t>
  </si>
  <si>
    <t>YC.JG.ZS002432.02</t>
  </si>
  <si>
    <t>【T40/T20P】前壳下盖2</t>
  </si>
  <si>
    <t>YC.JG.ZS002283.05</t>
  </si>
  <si>
    <t>【T40/T20P】前壳下盖</t>
  </si>
  <si>
    <t>BC.AG.SS000549.01</t>
  </si>
  <si>
    <t>【T40/T20P】FPV模块</t>
  </si>
  <si>
    <t>BC.AG.SS000586.01</t>
  </si>
  <si>
    <t>【T40&amp;T20P遥控器】左摇杆组件</t>
  </si>
  <si>
    <t>BC.AG.SS000551.01</t>
  </si>
  <si>
    <t>【T40/T20P】全向雷达模块（含信号线）</t>
  </si>
  <si>
    <t>CP.AG.00000579.01</t>
  </si>
  <si>
    <t>【T40充电器】T40 DC-DC电源模块（HJ）（不含输出线）</t>
  </si>
  <si>
    <t>BC.AG.SS000595.01</t>
  </si>
  <si>
    <t>【T40&amp;T20P遥控器】前壳组件（带屏幕）</t>
  </si>
  <si>
    <t>CP.AG.00000277.01</t>
  </si>
  <si>
    <t>T30/T10充电器电源模块（HJ）</t>
  </si>
  <si>
    <t>YC.XC.XX000857.06</t>
  </si>
  <si>
    <t>【T40/T20P】叶轮泵信号线</t>
  </si>
  <si>
    <t>BC.AG.SS000654.01</t>
  </si>
  <si>
    <t>【T40/T20P】叶轮与泵壳组件</t>
  </si>
  <si>
    <t>BC.AG.SS000563.01</t>
  </si>
  <si>
    <t>【T40/T20P】电调模块</t>
  </si>
  <si>
    <t>BC.AG.SS000574.01</t>
  </si>
  <si>
    <t>【T20P】M4机臂（右后）</t>
  </si>
  <si>
    <t>BC.AG.SS000543.01</t>
  </si>
  <si>
    <t>【T40/T20P】叶轮泵电机</t>
  </si>
  <si>
    <t>BC.AG.SS000573.01</t>
  </si>
  <si>
    <t>【T20P】M3机臂（左后）</t>
  </si>
  <si>
    <t>BC.AG.SS000558.01</t>
  </si>
  <si>
    <t>【T40】分电板模块</t>
  </si>
  <si>
    <t>YC.JG.CS000012.06</t>
  </si>
  <si>
    <t>【T40】水箱（40L）</t>
  </si>
  <si>
    <t>BC.AG.SS000552.01</t>
  </si>
  <si>
    <t>【T40/T20P】射频模块</t>
  </si>
  <si>
    <t>BC.AG.SS000548.01</t>
  </si>
  <si>
    <t>【T40/T20P】补光灯组件（含信号线）</t>
  </si>
  <si>
    <t>BC.AG.SS000554.01</t>
  </si>
  <si>
    <t>【T40/T20P】喷洒模块</t>
  </si>
  <si>
    <t>YC.JG.ZS002279.05</t>
  </si>
  <si>
    <t>【T40/T20P】FPV支架</t>
  </si>
  <si>
    <t>BC.AG.SS000556.01</t>
  </si>
  <si>
    <t>【T40】分线板模块</t>
  </si>
  <si>
    <t>BC.AG.SS000566.01</t>
  </si>
  <si>
    <t>10033动力电机-M4</t>
  </si>
  <si>
    <t>YC.JG.ZS005016.03</t>
  </si>
  <si>
    <t>【T40/T20P】上正桨（U-CCW）（白）</t>
  </si>
  <si>
    <t>YC.JG.ZS001964.05</t>
  </si>
  <si>
    <t>QAO240619000001</t>
  </si>
  <si>
    <t>CAS-16843439-B7Z3N5</t>
  </si>
  <si>
    <t>CP.AG.00000570.01</t>
  </si>
  <si>
    <t>T40智能飞行电池</t>
  </si>
  <si>
    <t>57PPL7PDA30070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</si>
</sst>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等线"/>
      <family val="2"/>
      <scheme val="minor"/>
    </font>
    <font>
      <sz val="10"/>
      <color rgb="FFFFFFFF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47">
    <xf numFmtId="0" fontId="0" fillId="0" borderId="0" xfId="0"/>
    <xf numFmtId="0" fontId="1" fillId="0" borderId="0" xfId="1" applyAlignment="1">
      <alignment vertical="center"/>
    </xf>
    <xf numFmtId="0" fontId="6" fillId="5" borderId="1" xfId="1" applyFont="1" applyFill="1" applyBorder="1" applyAlignment="1">
      <alignment horizontal="right" vertical="center"/>
    </xf>
    <xf numFmtId="0" fontId="10" fillId="0" borderId="1" xfId="0" applyNumberFormat="1" applyFont="1" applyBorder="1" applyAlignment="1">
      <alignment vertical="center"/>
    </xf>
    <xf numFmtId="0" fontId="11" fillId="5" borderId="4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4" fontId="12" fillId="0" borderId="1" xfId="1" applyNumberFormat="1" applyFont="1" applyFill="1" applyBorder="1">
      <alignment vertical="center"/>
    </xf>
    <xf numFmtId="0" fontId="10" fillId="0" borderId="4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4" fontId="5" fillId="0" borderId="1" xfId="1" applyNumberFormat="1" applyFont="1" applyFill="1" applyBorder="1">
      <alignment vertical="center"/>
    </xf>
    <xf numFmtId="4" fontId="6" fillId="0" borderId="8" xfId="1" applyNumberFormat="1" applyFont="1" applyFill="1" applyBorder="1">
      <alignment vertical="center"/>
    </xf>
    <xf numFmtId="0" fontId="0" fillId="2" borderId="0" xfId="0" applyFill="1"/>
    <xf numFmtId="0" fontId="0" fillId="0" borderId="0" xfId="0" applyNumberFormat="1"/>
    <xf numFmtId="0" fontId="13" fillId="2" borderId="1" xfId="0" applyNumberFormat="1" applyFont="1" applyFill="1" applyBorder="1" applyAlignment="1">
      <alignment horizontal="center" vertical="center" wrapText="1"/>
    </xf>
    <xf numFmtId="0" fontId="13" fillId="6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2" borderId="0" xfId="0" applyFont="1" applyFill="1"/>
    <xf numFmtId="176" fontId="4" fillId="0" borderId="0" xfId="0" applyNumberFormat="1" applyFont="1"/>
    <xf numFmtId="0" fontId="16" fillId="7" borderId="10" xfId="0" applyFont="1" applyFill="1" applyBorder="1" applyAlignment="1">
      <alignment horizontal="center" vertical="center" wrapText="1"/>
    </xf>
    <xf numFmtId="177" fontId="16" fillId="7" borderId="10" xfId="0" applyNumberFormat="1" applyFont="1" applyFill="1" applyBorder="1" applyAlignment="1">
      <alignment horizontal="right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left" vertical="center" wrapText="1"/>
    </xf>
    <xf numFmtId="0" fontId="16" fillId="8" borderId="10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178" fontId="16" fillId="8" borderId="10" xfId="0" applyNumberFormat="1" applyFont="1" applyFill="1" applyBorder="1" applyAlignment="1">
      <alignment horizontal="center" vertical="center"/>
    </xf>
    <xf numFmtId="177" fontId="15" fillId="0" borderId="0" xfId="0" applyNumberFormat="1" applyFont="1" applyAlignment="1">
      <alignment horizontal="right"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3" xfId="1" applyFont="1" applyFill="1" applyBorder="1" applyAlignment="1">
      <alignment horizontal="center" vertical="center"/>
    </xf>
    <xf numFmtId="0" fontId="10" fillId="5" borderId="8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22" fontId="0" fillId="0" borderId="0" xfId="0" applyNumberFormat="1"/>
  </cellXfs>
  <cellStyles count="3">
    <cellStyle name="常规" xfId="0" builtinId="0"/>
    <cellStyle name="常规 3 2 2 2" xfId="1" xr:uid="{62F901A8-2D1A-4987-B0E8-32F3CB4B89E0}"/>
    <cellStyle name="常规 4 2 2" xfId="2" xr:uid="{89ACAAA2-39B8-4EFE-91FF-FE8E7367ED2A}"/>
  </cellStyles>
  <dxfs count="2">
    <dxf>
      <font>
        <color rgb="FF9C0006"/>
      </font>
      <fill>
        <patternFill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0402-5EB7-4C9F-A54F-EF87798B93C9}">
  <sheetPr codeName="Sheet4"/>
  <dimension ref="B1:F12"/>
  <sheetViews>
    <sheetView showGridLines="0" tabSelected="1" zoomScale="85" zoomScaleNormal="85" workbookViewId="0"/>
  </sheetViews>
  <sheetFormatPr defaultColWidth="9" defaultRowHeight="14.25" x14ac:dyDescent="0.2"/>
  <cols>
    <col min="1" max="1" width="3.375" style="1" customWidth="1"/>
    <col min="2" max="2" width="24.625" style="1" customWidth="1"/>
    <col min="3" max="3" width="8.875" style="1" customWidth="1"/>
    <col min="4" max="4" width="32.875" style="1" customWidth="1"/>
    <col min="5" max="5" width="40" style="1" customWidth="1"/>
    <col min="6" max="6" width="58.75" style="1" customWidth="1"/>
    <col min="7" max="7" width="17.75" style="1" customWidth="1"/>
    <col min="8" max="16384" width="9" style="1"/>
  </cols>
  <sheetData>
    <row r="1" spans="2:6" ht="13.5" customHeight="1" x14ac:dyDescent="0.2"/>
    <row r="2" spans="2:6" ht="46.5" customHeight="1" x14ac:dyDescent="0.2">
      <c r="B2" s="34" t="s">
        <v>2</v>
      </c>
      <c r="C2" s="35"/>
      <c r="D2" s="35"/>
      <c r="E2" s="35"/>
      <c r="F2" s="36"/>
    </row>
    <row r="3" spans="2:6" ht="18.75" customHeight="1" x14ac:dyDescent="0.2">
      <c r="B3" s="2" t="s">
        <v>3</v>
      </c>
      <c r="C3" s="37" t="s">
        <v>63</v>
      </c>
      <c r="D3" s="38"/>
      <c r="E3" s="2" t="s">
        <v>4</v>
      </c>
      <c r="F3" s="3" t="s">
        <v>65</v>
      </c>
    </row>
    <row r="4" spans="2:6" ht="18" x14ac:dyDescent="0.2">
      <c r="B4" s="39" t="s">
        <v>5</v>
      </c>
      <c r="C4" s="40"/>
      <c r="D4" s="41"/>
      <c r="E4" s="4" t="s">
        <v>6</v>
      </c>
      <c r="F4" s="5" t="s">
        <v>7</v>
      </c>
    </row>
    <row r="5" spans="2:6" ht="16.899999999999999" customHeight="1" x14ac:dyDescent="0.2">
      <c r="B5" s="6" t="s">
        <v>8</v>
      </c>
      <c r="C5" s="7">
        <v>1</v>
      </c>
      <c r="D5" s="8" t="s">
        <v>9</v>
      </c>
      <c r="E5" s="9">
        <f>SUMIF('Accessories discount'!C:C,F3,'Accessories discount'!M:M)</f>
        <v>0</v>
      </c>
      <c r="F5" s="10"/>
    </row>
    <row r="6" spans="2:6" ht="16.899999999999999" customHeight="1" x14ac:dyDescent="0.2">
      <c r="B6" s="42" t="s">
        <v>10</v>
      </c>
      <c r="C6" s="43"/>
      <c r="D6" s="44"/>
      <c r="E6" s="9">
        <f>E5</f>
        <v>0</v>
      </c>
      <c r="F6" s="11"/>
    </row>
    <row r="7" spans="2:6" ht="16.899999999999999" customHeight="1" x14ac:dyDescent="0.2">
      <c r="B7" s="45" t="s">
        <v>11</v>
      </c>
      <c r="C7" s="12">
        <v>1</v>
      </c>
      <c r="D7" s="8" t="s">
        <v>12</v>
      </c>
      <c r="E7" s="9">
        <f>SUMIF('spare parts fee + service fee'!C:C,'monthly bill'!F3,'spare parts fee + service fee'!F:F)</f>
        <v>8450.9399999999987</v>
      </c>
      <c r="F7" s="11"/>
    </row>
    <row r="8" spans="2:6" ht="16.899999999999999" customHeight="1" x14ac:dyDescent="0.2">
      <c r="B8" s="45"/>
      <c r="C8" s="12">
        <v>2</v>
      </c>
      <c r="D8" s="8" t="s">
        <v>13</v>
      </c>
      <c r="E8" s="13">
        <f>SUMIF('spare parts fee + service fee'!C:C,'monthly bill'!F3,'spare parts fee + service fee'!G:G)</f>
        <v>475</v>
      </c>
      <c r="F8" s="11"/>
    </row>
    <row r="9" spans="2:6" ht="16.899999999999999" customHeight="1" x14ac:dyDescent="0.2">
      <c r="B9" s="45"/>
      <c r="C9" s="12">
        <v>3</v>
      </c>
      <c r="D9" s="8" t="s">
        <v>14</v>
      </c>
      <c r="E9" s="13">
        <f>SUMIF('other compensation'!C:C,'monthly bill'!F3,'other compensation'!M:M)</f>
        <v>0</v>
      </c>
      <c r="F9" s="11"/>
    </row>
    <row r="10" spans="2:6" ht="16.899999999999999" customHeight="1" x14ac:dyDescent="0.2">
      <c r="B10" s="45"/>
      <c r="C10" s="12">
        <v>4</v>
      </c>
      <c r="D10" s="8" t="s">
        <v>15</v>
      </c>
      <c r="E10" s="13">
        <f>SUMIF('DOA to CM'!I:I,'monthly bill'!F3,'DOA to CM'!B:B)</f>
        <v>1125</v>
      </c>
      <c r="F10" s="11"/>
    </row>
    <row r="11" spans="2:6" ht="16.899999999999999" customHeight="1" x14ac:dyDescent="0.2">
      <c r="B11" s="42" t="s">
        <v>16</v>
      </c>
      <c r="C11" s="43"/>
      <c r="D11" s="44"/>
      <c r="E11" s="13">
        <f>E7+E8+E9+E10</f>
        <v>10050.939999999999</v>
      </c>
      <c r="F11" s="11"/>
    </row>
    <row r="12" spans="2:6" ht="16.5" x14ac:dyDescent="0.2">
      <c r="B12" s="31" t="s">
        <v>17</v>
      </c>
      <c r="C12" s="32"/>
      <c r="D12" s="33"/>
      <c r="E12" s="14">
        <f>E11+E6</f>
        <v>10050.939999999999</v>
      </c>
      <c r="F12" s="11" t="s">
        <v>18</v>
      </c>
    </row>
  </sheetData>
  <mergeCells count="7">
    <mergeCell ref="B12:D12"/>
    <mergeCell ref="B2:F2"/>
    <mergeCell ref="C3:D3"/>
    <mergeCell ref="B4:D4"/>
    <mergeCell ref="B6:D6"/>
    <mergeCell ref="B7:B10"/>
    <mergeCell ref="B11:D1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4EAE-436B-4A13-92BF-0A1285A47CFA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.5" customWidth="1"/>
    <col min="2" max="2" width="17" customWidth="1"/>
    <col min="3" max="3" width="25" bestFit="1" customWidth="1"/>
    <col min="4" max="4" width="22.625" customWidth="1"/>
    <col min="5" max="5" width="14.75" bestFit="1" customWidth="1"/>
    <col min="6" max="6" width="12.5" bestFit="1" customWidth="1"/>
    <col min="7" max="7" width="16.25" customWidth="1"/>
    <col min="8" max="10" width="12.5" bestFit="1" customWidth="1"/>
    <col min="11" max="11" width="8.375" bestFit="1" customWidth="1"/>
    <col min="12" max="12" width="13.5" customWidth="1"/>
    <col min="13" max="13" width="10.75" bestFit="1" customWidth="1"/>
    <col min="14" max="14" width="10.5" bestFit="1" customWidth="1"/>
    <col min="15" max="15" width="12.5" bestFit="1" customWidth="1"/>
    <col min="16" max="16" width="25.875" bestFit="1" customWidth="1"/>
    <col min="17" max="17" width="9" style="16"/>
  </cols>
  <sheetData>
    <row r="1" spans="1:17" x14ac:dyDescent="0.2">
      <c r="A1" t="s">
        <v>19</v>
      </c>
      <c r="B1" t="s">
        <v>20</v>
      </c>
      <c r="C1" s="15" t="s">
        <v>21</v>
      </c>
      <c r="D1" s="15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s="16" t="s">
        <v>35</v>
      </c>
    </row>
    <row r="3" spans="1:17" x14ac:dyDescent="0.2">
      <c r="A3" t="s">
        <v>66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6518-9EA8-4C0D-A164-5A463C5D8FFC}">
  <sheetPr codeName="Sheet6"/>
  <dimension ref="A1:I25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6.75" customWidth="1"/>
    <col min="2" max="2" width="15.75" customWidth="1"/>
    <col min="3" max="3" width="25.375" bestFit="1" customWidth="1"/>
    <col min="4" max="5" width="15" customWidth="1"/>
    <col min="6" max="6" width="16.125" customWidth="1"/>
    <col min="7" max="7" width="27.25" customWidth="1"/>
    <col min="8" max="8" width="26.5" customWidth="1"/>
    <col min="9" max="9" width="15.5" customWidth="1"/>
  </cols>
  <sheetData>
    <row r="1" spans="1:9" ht="49.5" x14ac:dyDescent="0.2">
      <c r="A1" s="17" t="s">
        <v>0</v>
      </c>
      <c r="B1" s="18" t="s">
        <v>37</v>
      </c>
      <c r="C1" s="17" t="s">
        <v>38</v>
      </c>
      <c r="D1" s="18" t="s">
        <v>39</v>
      </c>
      <c r="E1" s="18" t="s">
        <v>40</v>
      </c>
      <c r="F1" s="18" t="s">
        <v>41</v>
      </c>
      <c r="G1" s="18" t="s">
        <v>42</v>
      </c>
      <c r="H1" s="18" t="s">
        <v>43</v>
      </c>
      <c r="I1" s="18" t="s">
        <v>44</v>
      </c>
    </row>
    <row r="2" spans="1:9" x14ac:dyDescent="0.2">
      <c r="A2" t="s">
        <v>63</v>
      </c>
      <c r="B2" t="s">
        <v>63</v>
      </c>
      <c r="C2" t="s">
        <v>64</v>
      </c>
      <c r="D2" t="s">
        <v>67</v>
      </c>
      <c r="E2" t="s">
        <v>68</v>
      </c>
      <c r="F2">
        <v>330.15</v>
      </c>
      <c r="G2">
        <v>25</v>
      </c>
      <c r="H2">
        <v>355.15</v>
      </c>
    </row>
    <row r="3" spans="1:9" x14ac:dyDescent="0.2">
      <c r="A3" t="s">
        <v>63</v>
      </c>
      <c r="B3" t="s">
        <v>63</v>
      </c>
      <c r="C3" t="s">
        <v>64</v>
      </c>
      <c r="D3" t="s">
        <v>67</v>
      </c>
      <c r="E3" t="s">
        <v>69</v>
      </c>
      <c r="F3">
        <v>378.69</v>
      </c>
      <c r="G3">
        <v>25</v>
      </c>
      <c r="H3">
        <v>403.69</v>
      </c>
    </row>
    <row r="4" spans="1:9" x14ac:dyDescent="0.2">
      <c r="A4" t="s">
        <v>63</v>
      </c>
      <c r="B4" t="s">
        <v>63</v>
      </c>
      <c r="C4" t="s">
        <v>64</v>
      </c>
      <c r="D4" t="s">
        <v>67</v>
      </c>
      <c r="E4" t="s">
        <v>70</v>
      </c>
      <c r="F4">
        <v>543.66999999999996</v>
      </c>
      <c r="G4">
        <v>15</v>
      </c>
      <c r="H4">
        <v>558.66999999999996</v>
      </c>
    </row>
    <row r="5" spans="1:9" x14ac:dyDescent="0.2">
      <c r="A5" t="s">
        <v>63</v>
      </c>
      <c r="B5" t="s">
        <v>63</v>
      </c>
      <c r="C5" t="s">
        <v>64</v>
      </c>
      <c r="D5" t="s">
        <v>67</v>
      </c>
      <c r="E5" t="s">
        <v>71</v>
      </c>
      <c r="F5">
        <v>185.82</v>
      </c>
      <c r="G5">
        <v>6</v>
      </c>
      <c r="H5">
        <v>191.82</v>
      </c>
    </row>
    <row r="6" spans="1:9" x14ac:dyDescent="0.2">
      <c r="A6" t="s">
        <v>63</v>
      </c>
      <c r="B6" t="s">
        <v>72</v>
      </c>
      <c r="C6" t="s">
        <v>64</v>
      </c>
      <c r="D6" t="s">
        <v>67</v>
      </c>
      <c r="E6" t="s">
        <v>73</v>
      </c>
      <c r="F6">
        <v>378.69</v>
      </c>
      <c r="G6">
        <v>25</v>
      </c>
      <c r="H6">
        <v>403.69</v>
      </c>
    </row>
    <row r="7" spans="1:9" x14ac:dyDescent="0.2">
      <c r="A7" t="s">
        <v>63</v>
      </c>
      <c r="B7" t="s">
        <v>74</v>
      </c>
      <c r="C7" t="s">
        <v>64</v>
      </c>
      <c r="D7" t="s">
        <v>67</v>
      </c>
      <c r="E7" t="s">
        <v>75</v>
      </c>
      <c r="F7">
        <v>9.3000000000000007</v>
      </c>
      <c r="G7">
        <v>15</v>
      </c>
      <c r="H7">
        <v>24.3</v>
      </c>
    </row>
    <row r="8" spans="1:9" x14ac:dyDescent="0.2">
      <c r="A8" t="s">
        <v>63</v>
      </c>
      <c r="B8" t="s">
        <v>63</v>
      </c>
      <c r="C8" t="s">
        <v>64</v>
      </c>
      <c r="D8" t="s">
        <v>67</v>
      </c>
      <c r="E8" t="s">
        <v>76</v>
      </c>
      <c r="F8">
        <v>378.69</v>
      </c>
      <c r="G8">
        <v>27</v>
      </c>
      <c r="H8">
        <v>405.69</v>
      </c>
    </row>
    <row r="9" spans="1:9" x14ac:dyDescent="0.2">
      <c r="A9" t="s">
        <v>63</v>
      </c>
      <c r="B9" t="s">
        <v>63</v>
      </c>
      <c r="C9" t="s">
        <v>64</v>
      </c>
      <c r="D9" t="s">
        <v>67</v>
      </c>
      <c r="E9" t="s">
        <v>77</v>
      </c>
      <c r="F9">
        <v>378.69</v>
      </c>
      <c r="G9">
        <v>27</v>
      </c>
      <c r="H9">
        <v>405.69</v>
      </c>
    </row>
    <row r="10" spans="1:9" x14ac:dyDescent="0.2">
      <c r="A10" t="s">
        <v>63</v>
      </c>
      <c r="B10" t="s">
        <v>63</v>
      </c>
      <c r="C10" t="s">
        <v>64</v>
      </c>
      <c r="D10" t="s">
        <v>67</v>
      </c>
      <c r="E10" t="s">
        <v>78</v>
      </c>
      <c r="F10">
        <v>316.35000000000002</v>
      </c>
      <c r="G10">
        <v>7</v>
      </c>
      <c r="H10">
        <v>323.35000000000002</v>
      </c>
    </row>
    <row r="11" spans="1:9" x14ac:dyDescent="0.2">
      <c r="A11" t="s">
        <v>63</v>
      </c>
      <c r="B11" t="s">
        <v>63</v>
      </c>
      <c r="C11" t="s">
        <v>64</v>
      </c>
      <c r="D11" t="s">
        <v>67</v>
      </c>
      <c r="E11" t="s">
        <v>79</v>
      </c>
      <c r="F11">
        <v>378.69</v>
      </c>
      <c r="G11">
        <v>27</v>
      </c>
      <c r="H11">
        <v>405.69</v>
      </c>
    </row>
    <row r="12" spans="1:9" x14ac:dyDescent="0.2">
      <c r="A12" t="s">
        <v>63</v>
      </c>
      <c r="B12" t="s">
        <v>63</v>
      </c>
      <c r="C12" t="s">
        <v>64</v>
      </c>
      <c r="D12" t="s">
        <v>67</v>
      </c>
      <c r="E12" t="s">
        <v>80</v>
      </c>
      <c r="F12">
        <v>741.15</v>
      </c>
      <c r="G12">
        <v>7</v>
      </c>
      <c r="H12">
        <v>748.15</v>
      </c>
    </row>
    <row r="13" spans="1:9" x14ac:dyDescent="0.2">
      <c r="A13" t="s">
        <v>63</v>
      </c>
      <c r="B13" t="s">
        <v>63</v>
      </c>
      <c r="C13" t="s">
        <v>64</v>
      </c>
      <c r="D13" t="s">
        <v>67</v>
      </c>
      <c r="E13" t="s">
        <v>81</v>
      </c>
      <c r="F13">
        <v>125.09</v>
      </c>
      <c r="G13">
        <v>27</v>
      </c>
      <c r="H13">
        <v>152.09</v>
      </c>
    </row>
    <row r="14" spans="1:9" x14ac:dyDescent="0.2">
      <c r="A14" t="s">
        <v>63</v>
      </c>
      <c r="B14" t="s">
        <v>63</v>
      </c>
      <c r="C14" t="s">
        <v>64</v>
      </c>
      <c r="D14" t="s">
        <v>67</v>
      </c>
      <c r="E14" t="s">
        <v>82</v>
      </c>
      <c r="F14">
        <v>261.25</v>
      </c>
      <c r="G14">
        <v>7</v>
      </c>
      <c r="H14">
        <v>268.25</v>
      </c>
    </row>
    <row r="15" spans="1:9" x14ac:dyDescent="0.2">
      <c r="A15" t="s">
        <v>63</v>
      </c>
      <c r="B15" t="s">
        <v>63</v>
      </c>
      <c r="C15" t="s">
        <v>64</v>
      </c>
      <c r="D15" t="s">
        <v>67</v>
      </c>
      <c r="E15" t="s">
        <v>83</v>
      </c>
      <c r="F15">
        <v>378.69</v>
      </c>
      <c r="G15">
        <v>27</v>
      </c>
      <c r="H15">
        <v>405.69</v>
      </c>
    </row>
    <row r="16" spans="1:9" x14ac:dyDescent="0.2">
      <c r="A16" t="s">
        <v>63</v>
      </c>
      <c r="B16" t="s">
        <v>63</v>
      </c>
      <c r="C16" t="s">
        <v>64</v>
      </c>
      <c r="D16" t="s">
        <v>67</v>
      </c>
      <c r="E16" t="s">
        <v>84</v>
      </c>
      <c r="F16">
        <v>378.69</v>
      </c>
      <c r="G16">
        <v>27</v>
      </c>
      <c r="H16">
        <v>405.69</v>
      </c>
    </row>
    <row r="17" spans="1:8" x14ac:dyDescent="0.2">
      <c r="A17" t="s">
        <v>63</v>
      </c>
      <c r="B17" t="s">
        <v>63</v>
      </c>
      <c r="C17" t="s">
        <v>64</v>
      </c>
      <c r="D17" t="s">
        <v>67</v>
      </c>
      <c r="E17" t="s">
        <v>85</v>
      </c>
      <c r="F17">
        <v>378.69</v>
      </c>
      <c r="G17">
        <v>27</v>
      </c>
      <c r="H17">
        <v>405.69</v>
      </c>
    </row>
    <row r="18" spans="1:8" x14ac:dyDescent="0.2">
      <c r="A18" t="s">
        <v>63</v>
      </c>
      <c r="B18" t="s">
        <v>63</v>
      </c>
      <c r="C18" t="s">
        <v>64</v>
      </c>
      <c r="D18" t="s">
        <v>67</v>
      </c>
      <c r="E18" t="s">
        <v>86</v>
      </c>
      <c r="F18">
        <v>155.59</v>
      </c>
      <c r="G18">
        <v>16</v>
      </c>
      <c r="H18">
        <v>171.59</v>
      </c>
    </row>
    <row r="19" spans="1:8" x14ac:dyDescent="0.2">
      <c r="A19" t="s">
        <v>63</v>
      </c>
      <c r="B19" t="s">
        <v>63</v>
      </c>
      <c r="C19" t="s">
        <v>64</v>
      </c>
      <c r="D19" t="s">
        <v>67</v>
      </c>
      <c r="E19" t="s">
        <v>87</v>
      </c>
      <c r="F19">
        <v>378.69</v>
      </c>
      <c r="G19">
        <v>27</v>
      </c>
      <c r="H19">
        <v>405.69</v>
      </c>
    </row>
    <row r="20" spans="1:8" x14ac:dyDescent="0.2">
      <c r="A20" t="s">
        <v>63</v>
      </c>
      <c r="B20" t="s">
        <v>63</v>
      </c>
      <c r="C20" t="s">
        <v>64</v>
      </c>
      <c r="D20" t="s">
        <v>67</v>
      </c>
      <c r="E20" t="s">
        <v>88</v>
      </c>
      <c r="F20">
        <v>125.09</v>
      </c>
      <c r="G20">
        <v>27</v>
      </c>
      <c r="H20">
        <v>152.09</v>
      </c>
    </row>
    <row r="21" spans="1:8" x14ac:dyDescent="0.2">
      <c r="A21" t="s">
        <v>63</v>
      </c>
      <c r="B21" t="s">
        <v>72</v>
      </c>
      <c r="C21" t="s">
        <v>64</v>
      </c>
      <c r="D21" t="s">
        <v>67</v>
      </c>
      <c r="E21" t="s">
        <v>89</v>
      </c>
      <c r="F21">
        <v>70.27</v>
      </c>
      <c r="G21">
        <v>7</v>
      </c>
      <c r="H21">
        <v>77.27</v>
      </c>
    </row>
    <row r="22" spans="1:8" x14ac:dyDescent="0.2">
      <c r="A22" t="s">
        <v>63</v>
      </c>
      <c r="B22" t="s">
        <v>90</v>
      </c>
      <c r="C22" t="s">
        <v>64</v>
      </c>
      <c r="D22" t="s">
        <v>67</v>
      </c>
      <c r="E22" t="s">
        <v>91</v>
      </c>
      <c r="F22">
        <v>378.69</v>
      </c>
      <c r="G22">
        <v>27</v>
      </c>
      <c r="H22">
        <v>405.69</v>
      </c>
    </row>
    <row r="23" spans="1:8" x14ac:dyDescent="0.2">
      <c r="A23" t="s">
        <v>63</v>
      </c>
      <c r="B23" t="s">
        <v>74</v>
      </c>
      <c r="C23" t="s">
        <v>64</v>
      </c>
      <c r="D23" t="s">
        <v>67</v>
      </c>
      <c r="E23" t="s">
        <v>92</v>
      </c>
      <c r="F23">
        <v>9.3000000000000007</v>
      </c>
      <c r="G23">
        <v>16</v>
      </c>
      <c r="H23">
        <v>25.3</v>
      </c>
    </row>
    <row r="24" spans="1:8" x14ac:dyDescent="0.2">
      <c r="A24" t="s">
        <v>63</v>
      </c>
      <c r="B24" t="s">
        <v>74</v>
      </c>
      <c r="C24" t="s">
        <v>64</v>
      </c>
      <c r="D24" t="s">
        <v>67</v>
      </c>
      <c r="E24" t="s">
        <v>93</v>
      </c>
      <c r="F24">
        <v>128.63999999999999</v>
      </c>
      <c r="G24">
        <v>7</v>
      </c>
      <c r="H24">
        <v>135.63999999999999</v>
      </c>
    </row>
    <row r="25" spans="1:8" x14ac:dyDescent="0.2">
      <c r="A25" t="s">
        <v>63</v>
      </c>
      <c r="B25" t="s">
        <v>94</v>
      </c>
      <c r="C25" t="s">
        <v>64</v>
      </c>
      <c r="D25" t="s">
        <v>67</v>
      </c>
      <c r="E25" t="s">
        <v>95</v>
      </c>
      <c r="F25">
        <v>1662.3699999999997</v>
      </c>
      <c r="G25">
        <v>27</v>
      </c>
      <c r="H25">
        <v>1689.3699999999997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09FA-F052-4EDD-AB02-3792A41AAF95}">
  <dimension ref="A1:G75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0.25" bestFit="1" customWidth="1"/>
    <col min="2" max="2" width="15.375" customWidth="1"/>
    <col min="3" max="4" width="15.375" bestFit="1" customWidth="1"/>
    <col min="5" max="5" width="20.625" bestFit="1" customWidth="1"/>
    <col min="6" max="6" width="46.875" bestFit="1" customWidth="1"/>
    <col min="7" max="7" width="11.875" bestFit="1" customWidth="1"/>
  </cols>
  <sheetData>
    <row r="1" spans="1:7" ht="33" x14ac:dyDescent="0.2">
      <c r="A1" s="18" t="s">
        <v>40</v>
      </c>
      <c r="B1" s="18" t="s">
        <v>37</v>
      </c>
      <c r="C1" s="17" t="s">
        <v>0</v>
      </c>
      <c r="D1" s="17" t="s">
        <v>38</v>
      </c>
      <c r="E1" s="18" t="s">
        <v>45</v>
      </c>
      <c r="F1" s="18" t="s">
        <v>46</v>
      </c>
      <c r="G1" s="18" t="s">
        <v>47</v>
      </c>
    </row>
    <row r="2" spans="1:7" x14ac:dyDescent="0.2">
      <c r="A2" t="s">
        <v>68</v>
      </c>
      <c r="B2" t="s">
        <v>63</v>
      </c>
      <c r="C2" t="s">
        <v>63</v>
      </c>
      <c r="D2" t="s">
        <v>64</v>
      </c>
      <c r="E2" t="s">
        <v>96</v>
      </c>
      <c r="F2" t="s">
        <v>97</v>
      </c>
      <c r="G2">
        <v>1</v>
      </c>
    </row>
    <row r="3" spans="1:7" x14ac:dyDescent="0.2">
      <c r="A3" t="s">
        <v>69</v>
      </c>
      <c r="B3" t="s">
        <v>63</v>
      </c>
      <c r="C3" t="s">
        <v>63</v>
      </c>
      <c r="D3" t="s">
        <v>64</v>
      </c>
      <c r="E3" t="s">
        <v>98</v>
      </c>
      <c r="F3" t="s">
        <v>99</v>
      </c>
      <c r="G3">
        <v>1</v>
      </c>
    </row>
    <row r="4" spans="1:7" x14ac:dyDescent="0.2">
      <c r="A4" t="s">
        <v>70</v>
      </c>
      <c r="B4" t="s">
        <v>63</v>
      </c>
      <c r="C4" t="s">
        <v>63</v>
      </c>
      <c r="D4" t="s">
        <v>64</v>
      </c>
      <c r="E4" t="s">
        <v>100</v>
      </c>
      <c r="F4" t="s">
        <v>101</v>
      </c>
      <c r="G4">
        <v>1</v>
      </c>
    </row>
    <row r="5" spans="1:7" x14ac:dyDescent="0.2">
      <c r="A5" t="s">
        <v>70</v>
      </c>
      <c r="B5" t="s">
        <v>63</v>
      </c>
      <c r="C5" t="s">
        <v>63</v>
      </c>
      <c r="D5" t="s">
        <v>64</v>
      </c>
      <c r="E5" t="s">
        <v>102</v>
      </c>
      <c r="F5" t="s">
        <v>103</v>
      </c>
      <c r="G5">
        <v>1</v>
      </c>
    </row>
    <row r="6" spans="1:7" x14ac:dyDescent="0.2">
      <c r="A6" t="s">
        <v>70</v>
      </c>
      <c r="B6" t="s">
        <v>63</v>
      </c>
      <c r="C6" t="s">
        <v>63</v>
      </c>
      <c r="D6" t="s">
        <v>64</v>
      </c>
      <c r="E6" t="s">
        <v>104</v>
      </c>
      <c r="F6" t="s">
        <v>105</v>
      </c>
      <c r="G6">
        <v>1</v>
      </c>
    </row>
    <row r="7" spans="1:7" x14ac:dyDescent="0.2">
      <c r="A7" t="s">
        <v>70</v>
      </c>
      <c r="B7" t="s">
        <v>63</v>
      </c>
      <c r="C7" t="s">
        <v>63</v>
      </c>
      <c r="D7" t="s">
        <v>64</v>
      </c>
      <c r="E7" t="s">
        <v>106</v>
      </c>
      <c r="F7" t="s">
        <v>107</v>
      </c>
      <c r="G7">
        <v>1</v>
      </c>
    </row>
    <row r="8" spans="1:7" x14ac:dyDescent="0.2">
      <c r="A8" t="s">
        <v>70</v>
      </c>
      <c r="B8" t="s">
        <v>63</v>
      </c>
      <c r="C8" t="s">
        <v>63</v>
      </c>
      <c r="D8" t="s">
        <v>64</v>
      </c>
      <c r="E8" t="s">
        <v>108</v>
      </c>
      <c r="F8" t="s">
        <v>109</v>
      </c>
      <c r="G8">
        <v>1</v>
      </c>
    </row>
    <row r="9" spans="1:7" x14ac:dyDescent="0.2">
      <c r="A9" t="s">
        <v>70</v>
      </c>
      <c r="B9" t="s">
        <v>63</v>
      </c>
      <c r="C9" t="s">
        <v>63</v>
      </c>
      <c r="D9" t="s">
        <v>64</v>
      </c>
      <c r="E9" t="s">
        <v>110</v>
      </c>
      <c r="F9" t="s">
        <v>111</v>
      </c>
      <c r="G9">
        <v>1</v>
      </c>
    </row>
    <row r="10" spans="1:7" x14ac:dyDescent="0.2">
      <c r="A10" t="s">
        <v>70</v>
      </c>
      <c r="B10" t="s">
        <v>63</v>
      </c>
      <c r="C10" t="s">
        <v>63</v>
      </c>
      <c r="D10" t="s">
        <v>64</v>
      </c>
      <c r="E10" t="s">
        <v>112</v>
      </c>
      <c r="F10" t="s">
        <v>113</v>
      </c>
      <c r="G10">
        <v>2</v>
      </c>
    </row>
    <row r="11" spans="1:7" x14ac:dyDescent="0.2">
      <c r="A11" t="s">
        <v>70</v>
      </c>
      <c r="B11" t="s">
        <v>63</v>
      </c>
      <c r="C11" t="s">
        <v>63</v>
      </c>
      <c r="D11" t="s">
        <v>64</v>
      </c>
      <c r="E11" t="s">
        <v>114</v>
      </c>
      <c r="F11" t="s">
        <v>115</v>
      </c>
      <c r="G11">
        <v>1</v>
      </c>
    </row>
    <row r="12" spans="1:7" x14ac:dyDescent="0.2">
      <c r="A12" t="s">
        <v>70</v>
      </c>
      <c r="B12" t="s">
        <v>63</v>
      </c>
      <c r="C12" t="s">
        <v>63</v>
      </c>
      <c r="D12" t="s">
        <v>64</v>
      </c>
      <c r="E12" t="s">
        <v>116</v>
      </c>
      <c r="F12" t="s">
        <v>117</v>
      </c>
      <c r="G12">
        <v>1</v>
      </c>
    </row>
    <row r="13" spans="1:7" x14ac:dyDescent="0.2">
      <c r="A13" t="s">
        <v>70</v>
      </c>
      <c r="B13" t="s">
        <v>63</v>
      </c>
      <c r="C13" t="s">
        <v>63</v>
      </c>
      <c r="D13" t="s">
        <v>64</v>
      </c>
      <c r="E13" t="s">
        <v>118</v>
      </c>
      <c r="F13" t="s">
        <v>119</v>
      </c>
      <c r="G13">
        <v>2</v>
      </c>
    </row>
    <row r="14" spans="1:7" x14ac:dyDescent="0.2">
      <c r="A14" t="s">
        <v>70</v>
      </c>
      <c r="B14" t="s">
        <v>63</v>
      </c>
      <c r="C14" t="s">
        <v>63</v>
      </c>
      <c r="D14" t="s">
        <v>64</v>
      </c>
      <c r="E14" t="s">
        <v>120</v>
      </c>
      <c r="F14" t="s">
        <v>121</v>
      </c>
      <c r="G14">
        <v>1</v>
      </c>
    </row>
    <row r="15" spans="1:7" x14ac:dyDescent="0.2">
      <c r="A15" t="s">
        <v>70</v>
      </c>
      <c r="B15" t="s">
        <v>63</v>
      </c>
      <c r="C15" t="s">
        <v>63</v>
      </c>
      <c r="D15" t="s">
        <v>64</v>
      </c>
      <c r="E15" t="s">
        <v>122</v>
      </c>
      <c r="F15" t="s">
        <v>123</v>
      </c>
      <c r="G15">
        <v>1</v>
      </c>
    </row>
    <row r="16" spans="1:7" x14ac:dyDescent="0.2">
      <c r="A16" t="s">
        <v>70</v>
      </c>
      <c r="B16" t="s">
        <v>63</v>
      </c>
      <c r="C16" t="s">
        <v>63</v>
      </c>
      <c r="D16" t="s">
        <v>64</v>
      </c>
      <c r="E16" t="s">
        <v>124</v>
      </c>
      <c r="F16" t="s">
        <v>125</v>
      </c>
      <c r="G16">
        <v>1</v>
      </c>
    </row>
    <row r="17" spans="1:7" x14ac:dyDescent="0.2">
      <c r="A17" t="s">
        <v>70</v>
      </c>
      <c r="B17" t="s">
        <v>63</v>
      </c>
      <c r="C17" t="s">
        <v>63</v>
      </c>
      <c r="D17" t="s">
        <v>64</v>
      </c>
      <c r="E17" t="s">
        <v>126</v>
      </c>
      <c r="F17" t="s">
        <v>127</v>
      </c>
      <c r="G17">
        <v>1</v>
      </c>
    </row>
    <row r="18" spans="1:7" x14ac:dyDescent="0.2">
      <c r="A18" t="s">
        <v>70</v>
      </c>
      <c r="B18" t="s">
        <v>63</v>
      </c>
      <c r="C18" t="s">
        <v>63</v>
      </c>
      <c r="D18" t="s">
        <v>64</v>
      </c>
      <c r="E18" t="s">
        <v>128</v>
      </c>
      <c r="F18" t="s">
        <v>129</v>
      </c>
      <c r="G18">
        <v>32</v>
      </c>
    </row>
    <row r="19" spans="1:7" x14ac:dyDescent="0.2">
      <c r="A19" t="s">
        <v>70</v>
      </c>
      <c r="B19" t="s">
        <v>63</v>
      </c>
      <c r="C19" t="s">
        <v>63</v>
      </c>
      <c r="D19" t="s">
        <v>64</v>
      </c>
      <c r="E19" t="s">
        <v>130</v>
      </c>
      <c r="F19" t="s">
        <v>131</v>
      </c>
      <c r="G19">
        <v>1</v>
      </c>
    </row>
    <row r="20" spans="1:7" x14ac:dyDescent="0.2">
      <c r="A20" t="s">
        <v>70</v>
      </c>
      <c r="B20" t="s">
        <v>63</v>
      </c>
      <c r="C20" t="s">
        <v>63</v>
      </c>
      <c r="D20" t="s">
        <v>64</v>
      </c>
      <c r="E20" t="s">
        <v>132</v>
      </c>
      <c r="F20" t="s">
        <v>133</v>
      </c>
      <c r="G20">
        <v>1</v>
      </c>
    </row>
    <row r="21" spans="1:7" x14ac:dyDescent="0.2">
      <c r="A21" t="s">
        <v>70</v>
      </c>
      <c r="B21" t="s">
        <v>63</v>
      </c>
      <c r="C21" t="s">
        <v>63</v>
      </c>
      <c r="D21" t="s">
        <v>64</v>
      </c>
      <c r="E21" t="s">
        <v>134</v>
      </c>
      <c r="F21" t="s">
        <v>135</v>
      </c>
      <c r="G21">
        <v>1</v>
      </c>
    </row>
    <row r="22" spans="1:7" x14ac:dyDescent="0.2">
      <c r="A22" t="s">
        <v>70</v>
      </c>
      <c r="B22" t="s">
        <v>63</v>
      </c>
      <c r="C22" t="s">
        <v>63</v>
      </c>
      <c r="D22" t="s">
        <v>64</v>
      </c>
      <c r="E22" t="s">
        <v>136</v>
      </c>
      <c r="F22" t="s">
        <v>137</v>
      </c>
      <c r="G22">
        <v>1</v>
      </c>
    </row>
    <row r="23" spans="1:7" x14ac:dyDescent="0.2">
      <c r="A23" t="s">
        <v>70</v>
      </c>
      <c r="B23" t="s">
        <v>63</v>
      </c>
      <c r="C23" t="s">
        <v>63</v>
      </c>
      <c r="D23" t="s">
        <v>64</v>
      </c>
      <c r="E23" t="s">
        <v>138</v>
      </c>
      <c r="F23" t="s">
        <v>139</v>
      </c>
      <c r="G23">
        <v>4</v>
      </c>
    </row>
    <row r="24" spans="1:7" x14ac:dyDescent="0.2">
      <c r="A24" t="s">
        <v>70</v>
      </c>
      <c r="B24" t="s">
        <v>63</v>
      </c>
      <c r="C24" t="s">
        <v>63</v>
      </c>
      <c r="D24" t="s">
        <v>64</v>
      </c>
      <c r="E24" t="s">
        <v>140</v>
      </c>
      <c r="F24" t="s">
        <v>141</v>
      </c>
      <c r="G24">
        <v>1</v>
      </c>
    </row>
    <row r="25" spans="1:7" x14ac:dyDescent="0.2">
      <c r="A25" t="s">
        <v>70</v>
      </c>
      <c r="B25" t="s">
        <v>63</v>
      </c>
      <c r="C25" t="s">
        <v>63</v>
      </c>
      <c r="D25" t="s">
        <v>64</v>
      </c>
      <c r="E25" t="s">
        <v>142</v>
      </c>
      <c r="F25" t="s">
        <v>143</v>
      </c>
      <c r="G25">
        <v>1</v>
      </c>
    </row>
    <row r="26" spans="1:7" x14ac:dyDescent="0.2">
      <c r="A26" t="s">
        <v>70</v>
      </c>
      <c r="B26" t="s">
        <v>63</v>
      </c>
      <c r="C26" t="s">
        <v>63</v>
      </c>
      <c r="D26" t="s">
        <v>64</v>
      </c>
      <c r="E26" t="s">
        <v>144</v>
      </c>
      <c r="F26" t="s">
        <v>145</v>
      </c>
      <c r="G26">
        <v>1</v>
      </c>
    </row>
    <row r="27" spans="1:7" x14ac:dyDescent="0.2">
      <c r="A27" t="s">
        <v>70</v>
      </c>
      <c r="B27" t="s">
        <v>63</v>
      </c>
      <c r="C27" t="s">
        <v>63</v>
      </c>
      <c r="D27" t="s">
        <v>64</v>
      </c>
      <c r="E27" t="s">
        <v>146</v>
      </c>
      <c r="F27" t="s">
        <v>147</v>
      </c>
      <c r="G27">
        <v>2</v>
      </c>
    </row>
    <row r="28" spans="1:7" x14ac:dyDescent="0.2">
      <c r="A28" t="s">
        <v>70</v>
      </c>
      <c r="B28" t="s">
        <v>63</v>
      </c>
      <c r="C28" t="s">
        <v>63</v>
      </c>
      <c r="D28" t="s">
        <v>64</v>
      </c>
      <c r="E28" t="s">
        <v>148</v>
      </c>
      <c r="F28" t="s">
        <v>149</v>
      </c>
      <c r="G28">
        <v>1</v>
      </c>
    </row>
    <row r="29" spans="1:7" x14ac:dyDescent="0.2">
      <c r="A29" t="s">
        <v>70</v>
      </c>
      <c r="B29" t="s">
        <v>63</v>
      </c>
      <c r="C29" t="s">
        <v>63</v>
      </c>
      <c r="D29" t="s">
        <v>64</v>
      </c>
      <c r="E29" t="s">
        <v>150</v>
      </c>
      <c r="F29" t="s">
        <v>151</v>
      </c>
      <c r="G29">
        <v>2</v>
      </c>
    </row>
    <row r="30" spans="1:7" x14ac:dyDescent="0.2">
      <c r="A30" t="s">
        <v>70</v>
      </c>
      <c r="B30" t="s">
        <v>63</v>
      </c>
      <c r="C30" t="s">
        <v>63</v>
      </c>
      <c r="D30" t="s">
        <v>64</v>
      </c>
      <c r="E30" t="s">
        <v>152</v>
      </c>
      <c r="F30" t="s">
        <v>153</v>
      </c>
      <c r="G30">
        <v>1</v>
      </c>
    </row>
    <row r="31" spans="1:7" x14ac:dyDescent="0.2">
      <c r="A31" t="s">
        <v>70</v>
      </c>
      <c r="B31" t="s">
        <v>63</v>
      </c>
      <c r="C31" t="s">
        <v>63</v>
      </c>
      <c r="D31" t="s">
        <v>64</v>
      </c>
      <c r="E31" t="s">
        <v>154</v>
      </c>
      <c r="F31" t="s">
        <v>155</v>
      </c>
      <c r="G31">
        <v>1</v>
      </c>
    </row>
    <row r="32" spans="1:7" x14ac:dyDescent="0.2">
      <c r="A32" t="s">
        <v>70</v>
      </c>
      <c r="B32" t="s">
        <v>63</v>
      </c>
      <c r="C32" t="s">
        <v>63</v>
      </c>
      <c r="D32" t="s">
        <v>64</v>
      </c>
      <c r="E32" t="s">
        <v>156</v>
      </c>
      <c r="F32" t="s">
        <v>157</v>
      </c>
      <c r="G32">
        <v>2</v>
      </c>
    </row>
    <row r="33" spans="1:7" x14ac:dyDescent="0.2">
      <c r="A33" t="s">
        <v>70</v>
      </c>
      <c r="B33" t="s">
        <v>63</v>
      </c>
      <c r="C33" t="s">
        <v>63</v>
      </c>
      <c r="D33" t="s">
        <v>64</v>
      </c>
      <c r="E33" t="s">
        <v>158</v>
      </c>
      <c r="F33" t="s">
        <v>159</v>
      </c>
      <c r="G33">
        <v>1</v>
      </c>
    </row>
    <row r="34" spans="1:7" x14ac:dyDescent="0.2">
      <c r="A34" t="s">
        <v>70</v>
      </c>
      <c r="B34" t="s">
        <v>63</v>
      </c>
      <c r="C34" t="s">
        <v>63</v>
      </c>
      <c r="D34" t="s">
        <v>64</v>
      </c>
      <c r="E34" t="s">
        <v>160</v>
      </c>
      <c r="F34" t="s">
        <v>161</v>
      </c>
      <c r="G34">
        <v>1</v>
      </c>
    </row>
    <row r="35" spans="1:7" x14ac:dyDescent="0.2">
      <c r="A35" t="s">
        <v>70</v>
      </c>
      <c r="B35" t="s">
        <v>63</v>
      </c>
      <c r="C35" t="s">
        <v>63</v>
      </c>
      <c r="D35" t="s">
        <v>64</v>
      </c>
      <c r="E35" t="s">
        <v>162</v>
      </c>
      <c r="F35" t="s">
        <v>163</v>
      </c>
      <c r="G35">
        <v>1</v>
      </c>
    </row>
    <row r="36" spans="1:7" x14ac:dyDescent="0.2">
      <c r="A36" t="s">
        <v>70</v>
      </c>
      <c r="B36" t="s">
        <v>63</v>
      </c>
      <c r="C36" t="s">
        <v>63</v>
      </c>
      <c r="D36" t="s">
        <v>64</v>
      </c>
      <c r="E36" t="s">
        <v>164</v>
      </c>
      <c r="F36" t="s">
        <v>165</v>
      </c>
      <c r="G36">
        <v>1</v>
      </c>
    </row>
    <row r="37" spans="1:7" x14ac:dyDescent="0.2">
      <c r="A37" t="s">
        <v>73</v>
      </c>
      <c r="B37" t="s">
        <v>72</v>
      </c>
      <c r="C37" t="s">
        <v>63</v>
      </c>
      <c r="D37" t="s">
        <v>64</v>
      </c>
      <c r="E37" t="s">
        <v>98</v>
      </c>
      <c r="F37" t="s">
        <v>99</v>
      </c>
      <c r="G37">
        <v>1</v>
      </c>
    </row>
    <row r="38" spans="1:7" x14ac:dyDescent="0.2">
      <c r="A38" t="s">
        <v>71</v>
      </c>
      <c r="B38" t="s">
        <v>63</v>
      </c>
      <c r="C38" t="s">
        <v>63</v>
      </c>
      <c r="D38" t="s">
        <v>64</v>
      </c>
      <c r="E38" t="s">
        <v>166</v>
      </c>
      <c r="F38" t="s">
        <v>167</v>
      </c>
      <c r="G38">
        <v>1</v>
      </c>
    </row>
    <row r="39" spans="1:7" x14ac:dyDescent="0.2">
      <c r="A39" t="s">
        <v>75</v>
      </c>
      <c r="B39" t="s">
        <v>74</v>
      </c>
      <c r="C39" t="s">
        <v>63</v>
      </c>
      <c r="D39" t="s">
        <v>64</v>
      </c>
      <c r="E39" t="s">
        <v>168</v>
      </c>
      <c r="F39" t="s">
        <v>169</v>
      </c>
      <c r="G39">
        <v>1</v>
      </c>
    </row>
    <row r="40" spans="1:7" x14ac:dyDescent="0.2">
      <c r="A40" t="s">
        <v>76</v>
      </c>
      <c r="B40" t="s">
        <v>63</v>
      </c>
      <c r="C40" t="s">
        <v>63</v>
      </c>
      <c r="D40" t="s">
        <v>64</v>
      </c>
      <c r="E40" t="s">
        <v>98</v>
      </c>
      <c r="F40" t="s">
        <v>99</v>
      </c>
      <c r="G40">
        <v>1</v>
      </c>
    </row>
    <row r="41" spans="1:7" x14ac:dyDescent="0.2">
      <c r="A41" t="s">
        <v>77</v>
      </c>
      <c r="B41" t="s">
        <v>63</v>
      </c>
      <c r="C41" t="s">
        <v>63</v>
      </c>
      <c r="D41" t="s">
        <v>64</v>
      </c>
      <c r="E41" t="s">
        <v>98</v>
      </c>
      <c r="F41" t="s">
        <v>99</v>
      </c>
      <c r="G41">
        <v>1</v>
      </c>
    </row>
    <row r="42" spans="1:7" x14ac:dyDescent="0.2">
      <c r="A42" t="s">
        <v>78</v>
      </c>
      <c r="B42" t="s">
        <v>63</v>
      </c>
      <c r="C42" t="s">
        <v>63</v>
      </c>
      <c r="D42" t="s">
        <v>64</v>
      </c>
      <c r="E42" t="s">
        <v>170</v>
      </c>
      <c r="F42" t="s">
        <v>171</v>
      </c>
      <c r="G42">
        <v>1</v>
      </c>
    </row>
    <row r="43" spans="1:7" x14ac:dyDescent="0.2">
      <c r="A43" t="s">
        <v>79</v>
      </c>
      <c r="B43" t="s">
        <v>63</v>
      </c>
      <c r="C43" t="s">
        <v>63</v>
      </c>
      <c r="D43" t="s">
        <v>64</v>
      </c>
      <c r="E43" t="s">
        <v>98</v>
      </c>
      <c r="F43" t="s">
        <v>99</v>
      </c>
      <c r="G43">
        <v>1</v>
      </c>
    </row>
    <row r="44" spans="1:7" x14ac:dyDescent="0.2">
      <c r="A44" t="s">
        <v>80</v>
      </c>
      <c r="B44" t="s">
        <v>63</v>
      </c>
      <c r="C44" t="s">
        <v>63</v>
      </c>
      <c r="D44" t="s">
        <v>64</v>
      </c>
      <c r="E44" t="s">
        <v>172</v>
      </c>
      <c r="F44" t="s">
        <v>173</v>
      </c>
      <c r="G44">
        <v>1</v>
      </c>
    </row>
    <row r="45" spans="1:7" x14ac:dyDescent="0.2">
      <c r="A45" t="s">
        <v>81</v>
      </c>
      <c r="B45" t="s">
        <v>63</v>
      </c>
      <c r="C45" t="s">
        <v>63</v>
      </c>
      <c r="D45" t="s">
        <v>64</v>
      </c>
      <c r="E45" t="s">
        <v>174</v>
      </c>
      <c r="F45" t="s">
        <v>175</v>
      </c>
      <c r="G45">
        <v>1</v>
      </c>
    </row>
    <row r="46" spans="1:7" x14ac:dyDescent="0.2">
      <c r="A46" t="s">
        <v>82</v>
      </c>
      <c r="B46" t="s">
        <v>63</v>
      </c>
      <c r="C46" t="s">
        <v>63</v>
      </c>
      <c r="D46" t="s">
        <v>64</v>
      </c>
      <c r="E46" t="s">
        <v>176</v>
      </c>
      <c r="F46" t="s">
        <v>177</v>
      </c>
      <c r="G46">
        <v>1</v>
      </c>
    </row>
    <row r="47" spans="1:7" x14ac:dyDescent="0.2">
      <c r="A47" t="s">
        <v>89</v>
      </c>
      <c r="B47" t="s">
        <v>72</v>
      </c>
      <c r="C47" t="s">
        <v>63</v>
      </c>
      <c r="D47" t="s">
        <v>64</v>
      </c>
      <c r="E47" t="s">
        <v>178</v>
      </c>
      <c r="F47" t="s">
        <v>179</v>
      </c>
      <c r="G47">
        <v>1</v>
      </c>
    </row>
    <row r="48" spans="1:7" x14ac:dyDescent="0.2">
      <c r="A48" t="s">
        <v>89</v>
      </c>
      <c r="B48" t="s">
        <v>72</v>
      </c>
      <c r="C48" t="s">
        <v>63</v>
      </c>
      <c r="D48" t="s">
        <v>64</v>
      </c>
      <c r="E48" t="s">
        <v>180</v>
      </c>
      <c r="F48" t="s">
        <v>181</v>
      </c>
      <c r="G48">
        <v>1</v>
      </c>
    </row>
    <row r="49" spans="1:7" x14ac:dyDescent="0.2">
      <c r="A49" t="s">
        <v>83</v>
      </c>
      <c r="B49" t="s">
        <v>63</v>
      </c>
      <c r="C49" t="s">
        <v>63</v>
      </c>
      <c r="D49" t="s">
        <v>64</v>
      </c>
      <c r="E49" t="s">
        <v>98</v>
      </c>
      <c r="F49" t="s">
        <v>99</v>
      </c>
      <c r="G49">
        <v>1</v>
      </c>
    </row>
    <row r="50" spans="1:7" x14ac:dyDescent="0.2">
      <c r="A50" t="s">
        <v>91</v>
      </c>
      <c r="B50" t="s">
        <v>90</v>
      </c>
      <c r="C50" t="s">
        <v>63</v>
      </c>
      <c r="D50" t="s">
        <v>64</v>
      </c>
      <c r="E50" t="s">
        <v>98</v>
      </c>
      <c r="F50" t="s">
        <v>99</v>
      </c>
      <c r="G50">
        <v>1</v>
      </c>
    </row>
    <row r="51" spans="1:7" x14ac:dyDescent="0.2">
      <c r="A51" t="s">
        <v>84</v>
      </c>
      <c r="B51" t="s">
        <v>63</v>
      </c>
      <c r="C51" t="s">
        <v>63</v>
      </c>
      <c r="D51" t="s">
        <v>64</v>
      </c>
      <c r="E51" t="s">
        <v>98</v>
      </c>
      <c r="F51" t="s">
        <v>99</v>
      </c>
      <c r="G51">
        <v>1</v>
      </c>
    </row>
    <row r="52" spans="1:7" x14ac:dyDescent="0.2">
      <c r="A52" t="s">
        <v>92</v>
      </c>
      <c r="B52" t="s">
        <v>74</v>
      </c>
      <c r="C52" t="s">
        <v>63</v>
      </c>
      <c r="D52" t="s">
        <v>64</v>
      </c>
      <c r="E52" t="s">
        <v>168</v>
      </c>
      <c r="F52" t="s">
        <v>169</v>
      </c>
      <c r="G52">
        <v>1</v>
      </c>
    </row>
    <row r="53" spans="1:7" x14ac:dyDescent="0.2">
      <c r="A53" t="s">
        <v>85</v>
      </c>
      <c r="B53" t="s">
        <v>63</v>
      </c>
      <c r="C53" t="s">
        <v>63</v>
      </c>
      <c r="D53" t="s">
        <v>64</v>
      </c>
      <c r="E53" t="s">
        <v>98</v>
      </c>
      <c r="F53" t="s">
        <v>99</v>
      </c>
      <c r="G53">
        <v>1</v>
      </c>
    </row>
    <row r="54" spans="1:7" x14ac:dyDescent="0.2">
      <c r="A54" t="s">
        <v>93</v>
      </c>
      <c r="B54" t="s">
        <v>74</v>
      </c>
      <c r="C54" t="s">
        <v>63</v>
      </c>
      <c r="D54" t="s">
        <v>64</v>
      </c>
      <c r="E54" t="s">
        <v>182</v>
      </c>
      <c r="F54" t="s">
        <v>183</v>
      </c>
      <c r="G54">
        <v>1</v>
      </c>
    </row>
    <row r="55" spans="1:7" x14ac:dyDescent="0.2">
      <c r="A55" t="s">
        <v>86</v>
      </c>
      <c r="B55" t="s">
        <v>63</v>
      </c>
      <c r="C55" t="s">
        <v>63</v>
      </c>
      <c r="D55" t="s">
        <v>64</v>
      </c>
      <c r="E55" t="s">
        <v>184</v>
      </c>
      <c r="F55" t="s">
        <v>185</v>
      </c>
      <c r="G55">
        <v>1</v>
      </c>
    </row>
    <row r="56" spans="1:7" x14ac:dyDescent="0.2">
      <c r="A56" t="s">
        <v>86</v>
      </c>
      <c r="B56" t="s">
        <v>63</v>
      </c>
      <c r="C56" t="s">
        <v>63</v>
      </c>
      <c r="D56" t="s">
        <v>64</v>
      </c>
      <c r="E56" t="s">
        <v>186</v>
      </c>
      <c r="F56" t="s">
        <v>187</v>
      </c>
      <c r="G56">
        <v>1</v>
      </c>
    </row>
    <row r="57" spans="1:7" x14ac:dyDescent="0.2">
      <c r="A57" t="s">
        <v>86</v>
      </c>
      <c r="B57" t="s">
        <v>63</v>
      </c>
      <c r="C57" t="s">
        <v>63</v>
      </c>
      <c r="D57" t="s">
        <v>64</v>
      </c>
      <c r="E57" t="s">
        <v>188</v>
      </c>
      <c r="F57" t="s">
        <v>189</v>
      </c>
      <c r="G57">
        <v>1</v>
      </c>
    </row>
    <row r="58" spans="1:7" x14ac:dyDescent="0.2">
      <c r="A58" t="s">
        <v>87</v>
      </c>
      <c r="B58" t="s">
        <v>63</v>
      </c>
      <c r="C58" t="s">
        <v>63</v>
      </c>
      <c r="D58" t="s">
        <v>64</v>
      </c>
      <c r="E58" t="s">
        <v>98</v>
      </c>
      <c r="F58" t="s">
        <v>99</v>
      </c>
      <c r="G58">
        <v>1</v>
      </c>
    </row>
    <row r="59" spans="1:7" x14ac:dyDescent="0.2">
      <c r="A59" t="s">
        <v>88</v>
      </c>
      <c r="B59" t="s">
        <v>63</v>
      </c>
      <c r="C59" t="s">
        <v>63</v>
      </c>
      <c r="D59" t="s">
        <v>64</v>
      </c>
      <c r="E59" t="s">
        <v>174</v>
      </c>
      <c r="F59" t="s">
        <v>175</v>
      </c>
      <c r="G59">
        <v>1</v>
      </c>
    </row>
    <row r="60" spans="1:7" x14ac:dyDescent="0.2">
      <c r="A60" t="s">
        <v>95</v>
      </c>
      <c r="B60" t="s">
        <v>94</v>
      </c>
      <c r="C60" t="s">
        <v>63</v>
      </c>
      <c r="D60" t="s">
        <v>64</v>
      </c>
      <c r="E60" t="s">
        <v>190</v>
      </c>
      <c r="F60" t="s">
        <v>191</v>
      </c>
      <c r="G60">
        <v>1</v>
      </c>
    </row>
    <row r="61" spans="1:7" x14ac:dyDescent="0.2">
      <c r="A61" t="s">
        <v>95</v>
      </c>
      <c r="B61" t="s">
        <v>94</v>
      </c>
      <c r="C61" t="s">
        <v>63</v>
      </c>
      <c r="D61" t="s">
        <v>64</v>
      </c>
      <c r="E61" t="s">
        <v>164</v>
      </c>
      <c r="F61" t="s">
        <v>165</v>
      </c>
      <c r="G61">
        <v>1</v>
      </c>
    </row>
    <row r="62" spans="1:7" x14ac:dyDescent="0.2">
      <c r="A62" t="s">
        <v>95</v>
      </c>
      <c r="B62" t="s">
        <v>94</v>
      </c>
      <c r="C62" t="s">
        <v>63</v>
      </c>
      <c r="D62" t="s">
        <v>64</v>
      </c>
      <c r="E62" t="s">
        <v>182</v>
      </c>
      <c r="F62" t="s">
        <v>183</v>
      </c>
      <c r="G62">
        <v>3</v>
      </c>
    </row>
    <row r="63" spans="1:7" x14ac:dyDescent="0.2">
      <c r="A63" t="s">
        <v>95</v>
      </c>
      <c r="B63" t="s">
        <v>94</v>
      </c>
      <c r="C63" t="s">
        <v>63</v>
      </c>
      <c r="D63" t="s">
        <v>64</v>
      </c>
      <c r="E63" t="s">
        <v>192</v>
      </c>
      <c r="F63" t="s">
        <v>193</v>
      </c>
      <c r="G63">
        <v>1</v>
      </c>
    </row>
    <row r="64" spans="1:7" x14ac:dyDescent="0.2">
      <c r="A64" t="s">
        <v>95</v>
      </c>
      <c r="B64" t="s">
        <v>94</v>
      </c>
      <c r="C64" t="s">
        <v>63</v>
      </c>
      <c r="D64" t="s">
        <v>64</v>
      </c>
      <c r="E64" t="s">
        <v>194</v>
      </c>
      <c r="F64" t="s">
        <v>195</v>
      </c>
      <c r="G64">
        <v>1</v>
      </c>
    </row>
    <row r="65" spans="1:7" x14ac:dyDescent="0.2">
      <c r="A65" t="s">
        <v>95</v>
      </c>
      <c r="B65" t="s">
        <v>94</v>
      </c>
      <c r="C65" t="s">
        <v>63</v>
      </c>
      <c r="D65" t="s">
        <v>64</v>
      </c>
      <c r="E65" t="s">
        <v>196</v>
      </c>
      <c r="F65" t="s">
        <v>197</v>
      </c>
      <c r="G65">
        <v>2</v>
      </c>
    </row>
    <row r="66" spans="1:7" x14ac:dyDescent="0.2">
      <c r="A66" t="s">
        <v>95</v>
      </c>
      <c r="B66" t="s">
        <v>94</v>
      </c>
      <c r="C66" t="s">
        <v>63</v>
      </c>
      <c r="D66" t="s">
        <v>64</v>
      </c>
      <c r="E66" t="s">
        <v>198</v>
      </c>
      <c r="F66" t="s">
        <v>199</v>
      </c>
      <c r="G66">
        <v>1</v>
      </c>
    </row>
    <row r="67" spans="1:7" x14ac:dyDescent="0.2">
      <c r="A67" t="s">
        <v>95</v>
      </c>
      <c r="B67" t="s">
        <v>94</v>
      </c>
      <c r="C67" t="s">
        <v>63</v>
      </c>
      <c r="D67" t="s">
        <v>64</v>
      </c>
      <c r="E67" t="s">
        <v>200</v>
      </c>
      <c r="F67" t="s">
        <v>201</v>
      </c>
      <c r="G67">
        <v>1</v>
      </c>
    </row>
    <row r="68" spans="1:7" x14ac:dyDescent="0.2">
      <c r="A68" t="s">
        <v>95</v>
      </c>
      <c r="B68" t="s">
        <v>94</v>
      </c>
      <c r="C68" t="s">
        <v>63</v>
      </c>
      <c r="D68" t="s">
        <v>64</v>
      </c>
      <c r="E68" t="s">
        <v>202</v>
      </c>
      <c r="F68" t="s">
        <v>203</v>
      </c>
      <c r="G68">
        <v>1</v>
      </c>
    </row>
    <row r="69" spans="1:7" x14ac:dyDescent="0.2">
      <c r="A69" t="s">
        <v>95</v>
      </c>
      <c r="B69" t="s">
        <v>94</v>
      </c>
      <c r="C69" t="s">
        <v>63</v>
      </c>
      <c r="D69" t="s">
        <v>64</v>
      </c>
      <c r="E69" t="s">
        <v>204</v>
      </c>
      <c r="F69" t="s">
        <v>205</v>
      </c>
      <c r="G69">
        <v>2</v>
      </c>
    </row>
    <row r="70" spans="1:7" x14ac:dyDescent="0.2">
      <c r="A70" t="s">
        <v>95</v>
      </c>
      <c r="B70" t="s">
        <v>94</v>
      </c>
      <c r="C70" t="s">
        <v>63</v>
      </c>
      <c r="D70" t="s">
        <v>64</v>
      </c>
      <c r="E70" t="s">
        <v>126</v>
      </c>
      <c r="F70" t="s">
        <v>127</v>
      </c>
      <c r="G70">
        <v>1</v>
      </c>
    </row>
    <row r="71" spans="1:7" x14ac:dyDescent="0.2">
      <c r="A71" t="s">
        <v>95</v>
      </c>
      <c r="B71" t="s">
        <v>94</v>
      </c>
      <c r="C71" t="s">
        <v>63</v>
      </c>
      <c r="D71" t="s">
        <v>64</v>
      </c>
      <c r="E71" t="s">
        <v>206</v>
      </c>
      <c r="F71" t="s">
        <v>207</v>
      </c>
      <c r="G71">
        <v>2</v>
      </c>
    </row>
    <row r="72" spans="1:7" x14ac:dyDescent="0.2">
      <c r="A72" t="s">
        <v>95</v>
      </c>
      <c r="B72" t="s">
        <v>94</v>
      </c>
      <c r="C72" t="s">
        <v>63</v>
      </c>
      <c r="D72" t="s">
        <v>64</v>
      </c>
      <c r="E72" t="s">
        <v>208</v>
      </c>
      <c r="F72" t="s">
        <v>157</v>
      </c>
      <c r="G72">
        <v>2</v>
      </c>
    </row>
    <row r="73" spans="1:7" x14ac:dyDescent="0.2">
      <c r="A73" t="s">
        <v>95</v>
      </c>
      <c r="B73" t="s">
        <v>94</v>
      </c>
      <c r="C73" t="s">
        <v>63</v>
      </c>
      <c r="D73" t="s">
        <v>64</v>
      </c>
      <c r="E73" t="s">
        <v>106</v>
      </c>
      <c r="F73" t="s">
        <v>107</v>
      </c>
      <c r="G73">
        <v>1</v>
      </c>
    </row>
    <row r="74" spans="1:7" x14ac:dyDescent="0.2">
      <c r="A74" t="s">
        <v>95</v>
      </c>
      <c r="B74" t="s">
        <v>94</v>
      </c>
      <c r="C74" t="s">
        <v>63</v>
      </c>
      <c r="D74" t="s">
        <v>64</v>
      </c>
      <c r="E74" t="s">
        <v>150</v>
      </c>
      <c r="F74" t="s">
        <v>151</v>
      </c>
      <c r="G74">
        <v>2</v>
      </c>
    </row>
    <row r="75" spans="1:7" x14ac:dyDescent="0.2">
      <c r="A75" t="s">
        <v>95</v>
      </c>
      <c r="B75" t="s">
        <v>94</v>
      </c>
      <c r="C75" t="s">
        <v>63</v>
      </c>
      <c r="D75" t="s">
        <v>64</v>
      </c>
      <c r="E75" t="s">
        <v>140</v>
      </c>
      <c r="F75" t="s">
        <v>141</v>
      </c>
      <c r="G75">
        <v>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68AB-D38A-480B-B020-931E3B967D34}">
  <sheetPr codeName="Sheet7"/>
  <dimension ref="A1:Q3"/>
  <sheetViews>
    <sheetView workbookViewId="0">
      <pane ySplit="1" topLeftCell="A2" activePane="bottomLeft" state="frozen"/>
      <selection pane="bottomLeft"/>
    </sheetView>
  </sheetViews>
  <sheetFormatPr defaultRowHeight="16.5" x14ac:dyDescent="0.35"/>
  <cols>
    <col min="1" max="15" width="9" style="19"/>
    <col min="16" max="16" width="16.625" style="19" customWidth="1"/>
    <col min="17" max="16384" width="9" style="19"/>
  </cols>
  <sheetData>
    <row r="1" spans="1:17" x14ac:dyDescent="0.35">
      <c r="A1" s="19" t="s">
        <v>19</v>
      </c>
      <c r="B1" s="19" t="s">
        <v>20</v>
      </c>
      <c r="C1" s="20" t="s">
        <v>21</v>
      </c>
      <c r="D1" s="20" t="s">
        <v>22</v>
      </c>
      <c r="E1" s="19" t="s">
        <v>23</v>
      </c>
      <c r="F1" s="19" t="s">
        <v>24</v>
      </c>
      <c r="G1" s="19" t="s">
        <v>25</v>
      </c>
      <c r="H1" s="19" t="s">
        <v>26</v>
      </c>
      <c r="I1" s="19" t="s">
        <v>27</v>
      </c>
      <c r="J1" s="19" t="s">
        <v>28</v>
      </c>
      <c r="K1" s="19" t="s">
        <v>29</v>
      </c>
      <c r="L1" s="19" t="s">
        <v>30</v>
      </c>
      <c r="M1" s="19" t="s">
        <v>31</v>
      </c>
      <c r="N1" s="19" t="s">
        <v>32</v>
      </c>
      <c r="O1" s="19" t="s">
        <v>33</v>
      </c>
      <c r="P1" s="19" t="s">
        <v>34</v>
      </c>
      <c r="Q1" s="21" t="s">
        <v>35</v>
      </c>
    </row>
    <row r="3" spans="1:17" x14ac:dyDescent="0.35">
      <c r="A3" s="19" t="s">
        <v>66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B07E-FF51-4D7A-B0F0-2195EFA3A88E}">
  <sheetPr codeName="Sheet8"/>
  <dimension ref="A1:O2"/>
  <sheetViews>
    <sheetView zoomScale="70" zoomScaleNormal="7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5.625" customWidth="1"/>
    <col min="2" max="2" width="11" style="30" customWidth="1"/>
    <col min="3" max="3" width="9" customWidth="1"/>
    <col min="4" max="4" width="17.875" customWidth="1"/>
    <col min="5" max="5" width="9" customWidth="1"/>
    <col min="6" max="6" width="25.125" bestFit="1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13.875" customWidth="1"/>
    <col min="13" max="13" width="14.125" customWidth="1"/>
    <col min="14" max="14" width="15.375" bestFit="1" customWidth="1"/>
    <col min="15" max="15" width="18.125" bestFit="1" customWidth="1"/>
  </cols>
  <sheetData>
    <row r="1" spans="1:15" ht="43.5" customHeight="1" x14ac:dyDescent="0.2">
      <c r="A1" s="22" t="s">
        <v>48</v>
      </c>
      <c r="B1" s="23" t="s">
        <v>49</v>
      </c>
      <c r="C1" s="24" t="s">
        <v>50</v>
      </c>
      <c r="D1" s="25" t="s">
        <v>51</v>
      </c>
      <c r="E1" s="24" t="s">
        <v>52</v>
      </c>
      <c r="F1" s="26" t="s">
        <v>53</v>
      </c>
      <c r="G1" s="27" t="s">
        <v>54</v>
      </c>
      <c r="H1" s="28" t="s">
        <v>55</v>
      </c>
      <c r="I1" s="28" t="s">
        <v>1</v>
      </c>
      <c r="J1" s="27" t="s">
        <v>56</v>
      </c>
      <c r="K1" s="26" t="s">
        <v>57</v>
      </c>
      <c r="L1" s="26" t="s">
        <v>58</v>
      </c>
      <c r="M1" s="29" t="s">
        <v>59</v>
      </c>
      <c r="N1" s="26" t="s">
        <v>60</v>
      </c>
      <c r="O1" s="27" t="s">
        <v>61</v>
      </c>
    </row>
    <row r="2" spans="1:15" x14ac:dyDescent="0.2">
      <c r="A2" t="s">
        <v>62</v>
      </c>
      <c r="B2" s="30">
        <v>1125</v>
      </c>
      <c r="C2" t="s">
        <v>36</v>
      </c>
      <c r="D2" t="s">
        <v>209</v>
      </c>
      <c r="F2" t="s">
        <v>210</v>
      </c>
      <c r="G2" t="s">
        <v>63</v>
      </c>
      <c r="H2" t="s">
        <v>63</v>
      </c>
      <c r="I2" t="s">
        <v>64</v>
      </c>
      <c r="J2" t="s">
        <v>211</v>
      </c>
      <c r="K2" t="s">
        <v>212</v>
      </c>
      <c r="L2">
        <v>1</v>
      </c>
      <c r="M2">
        <v>202405</v>
      </c>
      <c r="N2" s="46">
        <v>45443.77003472222</v>
      </c>
      <c r="O2" t="s">
        <v>213</v>
      </c>
    </row>
  </sheetData>
  <protectedRanges>
    <protectedRange sqref="H1:I1" name="Range1_65_1_1"/>
  </protectedRanges>
  <phoneticPr fontId="3" type="noConversion"/>
  <conditionalFormatting sqref="F1">
    <cfRule type="duplicateValues" dxfId="1" priority="6"/>
  </conditionalFormatting>
  <conditionalFormatting sqref="F1">
    <cfRule type="duplicateValues" dxfId="0" priority="7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monthly bill</vt:lpstr>
      <vt:lpstr>Accessories discount</vt:lpstr>
      <vt:lpstr>spare parts fee + service fee</vt:lpstr>
      <vt:lpstr>Maintenance list</vt:lpstr>
      <vt:lpstr>other compensation</vt:lpstr>
      <vt:lpstr>DOA to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mandi.yang(杨曼迪)</dc:creator>
  <cp:lastModifiedBy>mandi.yang(杨曼迪)</cp:lastModifiedBy>
  <dcterms:created xsi:type="dcterms:W3CDTF">2024-06-19T12:14:32Z</dcterms:created>
  <dcterms:modified xsi:type="dcterms:W3CDTF">2024-06-19T12:15:16Z</dcterms:modified>
</cp:coreProperties>
</file>