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海外农机\农机结算\单位月结账单\"/>
    </mc:Choice>
  </mc:AlternateContent>
  <xr:revisionPtr revIDLastSave="0" documentId="8_{4CF483EB-7DD1-44FE-8355-5DE92431F161}" xr6:coauthVersionLast="36" xr6:coauthVersionMax="36" xr10:uidLastSave="{00000000-0000-0000-0000-000000000000}"/>
  <bookViews>
    <workbookView xWindow="0" yWindow="0" windowWidth="28800" windowHeight="12285" xr2:uid="{9F5323BD-6E92-46BC-97C8-FF2B5070AD4D}"/>
  </bookViews>
  <sheets>
    <sheet name="monthly bill" sheetId="3" r:id="rId1"/>
    <sheet name="Accessories discount" sheetId="4" r:id="rId2"/>
    <sheet name="spare parts fee + service fee" sheetId="5" r:id="rId3"/>
    <sheet name="other compensation" sheetId="6" r:id="rId4"/>
    <sheet name="DOA to CM" sheetId="7" r:id="rId5"/>
  </sheets>
  <definedNames>
    <definedName name="_xlnm._FilterDatabase" localSheetId="4" hidden="1">'DOA to CM'!$A$1:$O$1</definedName>
    <definedName name="_xlnm._FilterDatabase" localSheetId="2" hidden="1">'spare parts fee + service fee'!$A$1:$H$1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9" i="3"/>
  <c r="E8" i="3"/>
  <c r="E7" i="3"/>
  <c r="E11" i="3" s="1"/>
  <c r="E12" i="3" s="1"/>
  <c r="E5" i="3"/>
  <c r="E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" authorId="0" shapeId="0" xr:uid="{72428BED-2BB0-48BB-9DE3-4C798E3446A3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如果转售前credit由区域经理联系售前反馈CM单号，如果转售后credit，由运营按月集中处理后填写额度调整单
</t>
        </r>
      </text>
    </comment>
    <comment ref="O1" authorId="0" shapeId="0" xr:uid="{AE854C9B-E6BC-4525-B4E0-8C2EC6472177}">
      <text>
        <r>
          <rPr>
            <b/>
            <sz val="9"/>
            <rFont val="宋体"/>
            <family val="3"/>
            <charset val="134"/>
          </rPr>
          <t>celine.pu:</t>
        </r>
        <r>
          <rPr>
            <sz val="9"/>
            <rFont val="宋体"/>
            <family val="3"/>
            <charset val="134"/>
          </rPr>
          <t xml:space="preserve">
标红为重复数据，请区域核查
</t>
        </r>
      </text>
    </comment>
  </commentList>
</comments>
</file>

<file path=xl/sharedStrings.xml><?xml version="1.0" encoding="utf-8"?>
<sst xmlns="http://schemas.openxmlformats.org/spreadsheetml/2006/main" count="113" uniqueCount="76">
  <si>
    <t>上级代理商名称Distributor Name</t>
  </si>
  <si>
    <r>
      <t xml:space="preserve">DJI Agriculture After-Sales Monthly Statement For </t>
    </r>
    <r>
      <rPr>
        <b/>
        <sz val="14"/>
        <color rgb="FFFFFF00"/>
        <rFont val="微软雅黑"/>
        <family val="2"/>
        <charset val="134"/>
      </rPr>
      <t>Nov</t>
    </r>
    <phoneticPr fontId="2" type="noConversion"/>
  </si>
  <si>
    <t>Dealer</t>
    <phoneticPr fontId="2" type="noConversion"/>
  </si>
  <si>
    <t>Dealer Account：</t>
    <phoneticPr fontId="2" type="noConversion"/>
  </si>
  <si>
    <t>Credit Trading</t>
    <phoneticPr fontId="3" type="noConversion"/>
  </si>
  <si>
    <t>Amount</t>
    <phoneticPr fontId="2" type="noConversion"/>
  </si>
  <si>
    <t>Remarks</t>
    <phoneticPr fontId="2" type="noConversion"/>
  </si>
  <si>
    <t>Expenditure item</t>
    <phoneticPr fontId="3" type="noConversion"/>
  </si>
  <si>
    <t>Spare parts order</t>
    <phoneticPr fontId="3" type="noConversion"/>
  </si>
  <si>
    <t>Total Expenditure</t>
    <phoneticPr fontId="3" type="noConversion"/>
  </si>
  <si>
    <t>Income item</t>
    <phoneticPr fontId="2" type="noConversion"/>
  </si>
  <si>
    <t>Spare parts fee of warranty cases</t>
    <phoneticPr fontId="3" type="noConversion"/>
  </si>
  <si>
    <t>Labor fee of warranty cases</t>
    <phoneticPr fontId="3" type="noConversion"/>
  </si>
  <si>
    <t>Other compensation</t>
  </si>
  <si>
    <t>Battery/DOA cases</t>
    <phoneticPr fontId="3" type="noConversion"/>
  </si>
  <si>
    <t>Total Income</t>
    <phoneticPr fontId="3" type="noConversion"/>
  </si>
  <si>
    <t>Credit Balance</t>
    <phoneticPr fontId="3" type="noConversion"/>
  </si>
  <si>
    <t>For your reference</t>
    <phoneticPr fontId="3" type="noConversion"/>
  </si>
  <si>
    <t>Serial Number</t>
    <phoneticPr fontId="3" type="noConversion"/>
  </si>
  <si>
    <t>Creation Date</t>
    <phoneticPr fontId="3" type="noConversion"/>
  </si>
  <si>
    <t>Dealer Account</t>
    <phoneticPr fontId="3" type="noConversion"/>
  </si>
  <si>
    <t>Dealer</t>
    <phoneticPr fontId="3" type="noConversion"/>
  </si>
  <si>
    <t>Sub Dealer</t>
    <phoneticPr fontId="3" type="noConversion"/>
  </si>
  <si>
    <t>Billing Type</t>
    <phoneticPr fontId="3" type="noConversion"/>
  </si>
  <si>
    <t>Bill No.</t>
    <phoneticPr fontId="3" type="noConversion"/>
  </si>
  <si>
    <t>Expense Type</t>
    <phoneticPr fontId="3" type="noConversion"/>
  </si>
  <si>
    <t>Calculation Type</t>
    <phoneticPr fontId="3" type="noConversion"/>
  </si>
  <si>
    <t>Operation Type</t>
    <phoneticPr fontId="3" type="noConversion"/>
  </si>
  <si>
    <t>Currency</t>
    <phoneticPr fontId="3" type="noConversion"/>
  </si>
  <si>
    <t>Trading Amount</t>
    <phoneticPr fontId="3" type="noConversion"/>
  </si>
  <si>
    <t>plus-minus</t>
    <phoneticPr fontId="3" type="noConversion"/>
  </si>
  <si>
    <t>Balance</t>
    <phoneticPr fontId="3" type="noConversion"/>
  </si>
  <si>
    <t>Receiving Status</t>
    <phoneticPr fontId="3" type="noConversion"/>
  </si>
  <si>
    <t>Remarks</t>
    <phoneticPr fontId="3" type="noConversion"/>
  </si>
  <si>
    <t>Month</t>
    <phoneticPr fontId="3" type="noConversion"/>
  </si>
  <si>
    <t>额度调整</t>
  </si>
  <si>
    <t>手动调整</t>
  </si>
  <si>
    <t>USD</t>
  </si>
  <si>
    <t>代理商名称(Dealer Name)</t>
  </si>
  <si>
    <t>代理商账号(Dealer Account)</t>
    <phoneticPr fontId="2" type="noConversion"/>
  </si>
  <si>
    <t>国家/地区
Country</t>
    <phoneticPr fontId="14" type="noConversion"/>
  </si>
  <si>
    <t>案例编号Case Number</t>
  </si>
  <si>
    <t>维修物料费Spare parts Amount</t>
    <phoneticPr fontId="3" type="noConversion"/>
  </si>
  <si>
    <t>维修劳务费Labor fee Amount</t>
    <phoneticPr fontId="14" type="noConversion"/>
  </si>
  <si>
    <t>合计劳务费Total Settlement Amount</t>
    <phoneticPr fontId="14" type="noConversion"/>
  </si>
  <si>
    <t>其他</t>
  </si>
  <si>
    <t>转售前Credit/售后Cedit
Pre-sale credit/After-sale credit</t>
  </si>
  <si>
    <t>金额/Amount</t>
  </si>
  <si>
    <t>币种</t>
  </si>
  <si>
    <t>CM单号
Credit number</t>
  </si>
  <si>
    <t>其他说明
Supplement</t>
  </si>
  <si>
    <t>案例ID (案例)
Case Number</t>
  </si>
  <si>
    <t>客户 (案例)
Distributor/Dealer Name</t>
  </si>
  <si>
    <t>上级代理商(Distributor Name)</t>
  </si>
  <si>
    <t>代理商账号(Dealer Account)</t>
  </si>
  <si>
    <t>产品 ID (产品)
Product ID</t>
  </si>
  <si>
    <t xml:space="preserve">产品
Product </t>
  </si>
  <si>
    <t>数量
Quantity</t>
  </si>
  <si>
    <t>月份
Month</t>
  </si>
  <si>
    <t>完成时间 (发货单)
Date</t>
  </si>
  <si>
    <t>产品SN码 (案例)
Product SN</t>
  </si>
  <si>
    <t>Huada Agricola Comercial LTDA</t>
  </si>
  <si>
    <t>HUADA-agras</t>
  </si>
  <si>
    <t>HUADA-agras</t>
    <phoneticPr fontId="3" type="noConversion"/>
  </si>
  <si>
    <t>本次不涉及此项</t>
  </si>
  <si>
    <t>BRAZIL</t>
  </si>
  <si>
    <t>WRC231103000284</t>
  </si>
  <si>
    <t>WRC231122000007</t>
  </si>
  <si>
    <t>WRC231106000316</t>
  </si>
  <si>
    <t>WRC231124000265</t>
  </si>
  <si>
    <t>CASA DO DRONE</t>
  </si>
  <si>
    <t>WRC231124000267</t>
  </si>
  <si>
    <t>QFO231120000125</t>
  </si>
  <si>
    <t>QAO231117000001</t>
  </si>
  <si>
    <t>Increase</t>
  </si>
  <si>
    <t>Dronecenter Tecnologia Aerea Eireli  CM transfer，S-23-11-17-01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</si>
</sst>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"/>
    <numFmt numFmtId="177" formatCode="0.00_);[Red]\(0.00\)"/>
    <numFmt numFmtId="178" formatCode="0_);\(0\)"/>
  </numFmts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FF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color rgb="FFFFFFFF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F7F7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45">
    <xf numFmtId="0" fontId="0" fillId="0" borderId="0" xfId="0"/>
    <xf numFmtId="0" fontId="1" fillId="0" borderId="0" xfId="1" applyAlignment="1">
      <alignment vertical="center"/>
    </xf>
    <xf numFmtId="0" fontId="6" fillId="5" borderId="1" xfId="1" applyFont="1" applyFill="1" applyBorder="1" applyAlignment="1">
      <alignment horizontal="right" vertical="center"/>
    </xf>
    <xf numFmtId="0" fontId="10" fillId="0" borderId="1" xfId="0" applyNumberFormat="1" applyFont="1" applyBorder="1" applyAlignment="1">
      <alignment vertical="center"/>
    </xf>
    <xf numFmtId="0" fontId="11" fillId="5" borderId="4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10" fillId="0" borderId="9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" fontId="12" fillId="0" borderId="1" xfId="1" applyNumberFormat="1" applyFont="1" applyFill="1" applyBorder="1">
      <alignment vertical="center"/>
    </xf>
    <xf numFmtId="0" fontId="10" fillId="0" borderId="4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4" fontId="5" fillId="0" borderId="1" xfId="1" applyNumberFormat="1" applyFont="1" applyFill="1" applyBorder="1">
      <alignment vertical="center"/>
    </xf>
    <xf numFmtId="4" fontId="6" fillId="0" borderId="8" xfId="1" applyNumberFormat="1" applyFont="1" applyFill="1" applyBorder="1">
      <alignment vertical="center"/>
    </xf>
    <xf numFmtId="0" fontId="0" fillId="2" borderId="0" xfId="0" applyFill="1"/>
    <xf numFmtId="176" fontId="0" fillId="0" borderId="0" xfId="0" applyNumberFormat="1"/>
    <xf numFmtId="0" fontId="13" fillId="2" borderId="1" xfId="0" applyNumberFormat="1" applyFont="1" applyFill="1" applyBorder="1" applyAlignment="1">
      <alignment horizontal="center" vertical="center" wrapText="1"/>
    </xf>
    <xf numFmtId="0" fontId="13" fillId="6" borderId="1" xfId="0" applyNumberFormat="1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177" fontId="16" fillId="7" borderId="10" xfId="0" applyNumberFormat="1" applyFont="1" applyFill="1" applyBorder="1" applyAlignment="1">
      <alignment horizontal="right" vertical="center"/>
    </xf>
    <xf numFmtId="0" fontId="16" fillId="7" borderId="10" xfId="0" applyFont="1" applyFill="1" applyBorder="1" applyAlignment="1">
      <alignment horizontal="center" vertical="center"/>
    </xf>
    <xf numFmtId="0" fontId="16" fillId="7" borderId="10" xfId="0" applyFont="1" applyFill="1" applyBorder="1" applyAlignment="1">
      <alignment horizontal="left" vertical="center" wrapText="1"/>
    </xf>
    <xf numFmtId="0" fontId="16" fillId="8" borderId="10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178" fontId="16" fillId="8" borderId="10" xfId="0" applyNumberFormat="1" applyFont="1" applyFill="1" applyBorder="1" applyAlignment="1">
      <alignment horizontal="center" vertical="center"/>
    </xf>
    <xf numFmtId="177" fontId="15" fillId="0" borderId="0" xfId="0" applyNumberFormat="1" applyFont="1" applyAlignment="1">
      <alignment horizontal="right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left" vertical="center"/>
    </xf>
    <xf numFmtId="0" fontId="9" fillId="0" borderId="8" xfId="1" applyFont="1" applyBorder="1" applyAlignment="1">
      <alignment horizontal="left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3" xfId="1" applyFont="1" applyFill="1" applyBorder="1" applyAlignment="1">
      <alignment horizontal="center" vertical="center"/>
    </xf>
    <xf numFmtId="0" fontId="10" fillId="5" borderId="8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22" fontId="0" fillId="0" borderId="0" xfId="0" applyNumberFormat="1"/>
    <xf numFmtId="14" fontId="0" fillId="0" borderId="0" xfId="0" applyNumberFormat="1"/>
  </cellXfs>
  <cellStyles count="3">
    <cellStyle name="常规" xfId="0" builtinId="0"/>
    <cellStyle name="常规 3 2 2 2" xfId="1" xr:uid="{55FA8C6F-D888-4D69-BB95-0F5F79B762A9}"/>
    <cellStyle name="常规 4 2 2" xfId="2" xr:uid="{F649F2A1-A82F-47DA-93CB-5AD0BFEBD10C}"/>
  </cellStyles>
  <dxfs count="2">
    <dxf>
      <font>
        <color rgb="FF9C0006"/>
      </font>
      <fill>
        <patternFill>
          <bgColor rgb="FFFFC7CE"/>
        </patternFill>
      </fill>
    </dxf>
    <dxf>
      <font>
        <color rgb="FFD73434"/>
      </font>
      <fill>
        <patternFill patternType="solid">
          <bgColor rgb="FFFEC8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B4E6-6848-488F-B316-91FDA8815E7C}">
  <sheetPr codeName="Sheet4"/>
  <dimension ref="B1:F12"/>
  <sheetViews>
    <sheetView showGridLines="0" tabSelected="1" zoomScale="85" zoomScaleNormal="85" workbookViewId="0"/>
  </sheetViews>
  <sheetFormatPr defaultColWidth="9" defaultRowHeight="14.25" x14ac:dyDescent="0.2"/>
  <cols>
    <col min="1" max="1" width="3.375" style="1" customWidth="1"/>
    <col min="2" max="2" width="24.625" style="1" customWidth="1"/>
    <col min="3" max="3" width="8.875" style="1" customWidth="1"/>
    <col min="4" max="4" width="32.875" style="1" customWidth="1"/>
    <col min="5" max="5" width="40" style="1" customWidth="1"/>
    <col min="6" max="6" width="58.75" style="1" customWidth="1"/>
    <col min="7" max="7" width="17.75" style="1" customWidth="1"/>
    <col min="8" max="16384" width="9" style="1"/>
  </cols>
  <sheetData>
    <row r="1" spans="2:6" ht="13.5" customHeight="1" x14ac:dyDescent="0.2"/>
    <row r="2" spans="2:6" ht="46.5" customHeight="1" x14ac:dyDescent="0.2">
      <c r="B2" s="31" t="s">
        <v>1</v>
      </c>
      <c r="C2" s="32"/>
      <c r="D2" s="32"/>
      <c r="E2" s="32"/>
      <c r="F2" s="33"/>
    </row>
    <row r="3" spans="2:6" ht="18.75" customHeight="1" x14ac:dyDescent="0.2">
      <c r="B3" s="2" t="s">
        <v>2</v>
      </c>
      <c r="C3" s="34" t="s">
        <v>61</v>
      </c>
      <c r="D3" s="35"/>
      <c r="E3" s="2" t="s">
        <v>3</v>
      </c>
      <c r="F3" s="3" t="s">
        <v>63</v>
      </c>
    </row>
    <row r="4" spans="2:6" ht="18" x14ac:dyDescent="0.2">
      <c r="B4" s="36" t="s">
        <v>4</v>
      </c>
      <c r="C4" s="37"/>
      <c r="D4" s="38"/>
      <c r="E4" s="4" t="s">
        <v>5</v>
      </c>
      <c r="F4" s="5" t="s">
        <v>6</v>
      </c>
    </row>
    <row r="5" spans="2:6" ht="16.899999999999999" customHeight="1" x14ac:dyDescent="0.2">
      <c r="B5" s="6" t="s">
        <v>7</v>
      </c>
      <c r="C5" s="7">
        <v>1</v>
      </c>
      <c r="D5" s="8" t="s">
        <v>8</v>
      </c>
      <c r="E5" s="9">
        <f>SUMIF('Accessories discount'!C:C,F3,'Accessories discount'!M:M)</f>
        <v>0</v>
      </c>
      <c r="F5" s="10"/>
    </row>
    <row r="6" spans="2:6" ht="16.899999999999999" customHeight="1" x14ac:dyDescent="0.2">
      <c r="B6" s="39" t="s">
        <v>9</v>
      </c>
      <c r="C6" s="40"/>
      <c r="D6" s="41"/>
      <c r="E6" s="9">
        <f>E5</f>
        <v>0</v>
      </c>
      <c r="F6" s="11"/>
    </row>
    <row r="7" spans="2:6" ht="16.899999999999999" customHeight="1" x14ac:dyDescent="0.2">
      <c r="B7" s="42" t="s">
        <v>10</v>
      </c>
      <c r="C7" s="12">
        <v>1</v>
      </c>
      <c r="D7" s="8" t="s">
        <v>11</v>
      </c>
      <c r="E7" s="9">
        <f>SUMIF('spare parts fee + service fee'!C:C,'monthly bill'!F3,'spare parts fee + service fee'!F:F)</f>
        <v>3062.9</v>
      </c>
      <c r="F7" s="11"/>
    </row>
    <row r="8" spans="2:6" ht="16.899999999999999" customHeight="1" x14ac:dyDescent="0.2">
      <c r="B8" s="42"/>
      <c r="C8" s="12">
        <v>2</v>
      </c>
      <c r="D8" s="8" t="s">
        <v>12</v>
      </c>
      <c r="E8" s="13">
        <f>SUMIF('spare parts fee + service fee'!C:C,'monthly bill'!F3,'spare parts fee + service fee'!G:G)</f>
        <v>86</v>
      </c>
      <c r="F8" s="11"/>
    </row>
    <row r="9" spans="2:6" ht="16.899999999999999" customHeight="1" x14ac:dyDescent="0.2">
      <c r="B9" s="42"/>
      <c r="C9" s="12">
        <v>3</v>
      </c>
      <c r="D9" s="8" t="s">
        <v>13</v>
      </c>
      <c r="E9" s="13">
        <f>SUMIF('other compensation'!C:C,'monthly bill'!F3,'other compensation'!M:M)</f>
        <v>38.19</v>
      </c>
      <c r="F9" s="11"/>
    </row>
    <row r="10" spans="2:6" ht="16.899999999999999" customHeight="1" x14ac:dyDescent="0.2">
      <c r="B10" s="42"/>
      <c r="C10" s="12">
        <v>4</v>
      </c>
      <c r="D10" s="8" t="s">
        <v>14</v>
      </c>
      <c r="E10" s="13">
        <f>SUMIF('DOA to CM'!I:I,'monthly bill'!F3,'DOA to CM'!B:B)</f>
        <v>0</v>
      </c>
      <c r="F10" s="11"/>
    </row>
    <row r="11" spans="2:6" ht="16.899999999999999" customHeight="1" x14ac:dyDescent="0.2">
      <c r="B11" s="39" t="s">
        <v>15</v>
      </c>
      <c r="C11" s="40"/>
      <c r="D11" s="41"/>
      <c r="E11" s="13">
        <f>E7+E8+E9+E10</f>
        <v>3187.09</v>
      </c>
      <c r="F11" s="11"/>
    </row>
    <row r="12" spans="2:6" ht="16.5" x14ac:dyDescent="0.2">
      <c r="B12" s="28" t="s">
        <v>16</v>
      </c>
      <c r="C12" s="29"/>
      <c r="D12" s="30"/>
      <c r="E12" s="14">
        <f>E11+E6</f>
        <v>3187.09</v>
      </c>
      <c r="F12" s="11" t="s">
        <v>17</v>
      </c>
    </row>
  </sheetData>
  <mergeCells count="7">
    <mergeCell ref="B12:D12"/>
    <mergeCell ref="B2:F2"/>
    <mergeCell ref="C3:D3"/>
    <mergeCell ref="B4:D4"/>
    <mergeCell ref="B6:D6"/>
    <mergeCell ref="B7:B10"/>
    <mergeCell ref="B11:D1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5A65-8C7F-4658-8DA1-FE1B48053C05}">
  <sheetPr codeName="Sheet5"/>
  <dimension ref="A1:Q3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5.5" customWidth="1"/>
    <col min="2" max="2" width="17" customWidth="1"/>
    <col min="3" max="3" width="25" bestFit="1" customWidth="1"/>
    <col min="4" max="4" width="22.625" customWidth="1"/>
    <col min="5" max="5" width="14.75" bestFit="1" customWidth="1"/>
    <col min="6" max="6" width="12.5" bestFit="1" customWidth="1"/>
    <col min="7" max="7" width="16.25" customWidth="1"/>
    <col min="8" max="10" width="12.5" bestFit="1" customWidth="1"/>
    <col min="11" max="11" width="8.375" bestFit="1" customWidth="1"/>
    <col min="12" max="12" width="13.5" customWidth="1"/>
    <col min="13" max="13" width="10.75" bestFit="1" customWidth="1"/>
    <col min="14" max="14" width="10.5" bestFit="1" customWidth="1"/>
    <col min="15" max="15" width="12.5" bestFit="1" customWidth="1"/>
    <col min="16" max="16" width="25.875" bestFit="1" customWidth="1"/>
    <col min="17" max="17" width="9" style="16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6" t="s">
        <v>34</v>
      </c>
    </row>
    <row r="3" spans="1:17" x14ac:dyDescent="0.2">
      <c r="A3" t="s">
        <v>64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7405-EE44-4E90-B18A-4408EE6068C2}">
  <sheetPr codeName="Sheet6"/>
  <dimension ref="A1:H6"/>
  <sheetViews>
    <sheetView zoomScale="85" zoomScaleNormal="85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6.75" customWidth="1"/>
    <col min="2" max="2" width="15.75" customWidth="1"/>
    <col min="3" max="3" width="25.375" bestFit="1" customWidth="1"/>
    <col min="4" max="5" width="15" customWidth="1"/>
    <col min="6" max="6" width="16.125" customWidth="1"/>
    <col min="7" max="7" width="27.25" customWidth="1"/>
    <col min="8" max="8" width="26.5" customWidth="1"/>
  </cols>
  <sheetData>
    <row r="1" spans="1:8" ht="33" x14ac:dyDescent="0.2">
      <c r="A1" s="17" t="s">
        <v>0</v>
      </c>
      <c r="B1" s="18" t="s">
        <v>38</v>
      </c>
      <c r="C1" s="17" t="s">
        <v>39</v>
      </c>
      <c r="D1" s="18" t="s">
        <v>40</v>
      </c>
      <c r="E1" s="18" t="s">
        <v>41</v>
      </c>
      <c r="F1" s="18" t="s">
        <v>42</v>
      </c>
      <c r="G1" s="18" t="s">
        <v>43</v>
      </c>
      <c r="H1" s="18" t="s">
        <v>44</v>
      </c>
    </row>
    <row r="2" spans="1:8" x14ac:dyDescent="0.2">
      <c r="A2" t="s">
        <v>61</v>
      </c>
      <c r="B2" t="s">
        <v>61</v>
      </c>
      <c r="C2" t="s">
        <v>62</v>
      </c>
      <c r="D2" t="s">
        <v>65</v>
      </c>
      <c r="E2" t="s">
        <v>66</v>
      </c>
      <c r="F2">
        <v>189.08</v>
      </c>
      <c r="G2">
        <v>6</v>
      </c>
      <c r="H2">
        <v>195.08</v>
      </c>
    </row>
    <row r="3" spans="1:8" x14ac:dyDescent="0.2">
      <c r="A3" t="s">
        <v>61</v>
      </c>
      <c r="B3" t="s">
        <v>61</v>
      </c>
      <c r="C3" t="s">
        <v>62</v>
      </c>
      <c r="D3" t="s">
        <v>65</v>
      </c>
      <c r="E3" t="s">
        <v>67</v>
      </c>
      <c r="F3">
        <v>378.69</v>
      </c>
      <c r="G3">
        <v>25</v>
      </c>
      <c r="H3">
        <v>403.69</v>
      </c>
    </row>
    <row r="4" spans="1:8" x14ac:dyDescent="0.2">
      <c r="A4" t="s">
        <v>61</v>
      </c>
      <c r="B4" t="s">
        <v>61</v>
      </c>
      <c r="C4" t="s">
        <v>62</v>
      </c>
      <c r="D4" t="s">
        <v>65</v>
      </c>
      <c r="E4" t="s">
        <v>68</v>
      </c>
      <c r="F4">
        <v>1738.1000000000001</v>
      </c>
      <c r="G4">
        <v>15</v>
      </c>
      <c r="H4">
        <v>1753.1000000000001</v>
      </c>
    </row>
    <row r="5" spans="1:8" x14ac:dyDescent="0.2">
      <c r="A5" t="s">
        <v>61</v>
      </c>
      <c r="B5" t="s">
        <v>61</v>
      </c>
      <c r="C5" t="s">
        <v>62</v>
      </c>
      <c r="D5" t="s">
        <v>65</v>
      </c>
      <c r="E5" t="s">
        <v>69</v>
      </c>
      <c r="F5">
        <v>378.34</v>
      </c>
      <c r="G5">
        <v>15</v>
      </c>
      <c r="H5">
        <v>393.34</v>
      </c>
    </row>
    <row r="6" spans="1:8" x14ac:dyDescent="0.2">
      <c r="A6" t="s">
        <v>61</v>
      </c>
      <c r="B6" t="s">
        <v>70</v>
      </c>
      <c r="C6" t="s">
        <v>62</v>
      </c>
      <c r="D6" t="s">
        <v>65</v>
      </c>
      <c r="E6" t="s">
        <v>71</v>
      </c>
      <c r="F6">
        <v>378.69</v>
      </c>
      <c r="G6">
        <v>25</v>
      </c>
      <c r="H6">
        <v>403.69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6C49-3E1D-43B7-BE5A-408C5B97F943}">
  <sheetPr codeName="Sheet7"/>
  <dimension ref="A1:Q2"/>
  <sheetViews>
    <sheetView workbookViewId="0"/>
  </sheetViews>
  <sheetFormatPr defaultRowHeight="14.25" x14ac:dyDescent="0.2"/>
  <cols>
    <col min="16" max="16" width="16.625" customWidth="1"/>
  </cols>
  <sheetData>
    <row r="1" spans="1:17" x14ac:dyDescent="0.2">
      <c r="A1" t="s">
        <v>18</v>
      </c>
      <c r="B1" t="s">
        <v>19</v>
      </c>
      <c r="C1" s="15" t="s">
        <v>20</v>
      </c>
      <c r="D1" s="15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16" t="s">
        <v>34</v>
      </c>
    </row>
    <row r="2" spans="1:17" x14ac:dyDescent="0.2">
      <c r="A2" t="s">
        <v>72</v>
      </c>
      <c r="B2" s="43">
        <v>45250.90766203704</v>
      </c>
      <c r="C2" t="s">
        <v>62</v>
      </c>
      <c r="D2" t="s">
        <v>61</v>
      </c>
      <c r="F2" t="s">
        <v>35</v>
      </c>
      <c r="G2" t="s">
        <v>73</v>
      </c>
      <c r="H2" t="s">
        <v>45</v>
      </c>
      <c r="I2" t="s">
        <v>74</v>
      </c>
      <c r="J2" t="s">
        <v>36</v>
      </c>
      <c r="K2" t="s">
        <v>37</v>
      </c>
      <c r="L2">
        <v>38.19</v>
      </c>
      <c r="M2">
        <v>38.19</v>
      </c>
      <c r="N2">
        <v>2045.87</v>
      </c>
      <c r="P2" t="s">
        <v>75</v>
      </c>
      <c r="Q2" s="44">
        <v>45231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E0BD-A610-488A-9287-9BD6DB880FAD}">
  <sheetPr codeName="Sheet8"/>
  <dimension ref="A1:O3"/>
  <sheetViews>
    <sheetView zoomScale="70" zoomScaleNormal="7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5.625" customWidth="1"/>
    <col min="2" max="2" width="11" style="27" customWidth="1"/>
    <col min="3" max="3" width="9" customWidth="1"/>
    <col min="4" max="4" width="17.875" customWidth="1"/>
    <col min="5" max="5" width="9" customWidth="1"/>
    <col min="6" max="6" width="25.125" bestFit="1" customWidth="1"/>
    <col min="7" max="7" width="34.25" customWidth="1"/>
    <col min="8" max="8" width="18.5" customWidth="1"/>
    <col min="9" max="9" width="19.5" customWidth="1"/>
    <col min="10" max="10" width="20.25" customWidth="1"/>
    <col min="11" max="11" width="22.5" customWidth="1"/>
    <col min="12" max="12" width="8.5" bestFit="1" customWidth="1"/>
    <col min="13" max="13" width="19.625" customWidth="1"/>
    <col min="14" max="14" width="15.375" bestFit="1" customWidth="1"/>
    <col min="15" max="15" width="18.125" bestFit="1" customWidth="1"/>
  </cols>
  <sheetData>
    <row r="1" spans="1:15" ht="43.5" customHeight="1" x14ac:dyDescent="0.2">
      <c r="A1" s="19" t="s">
        <v>46</v>
      </c>
      <c r="B1" s="20" t="s">
        <v>47</v>
      </c>
      <c r="C1" s="21" t="s">
        <v>48</v>
      </c>
      <c r="D1" s="22" t="s">
        <v>49</v>
      </c>
      <c r="E1" s="21" t="s">
        <v>50</v>
      </c>
      <c r="F1" s="23" t="s">
        <v>51</v>
      </c>
      <c r="G1" s="24" t="s">
        <v>52</v>
      </c>
      <c r="H1" s="25" t="s">
        <v>53</v>
      </c>
      <c r="I1" s="25" t="s">
        <v>54</v>
      </c>
      <c r="J1" s="24" t="s">
        <v>55</v>
      </c>
      <c r="K1" s="23" t="s">
        <v>56</v>
      </c>
      <c r="L1" s="23" t="s">
        <v>57</v>
      </c>
      <c r="M1" s="26" t="s">
        <v>58</v>
      </c>
      <c r="N1" s="23" t="s">
        <v>59</v>
      </c>
      <c r="O1" s="24" t="s">
        <v>60</v>
      </c>
    </row>
    <row r="3" spans="1:15" x14ac:dyDescent="0.2">
      <c r="A3" t="s">
        <v>64</v>
      </c>
    </row>
  </sheetData>
  <protectedRanges>
    <protectedRange sqref="H1:I1" name="Range1_65_1_1"/>
  </protectedRanges>
  <phoneticPr fontId="3" type="noConversion"/>
  <conditionalFormatting sqref="F1">
    <cfRule type="duplicateValues" dxfId="1" priority="3"/>
  </conditionalFormatting>
  <conditionalFormatting sqref="F1">
    <cfRule type="duplicateValues" dxfId="0" priority="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monthly bill</vt:lpstr>
      <vt:lpstr>Accessories discount</vt:lpstr>
      <vt:lpstr>spare parts fee + service fee</vt:lpstr>
      <vt:lpstr>other compensation</vt:lpstr>
      <vt:lpstr>DOA to 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mandi.yang(杨曼迪)</dc:creator>
  <cp:lastModifiedBy>mandi.yang(杨曼迪)</cp:lastModifiedBy>
  <dcterms:created xsi:type="dcterms:W3CDTF">2023-12-15T03:23:30Z</dcterms:created>
  <dcterms:modified xsi:type="dcterms:W3CDTF">2023-12-15T03:24:04Z</dcterms:modified>
</cp:coreProperties>
</file>