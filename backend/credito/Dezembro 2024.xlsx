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4年\12月\单位月结账单\"/>
    </mc:Choice>
  </mc:AlternateContent>
  <xr:revisionPtr revIDLastSave="0" documentId="8_{0436D1CE-E200-4B1C-BFCC-196286E30F4D}" xr6:coauthVersionLast="36" xr6:coauthVersionMax="36" xr10:uidLastSave="{00000000-0000-0000-0000-000000000000}"/>
  <bookViews>
    <workbookView xWindow="0" yWindow="0" windowWidth="57600" windowHeight="26580" xr2:uid="{3E436207-C656-4C01-B85E-E80D08D265D2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Maintenance list" sheetId="8" r:id="rId6"/>
    <sheet name="service prohibition" sheetId="9" r:id="rId7"/>
    <sheet name="other compensation" sheetId="10" r:id="rId8"/>
    <sheet name="DOA to CM" sheetId="11" r:id="rId9"/>
    <sheet name="pre-payment balance" sheetId="12" r:id="rId10"/>
  </sheets>
  <definedNames>
    <definedName name="_xlnm._FilterDatabase" localSheetId="1" hidden="1">'Accessories discount'!$A$1:$Q$1</definedName>
    <definedName name="_xlnm._FilterDatabase" localSheetId="8" hidden="1">'DOA to CM'!$A$1:$O$1</definedName>
    <definedName name="_xlnm._FilterDatabase" localSheetId="4" hidden="1">'incentive labor fee'!$A$1:$L$1</definedName>
    <definedName name="_xlnm._FilterDatabase" localSheetId="5" hidden="1">'Maintenance list'!$A$1:$J$1</definedName>
    <definedName name="_xlnm._FilterDatabase" localSheetId="7" hidden="1">'other compensation'!$A$1:$Q$1</definedName>
    <definedName name="_xlnm._FilterDatabase" localSheetId="9" hidden="1">'pre-payment balance'!$A$1:$L$1</definedName>
    <definedName name="_xlnm._FilterDatabase" localSheetId="3" hidden="1">'service fee'!$A$1:$Q$1</definedName>
    <definedName name="_xlnm._FilterDatabase" localSheetId="6" hidden="1">'service prohibition'!$A$1:$Q$1</definedName>
    <definedName name="_xlnm._FilterDatabase" localSheetId="2" hidden="1">'spare parts fee'!$A$1:$R$1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3" l="1"/>
  <c r="E16" i="3" s="1"/>
  <c r="E12" i="3"/>
  <c r="E11" i="3"/>
  <c r="E10" i="3"/>
  <c r="E9" i="3"/>
  <c r="E8" i="3"/>
  <c r="E7" i="3"/>
  <c r="E5" i="3"/>
  <c r="E6" i="3" s="1"/>
  <c r="E13" i="3" l="1"/>
  <c r="E14" i="3" s="1"/>
</calcChain>
</file>

<file path=xl/sharedStrings.xml><?xml version="1.0" encoding="utf-8"?>
<sst xmlns="http://schemas.openxmlformats.org/spreadsheetml/2006/main" count="1975" uniqueCount="404">
  <si>
    <t>Dealer</t>
  </si>
  <si>
    <t>Dealer Account</t>
  </si>
  <si>
    <t>incentive labor fee</t>
    <phoneticPr fontId="2" type="noConversion"/>
  </si>
  <si>
    <t>service prohibition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</si>
  <si>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</si>
  <si>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Dec</t>
    </r>
    <phoneticPr fontId="2" type="noConversion"/>
  </si>
  <si>
    <t>Dealer Account：</t>
  </si>
  <si>
    <t>Credit Trading</t>
  </si>
  <si>
    <t>Amount</t>
  </si>
  <si>
    <t>Remarks</t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</si>
  <si>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</si>
  <si>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</si>
  <si>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</si>
  <si>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</si>
  <si>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</si>
  <si>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</si>
  <si>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</si>
  <si>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</si>
  <si>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</si>
  <si>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</si>
  <si>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</si>
  <si>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</si>
  <si>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</si>
  <si>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</si>
  <si>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</si>
  <si>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</si>
  <si>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</si>
  <si>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</si>
  <si>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</si>
  <si>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</si>
  <si>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</si>
  <si>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</si>
  <si>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</si>
  <si>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</si>
  <si>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</si>
  <si>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</si>
  <si>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</si>
  <si>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</si>
  <si>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Increase</t>
  </si>
  <si>
    <t>Manual adjustment</t>
  </si>
  <si>
    <t>USD</t>
  </si>
  <si>
    <t>Month</t>
    <phoneticPr fontId="2" type="noConversion"/>
  </si>
  <si>
    <t>incentive labor fee</t>
  </si>
  <si>
    <r>
      <rPr>
        <b/>
        <sz val="10"/>
        <color theme="0"/>
        <rFont val="微软雅黑"/>
        <family val="2"/>
        <charset val="134"/>
      </rPr>
      <t>案例编号</t>
    </r>
    <r>
      <rPr>
        <b/>
        <sz val="10"/>
        <color theme="0"/>
        <rFont val="Arial"/>
        <family val="2"/>
      </rPr>
      <t>Case Number</t>
    </r>
  </si>
  <si>
    <r>
      <rPr>
        <b/>
        <sz val="10"/>
        <color theme="0"/>
        <rFont val="微软雅黑"/>
        <family val="2"/>
        <charset val="134"/>
      </rPr>
      <t>代理商名称</t>
    </r>
    <r>
      <rPr>
        <b/>
        <sz val="10"/>
        <color theme="0"/>
        <rFont val="Arial"/>
        <family val="2"/>
      </rPr>
      <t>Dealer Name</t>
    </r>
    <phoneticPr fontId="2" type="noConversion"/>
  </si>
  <si>
    <r>
      <rPr>
        <b/>
        <sz val="10"/>
        <color theme="0"/>
        <rFont val="微软雅黑"/>
        <family val="2"/>
        <charset val="134"/>
      </rPr>
      <t>上级代理商名称</t>
    </r>
    <r>
      <rPr>
        <b/>
        <sz val="10"/>
        <color theme="0"/>
        <rFont val="Arial"/>
        <family val="2"/>
      </rPr>
      <t>Distributor Name</t>
    </r>
    <phoneticPr fontId="2" type="noConversion"/>
  </si>
  <si>
    <r>
      <rPr>
        <b/>
        <sz val="10"/>
        <color theme="0"/>
        <rFont val="微软雅黑"/>
        <family val="2"/>
        <charset val="134"/>
      </rPr>
      <t>上级代理商账号</t>
    </r>
    <r>
      <rPr>
        <b/>
        <sz val="10"/>
        <color theme="0"/>
        <rFont val="Arial"/>
        <family val="2"/>
      </rPr>
      <t>Distributor Account</t>
    </r>
    <phoneticPr fontId="2" type="noConversion"/>
  </si>
  <si>
    <r>
      <rPr>
        <b/>
        <sz val="10"/>
        <color theme="0"/>
        <rFont val="微软雅黑"/>
        <family val="2"/>
        <charset val="134"/>
      </rPr>
      <t>物料编码</t>
    </r>
    <r>
      <rPr>
        <b/>
        <sz val="10"/>
        <color theme="0"/>
        <rFont val="Arial"/>
        <family val="2"/>
      </rPr>
      <t>Material code</t>
    </r>
  </si>
  <si>
    <r>
      <rPr>
        <b/>
        <sz val="10"/>
        <color theme="0"/>
        <rFont val="微软雅黑"/>
        <family val="2"/>
        <charset val="134"/>
      </rPr>
      <t>物料名称</t>
    </r>
    <r>
      <rPr>
        <b/>
        <sz val="10"/>
        <color theme="0"/>
        <rFont val="Arial"/>
        <family val="2"/>
      </rPr>
      <t>Material name</t>
    </r>
  </si>
  <si>
    <r>
      <rPr>
        <b/>
        <sz val="10"/>
        <color theme="0"/>
        <rFont val="微软雅黑"/>
        <family val="2"/>
        <charset val="134"/>
      </rPr>
      <t>数量</t>
    </r>
    <r>
      <rPr>
        <b/>
        <sz val="10"/>
        <color theme="0"/>
        <rFont val="Arial"/>
        <family val="2"/>
      </rPr>
      <t>Quantity</t>
    </r>
  </si>
  <si>
    <r>
      <rPr>
        <b/>
        <sz val="10"/>
        <color theme="0"/>
        <rFont val="黑体"/>
        <family val="3"/>
        <charset val="134"/>
      </rPr>
      <t>币种</t>
    </r>
    <r>
      <rPr>
        <b/>
        <sz val="10"/>
        <color theme="0"/>
        <rFont val="Arial"/>
        <family val="2"/>
      </rPr>
      <t>Currency</t>
    </r>
    <phoneticPr fontId="2" type="noConversion"/>
  </si>
  <si>
    <r>
      <rPr>
        <b/>
        <sz val="10"/>
        <color theme="0"/>
        <rFont val="黑体"/>
        <family val="3"/>
        <charset val="134"/>
      </rPr>
      <t>物料单价</t>
    </r>
    <r>
      <rPr>
        <b/>
        <sz val="10"/>
        <color theme="0"/>
        <rFont val="Arial"/>
        <family val="2"/>
      </rPr>
      <t>Material unit price</t>
    </r>
    <phoneticPr fontId="2" type="noConversion"/>
  </si>
  <si>
    <r>
      <rPr>
        <b/>
        <sz val="10"/>
        <color theme="0"/>
        <rFont val="黑体"/>
        <family val="3"/>
        <charset val="134"/>
      </rPr>
      <t>物料总价</t>
    </r>
    <r>
      <rPr>
        <b/>
        <sz val="10"/>
        <color theme="0"/>
        <rFont val="Arial"/>
        <family val="2"/>
      </rPr>
      <t>Total price of materials</t>
    </r>
    <phoneticPr fontId="2" type="noConversion"/>
  </si>
  <si>
    <t>YC.JG.ZS002356.04</t>
  </si>
  <si>
    <r>
      <rPr>
        <b/>
        <sz val="11"/>
        <color rgb="FFFFFFFF"/>
        <rFont val="微软雅黑"/>
        <family val="2"/>
        <charset val="134"/>
      </rPr>
      <t>转售前</t>
    </r>
    <r>
      <rPr>
        <b/>
        <sz val="11"/>
        <color rgb="FFFFFFFF"/>
        <rFont val="Arial"/>
        <family val="2"/>
      </rPr>
      <t>Credit/</t>
    </r>
    <r>
      <rPr>
        <b/>
        <sz val="11"/>
        <color rgb="FFFFFFFF"/>
        <rFont val="微软雅黑"/>
        <family val="2"/>
        <charset val="134"/>
      </rPr>
      <t>售后</t>
    </r>
    <r>
      <rPr>
        <b/>
        <sz val="11"/>
        <color rgb="FFFFFFFF"/>
        <rFont val="Arial"/>
        <family val="2"/>
      </rPr>
      <t>Cedit
Pre-sale credit/After-sale credit</t>
    </r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</si>
  <si>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</si>
  <si>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</si>
  <si>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</si>
  <si>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</si>
  <si>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</si>
  <si>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</si>
  <si>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</si>
  <si>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</si>
  <si>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</si>
  <si>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</si>
  <si>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</si>
  <si>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</si>
  <si>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</si>
  <si>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</si>
  <si>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t>CP.AG.00000782.01</t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</si>
  <si>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</si>
  <si>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</si>
  <si>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(Dealer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</si>
  <si>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(Dealer Account)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</si>
  <si>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</si>
  <si>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</si>
  <si>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</si>
  <si>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</si>
  <si>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</si>
  <si>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</si>
  <si>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</si>
  <si>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</si>
  <si>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</si>
  <si>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 Agricola Comercial LTDA</t>
    <phoneticPr fontId="2" type="noConversion"/>
  </si>
  <si>
    <t>HUADA-agras</t>
  </si>
  <si>
    <t>HUADA-agras</t>
    <phoneticPr fontId="2" type="noConversion"/>
  </si>
  <si>
    <t>This item is not involved this time</t>
  </si>
  <si>
    <t>FQFO241227000069</t>
  </si>
  <si>
    <t>SMC - SOLUCOES EM ENGENHARIA EIRELI</t>
  </si>
  <si>
    <t>Local repair-in warranty</t>
  </si>
  <si>
    <t>WRC241224000268</t>
  </si>
  <si>
    <t>Repair spare parts fee</t>
  </si>
  <si>
    <t>Automatically generate</t>
  </si>
  <si>
    <t>FQFO241223000132</t>
  </si>
  <si>
    <t>Mercadão dos Drones</t>
  </si>
  <si>
    <t>WRC241220000016</t>
  </si>
  <si>
    <t>QFO241219000436</t>
  </si>
  <si>
    <t>CASA DO DRONE</t>
  </si>
  <si>
    <t>WRC241218000369</t>
  </si>
  <si>
    <t>QFO241218000799</t>
  </si>
  <si>
    <t>WRC241217000381</t>
  </si>
  <si>
    <t>QFO241218000370</t>
  </si>
  <si>
    <t>PARAÍSO DOS DRONES</t>
  </si>
  <si>
    <t>WRC241216000278</t>
  </si>
  <si>
    <t>QFO241216000556</t>
  </si>
  <si>
    <t>Fialho e Sarti Agrotecnologia</t>
  </si>
  <si>
    <t>WRC241204000300</t>
  </si>
  <si>
    <t>QFO241216000536</t>
  </si>
  <si>
    <t>WRC241213000328</t>
  </si>
  <si>
    <t>QFO241216000282</t>
  </si>
  <si>
    <t>WRC241213000331</t>
  </si>
  <si>
    <t>QFO241213000374</t>
  </si>
  <si>
    <t>WRC241213000007</t>
  </si>
  <si>
    <t>QFO241213000370</t>
  </si>
  <si>
    <t>WRC241213000020</t>
  </si>
  <si>
    <t>QFO241212000349</t>
  </si>
  <si>
    <t>WRC241211000316</t>
  </si>
  <si>
    <t>QFO241212000200</t>
  </si>
  <si>
    <t>WRC241212000011</t>
  </si>
  <si>
    <t>QFO241212000152</t>
  </si>
  <si>
    <t>WRC241212000017</t>
  </si>
  <si>
    <t>QFO241211000273</t>
  </si>
  <si>
    <t>WRC241210000011</t>
  </si>
  <si>
    <t>QFO241211000072</t>
  </si>
  <si>
    <t>WRC241209000300</t>
  </si>
  <si>
    <t>QFO241209000438</t>
  </si>
  <si>
    <t>WRC241205000010</t>
  </si>
  <si>
    <t>QFO241206000439</t>
  </si>
  <si>
    <t>MS Drones</t>
  </si>
  <si>
    <t>WRC241205000316</t>
  </si>
  <si>
    <t>QFO241206000373</t>
  </si>
  <si>
    <t>WRC241205000331</t>
  </si>
  <si>
    <t>QFO241206000064</t>
  </si>
  <si>
    <t>VETTORIZE DRONES</t>
  </si>
  <si>
    <t>WRC241205000302</t>
  </si>
  <si>
    <t>QFO241204000396</t>
  </si>
  <si>
    <t>WRC241204000011</t>
  </si>
  <si>
    <t>QFO241204000196</t>
  </si>
  <si>
    <t>WRC241203000311</t>
  </si>
  <si>
    <t>QFO241203000072</t>
  </si>
  <si>
    <t>WRC241129000225</t>
  </si>
  <si>
    <t>QFO241203000052</t>
  </si>
  <si>
    <t>WRC241130000003</t>
  </si>
  <si>
    <t>FQFO241227000070</t>
  </si>
  <si>
    <t>Repair service fee</t>
  </si>
  <si>
    <t>FQFO241223000133</t>
  </si>
  <si>
    <t>QFO241219000437</t>
  </si>
  <si>
    <t>QFO241218000800</t>
  </si>
  <si>
    <t>QFO241218000371</t>
  </si>
  <si>
    <t>QFO241216000557</t>
  </si>
  <si>
    <t>QFO241216000537</t>
  </si>
  <si>
    <t>QFO241216000283</t>
  </si>
  <si>
    <t>QFO241213000375</t>
  </si>
  <si>
    <t>QFO241213000371</t>
  </si>
  <si>
    <t>QFO241212000201</t>
  </si>
  <si>
    <t>QFO241212000154</t>
  </si>
  <si>
    <t>QFO241211000274</t>
  </si>
  <si>
    <t>QFO241211000073</t>
  </si>
  <si>
    <t>QFO241209000439</t>
  </si>
  <si>
    <t>QFO241206000440</t>
  </si>
  <si>
    <t>QFO241206000374</t>
  </si>
  <si>
    <t>QFO241206000065</t>
  </si>
  <si>
    <t>QFO241204000398</t>
  </si>
  <si>
    <t>QFO241204000197</t>
  </si>
  <si>
    <t>QFO241203000073</t>
  </si>
  <si>
    <t>QFO241203000053</t>
  </si>
  <si>
    <t>12月案例结算0.4系数激励费用</t>
  </si>
  <si>
    <t>WRC240610000570</t>
  </si>
  <si>
    <t>6-11月案例补结超0.4系数激励费用</t>
  </si>
  <si>
    <t>WRC240605000559</t>
  </si>
  <si>
    <t>WRC240615000008</t>
  </si>
  <si>
    <t>WRC240619000025</t>
  </si>
  <si>
    <t>WRC240701000652</t>
  </si>
  <si>
    <t>WRC240808000012</t>
  </si>
  <si>
    <t>WRC240805000915</t>
  </si>
  <si>
    <t>WRC240820000754</t>
  </si>
  <si>
    <t>WRC240809000021</t>
  </si>
  <si>
    <t>WRC240902000630</t>
  </si>
  <si>
    <t>WRC240912000008</t>
  </si>
  <si>
    <t>WRC240912000568</t>
  </si>
  <si>
    <t>WRC240917000290</t>
  </si>
  <si>
    <t>WRC240930000401</t>
  </si>
  <si>
    <t>WRC241001000003</t>
  </si>
  <si>
    <t>WRC241008000453</t>
  </si>
  <si>
    <t>WRC241014000392</t>
  </si>
  <si>
    <t>WRC241022000018</t>
  </si>
  <si>
    <t>WRC241008000005</t>
  </si>
  <si>
    <t>WRC241016000004</t>
  </si>
  <si>
    <t>WRC241016000462</t>
  </si>
  <si>
    <t>WRC241106000350</t>
  </si>
  <si>
    <t>WRC241113000308</t>
  </si>
  <si>
    <t>WRC241118000311</t>
  </si>
  <si>
    <t>WRC241119000531</t>
  </si>
  <si>
    <t>WRC241120000016</t>
  </si>
  <si>
    <t>WRC240925000509</t>
  </si>
  <si>
    <t>WRC241111000443</t>
  </si>
  <si>
    <t>WRC241112000001</t>
  </si>
  <si>
    <t>WRC241112000004</t>
  </si>
  <si>
    <t>WRC241119000479</t>
  </si>
  <si>
    <t>WRC241119000526</t>
  </si>
  <si>
    <t>BC.AG.SS000549.01</t>
  </si>
  <si>
    <t>【T40/T20P】FPV模块</t>
  </si>
  <si>
    <t>YC.JG.ZS001303.03</t>
  </si>
  <si>
    <t>在位检测支架</t>
  </si>
  <si>
    <t>YC.JG.ZS001425.03</t>
  </si>
  <si>
    <t>前FPV盖</t>
  </si>
  <si>
    <t>YC.JG.ZS000983.04</t>
  </si>
  <si>
    <t>水泵支架</t>
  </si>
  <si>
    <t>YC.JG.FP000010.01</t>
  </si>
  <si>
    <t>电机保护罩</t>
  </si>
  <si>
    <t>BC.AG.SS000474.01</t>
  </si>
  <si>
    <t>10010S动力电机</t>
  </si>
  <si>
    <t>YC.SJ.GG000060.05</t>
  </si>
  <si>
    <t>【T10/T16/T20】3390桨正桨（CCW）</t>
  </si>
  <si>
    <t>YC.JG.ZS001010.07</t>
  </si>
  <si>
    <t>电调支架</t>
  </si>
  <si>
    <t>YC.JG.XW000038.03</t>
  </si>
  <si>
    <t>前框上碳板</t>
  </si>
  <si>
    <t>YC.JG.ZS000994.05</t>
  </si>
  <si>
    <t>后壳上盖</t>
  </si>
  <si>
    <t>YC.JG.ZS001001.05</t>
  </si>
  <si>
    <t>前壳上盖</t>
  </si>
  <si>
    <t>BC.AG.SS000483.01</t>
  </si>
  <si>
    <t>锁紧扣手柄组件</t>
  </si>
  <si>
    <t>YC.JG.BJ000541.02</t>
  </si>
  <si>
    <t>前框铝件</t>
  </si>
  <si>
    <t>YC.JG.ZS000990.03</t>
  </si>
  <si>
    <t>电机固定座</t>
  </si>
  <si>
    <t>BC.AG.SS000482.01</t>
  </si>
  <si>
    <t>中框碳管（右）</t>
  </si>
  <si>
    <t>BC.AG.SS000376.01</t>
  </si>
  <si>
    <t>上视雷达模块</t>
  </si>
  <si>
    <t>BC.AG.SS000380.02</t>
  </si>
  <si>
    <t>电调模块</t>
  </si>
  <si>
    <t>YC.JG.ZS000992.04</t>
  </si>
  <si>
    <t>机臂固定件（左）</t>
  </si>
  <si>
    <t>YC.JG.ZS001595.01</t>
  </si>
  <si>
    <t>前FPV支架</t>
  </si>
  <si>
    <t>YC.JG.XW000060.01</t>
  </si>
  <si>
    <t>雷达支撑碳管（长）</t>
  </si>
  <si>
    <t>YC.JG.XW000039.03</t>
  </si>
  <si>
    <t>机框碳板</t>
  </si>
  <si>
    <t>YC.JG.XW000037.01</t>
  </si>
  <si>
    <t>雷达支撑碳管（短）</t>
  </si>
  <si>
    <t>YC.JG.ZS000947.04</t>
  </si>
  <si>
    <t>脚架碳铝转接件</t>
  </si>
  <si>
    <t>YC.JG.XW000036.01</t>
  </si>
  <si>
    <t>脚架碳管</t>
  </si>
  <si>
    <t>YC.JG.CS000004.07</t>
  </si>
  <si>
    <t>水箱</t>
  </si>
  <si>
    <t>YC.JG.FP000008.02</t>
  </si>
  <si>
    <t>前壳下盖</t>
  </si>
  <si>
    <t>YC.JG.BJ000537.01</t>
  </si>
  <si>
    <t>脚架铝管</t>
  </si>
  <si>
    <t>BC.AG.SS000481.01</t>
  </si>
  <si>
    <t>中框碳管（左）</t>
  </si>
  <si>
    <t>BC.AG.SS000469.01</t>
  </si>
  <si>
    <t>单向阀组件（GKAS）</t>
  </si>
  <si>
    <t>YC.SJ.GG000061.05</t>
  </si>
  <si>
    <t>【T10/T16/T20】3390桨反桨（CW）</t>
  </si>
  <si>
    <t>BC.AG.SS000681.02</t>
  </si>
  <si>
    <t>【T50/T25】FPV模块</t>
  </si>
  <si>
    <t>BC.AG.SS000566.01</t>
  </si>
  <si>
    <t>10033动力电机-M4</t>
  </si>
  <si>
    <t>BC.AG.SS000986.01</t>
  </si>
  <si>
    <t>180度弯头组件</t>
  </si>
  <si>
    <t>BC.AG.SS000616.01</t>
  </si>
  <si>
    <t>【T40/T20P】航电模块H</t>
  </si>
  <si>
    <t>BC.AG.SS000668.01</t>
  </si>
  <si>
    <t>10033动力电机-M5</t>
  </si>
  <si>
    <t>CP.AG.00000608.01</t>
  </si>
  <si>
    <t>【T40充电器】T40充电器交流模块（不含输入线）</t>
  </si>
  <si>
    <t>BC.AG.SS000617.01</t>
  </si>
  <si>
    <t>【T40/T20P】航电模块L</t>
  </si>
  <si>
    <t>BC.AG.SS000565.01</t>
  </si>
  <si>
    <t>【T50/T25】离心电机</t>
  </si>
  <si>
    <t>YC.JG.CS000013.06</t>
  </si>
  <si>
    <t>【T20P】水箱（20L）</t>
  </si>
  <si>
    <t>BC.AG.SS000604.02</t>
  </si>
  <si>
    <t>【T40/T20P】离心喷头下盖</t>
  </si>
  <si>
    <t>YC.JG.FP000019.02</t>
  </si>
  <si>
    <t>【T20P】电机保护罩</t>
  </si>
  <si>
    <t>YC.JG.ZS002483.02</t>
  </si>
  <si>
    <t>【T40/T20P】离心喷杆</t>
  </si>
  <si>
    <t>YC.JG.ZS001964.04</t>
  </si>
  <si>
    <t>【T40/T20P】上反桨（U-CW）</t>
  </si>
  <si>
    <t>YC.JG.JS000019.09</t>
  </si>
  <si>
    <t>【T40/T20P】喷杆水管</t>
  </si>
  <si>
    <t>YC.JG.ZS002251.03</t>
  </si>
  <si>
    <t>【T40/T20P】水箱盖</t>
  </si>
  <si>
    <t>BC.AG.SS000563.01</t>
  </si>
  <si>
    <t>【T40/T20P】电调模块</t>
  </si>
  <si>
    <t>YC.JG.ZS001085.02</t>
  </si>
  <si>
    <t>【T40/T20P】水箱入水口滤网</t>
  </si>
  <si>
    <t>YC.SJ.WS002423.02</t>
  </si>
  <si>
    <t>【T40/T20P】水箱盖箍环</t>
  </si>
  <si>
    <t>YC.JG.ZS003383.04</t>
  </si>
  <si>
    <t>【T40/T20P】喷杆转接轴</t>
  </si>
  <si>
    <t>YC.JG.ZS001963.04</t>
  </si>
  <si>
    <t>【T40/T20P】上正桨（U-CCW）</t>
  </si>
  <si>
    <t>YC.XC.XX000841.03</t>
  </si>
  <si>
    <t>【T40/T20P】离心喷头信号线</t>
  </si>
  <si>
    <t>BC.AG.SS000939.02.F</t>
  </si>
  <si>
    <t>【T50/T25】前雷达模块</t>
  </si>
  <si>
    <t>BC.AG.SS000777.01</t>
  </si>
  <si>
    <t>M2机臂（左前）（包胶）</t>
  </si>
  <si>
    <t>YC.ST.LL000013.01</t>
  </si>
  <si>
    <t>【T40/T20P】M40-HC01400140-070039-0003-Y</t>
  </si>
  <si>
    <t>YC.JG.ZS002187.04</t>
  </si>
  <si>
    <t>【T40/T20P】脚架固定件（右前）</t>
  </si>
  <si>
    <t>YC.JG.BJ001168.05</t>
  </si>
  <si>
    <t>【T40】脚架铝管</t>
  </si>
  <si>
    <t>YC.JG.ZS000276.06</t>
  </si>
  <si>
    <t>【BS】甩盘</t>
  </si>
  <si>
    <t>YC.JG.ZS002416.03</t>
  </si>
  <si>
    <t>【T40/T20P】SDR保护旋套</t>
  </si>
  <si>
    <t>YC.JG.ZS001965.05</t>
  </si>
  <si>
    <t>【T40】下正桨（L-CCW）</t>
  </si>
  <si>
    <t>【BS】甩盘上盘</t>
  </si>
  <si>
    <t>YC.JG.XW000089.01</t>
  </si>
  <si>
    <t>【T40】脚架横杆</t>
  </si>
  <si>
    <t>YC.JG.ZS002285.03</t>
  </si>
  <si>
    <t>【T40】脚架三通</t>
  </si>
  <si>
    <t>YC.JG.ZS002188.04</t>
  </si>
  <si>
    <t>【T40/T20P】脚架固定件（左前）</t>
  </si>
  <si>
    <t>YC.JG.ZS002189.04</t>
  </si>
  <si>
    <t>【T40/T20P】脚架固定件（左后）</t>
  </si>
  <si>
    <t>BC.AG.SS000575.01</t>
  </si>
  <si>
    <t>【T40】锁紧扣手柄</t>
  </si>
  <si>
    <t>YC.JG.QX002221.01</t>
  </si>
  <si>
    <t>【BS】短轴</t>
  </si>
  <si>
    <t>YC.JG.ZS002190.04</t>
  </si>
  <si>
    <t>【T40/T20P】脚架固定件（右后）</t>
  </si>
  <si>
    <t>YC.JG.ZS002432.02</t>
  </si>
  <si>
    <t>【T40/T20P】前壳下盖2</t>
  </si>
  <si>
    <t>BC.AG.SS000574.01</t>
  </si>
  <si>
    <t>【T20P】M4机臂（右后）</t>
  </si>
  <si>
    <t>YC.JG.ZS002279.05</t>
  </si>
  <si>
    <t>【T40/T20P】FPV支架</t>
  </si>
  <si>
    <t>YC.JG.ZS002282.05</t>
  </si>
  <si>
    <t>【T40/T20P】前壳上盖</t>
  </si>
  <si>
    <t>BC.AG.SS000550.01</t>
  </si>
  <si>
    <t>【T40/T20P】称重模块</t>
  </si>
  <si>
    <t>YC.JG.ZS002283.05</t>
  </si>
  <si>
    <t>【T40/T20P】前壳下盖</t>
  </si>
  <si>
    <t>YC.JG.ZS001963.05</t>
  </si>
  <si>
    <t>YC.JG.ZS003829.01</t>
  </si>
  <si>
    <t>【T20P】桨叶垫片</t>
  </si>
  <si>
    <t>YC.XC.XX000853.05</t>
  </si>
  <si>
    <t>【T40/T20P】补光灯信号线</t>
  </si>
  <si>
    <t>BC.AG.SS000562.01</t>
  </si>
  <si>
    <t>【T40/T20P】前视觉组件</t>
  </si>
  <si>
    <t>BC.AG.SS000572.01</t>
  </si>
  <si>
    <t>【T20P】M2机臂（左前）</t>
  </si>
  <si>
    <t>BC.AG.SS000557.01</t>
  </si>
  <si>
    <t>【T20P】分线板模块</t>
  </si>
  <si>
    <t>BC.AG.SS000573.01</t>
  </si>
  <si>
    <t>【T20P】M3机臂（左后）</t>
  </si>
  <si>
    <t>YC.JG.ZS001964.05</t>
  </si>
  <si>
    <t>BC.AG.SS000571.01</t>
  </si>
  <si>
    <t>【T20P】M1机臂（右前）</t>
  </si>
  <si>
    <t>YC.JG.QX002208.05</t>
  </si>
  <si>
    <t>【T40/T20P】前壳支架（右）</t>
  </si>
  <si>
    <t>YC.JG.ZS002379.03</t>
  </si>
  <si>
    <t>【T40/T20P】电机上盖</t>
  </si>
  <si>
    <t>YC.XC.XS000012.05</t>
  </si>
  <si>
    <t>【T40】M3&amp;M4机臂电调复合线</t>
  </si>
  <si>
    <t>BC.AG.SS000558.01</t>
  </si>
  <si>
    <t>【T40】分电板模块</t>
  </si>
  <si>
    <t>BC.AG.SS000838.01</t>
  </si>
  <si>
    <t>【T50/T25】航电模块L</t>
  </si>
  <si>
    <t>YC.JG.QX002877.04</t>
  </si>
  <si>
    <t>【T40/T20P】喷杆固定螺母</t>
  </si>
  <si>
    <t>YC.JG.QX002209.05</t>
  </si>
  <si>
    <t>【T40/T20P】前壳支架（左）</t>
  </si>
  <si>
    <t>BC.AG.SS000645.01</t>
  </si>
  <si>
    <t>【T40/T20P】机臂在位检测信号线</t>
  </si>
  <si>
    <t>YC.JG.BJ001176.03</t>
  </si>
  <si>
    <t>【T20P】脚架铝管</t>
  </si>
  <si>
    <t>YC.JG.YZ000498.04</t>
  </si>
  <si>
    <t>【T40/T20P】全向雷达固定座</t>
  </si>
  <si>
    <t>YC.JG.QX002207.02</t>
  </si>
  <si>
    <t>【T40/T20P】雷达横杆</t>
  </si>
  <si>
    <t>YC.DZ.AA000275.02</t>
  </si>
  <si>
    <t>【T40/T20P】SDR天线</t>
  </si>
  <si>
    <t>售后credit（After-sale credit）</t>
  </si>
  <si>
    <t>CAS-18640825-J6S8T4</t>
  </si>
  <si>
    <t>CAS-19479999-Z9T1V0</t>
  </si>
  <si>
    <t>DB1560 智能飞行电池</t>
  </si>
  <si>
    <t>65VPL43DA0024F</t>
  </si>
  <si>
    <t>CAS-18361359-L1D7M5</t>
  </si>
  <si>
    <t>CAS-19664985-Z7J5Q4</t>
  </si>
  <si>
    <t>65VPL66DA10UKU</t>
  </si>
  <si>
    <t>CAS-19515667-G0R3T9</t>
  </si>
  <si>
    <t>CAS-19561182-F0Z5F3</t>
  </si>
  <si>
    <t>CP.AG.00000571.01</t>
  </si>
  <si>
    <t>T20P智能飞行电池</t>
  </si>
  <si>
    <t>57QPL81DA1023E</t>
  </si>
  <si>
    <t>CAS-19515664-G1J3Z0</t>
  </si>
  <si>
    <t>CAS-19584925-R7K8X3</t>
  </si>
  <si>
    <t>57QPL7XDA1022E</t>
  </si>
  <si>
    <t>CAS-17267916-B7M9J8</t>
  </si>
  <si>
    <t>YC.JG.MY001057.01</t>
  </si>
  <si>
    <t>AG701_负载_转接头胶套_01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</si>
</sst>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3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0"/>
      <color theme="0"/>
      <name val="Arial"/>
      <family val="2"/>
      <charset val="134"/>
    </font>
    <font>
      <b/>
      <sz val="10"/>
      <color theme="0"/>
      <name val="Arial"/>
      <family val="3"/>
      <charset val="134"/>
    </font>
    <font>
      <b/>
      <sz val="10"/>
      <color theme="0"/>
      <name val="黑体"/>
      <family val="3"/>
      <charset val="134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3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8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8" borderId="1" xfId="0" applyNumberFormat="1" applyFont="1" applyFill="1" applyBorder="1" applyAlignment="1">
      <alignment horizontal="center" vertical="center" wrapText="1"/>
    </xf>
    <xf numFmtId="0" fontId="19" fillId="8" borderId="1" xfId="0" applyNumberFormat="1" applyFont="1" applyFill="1" applyBorder="1" applyAlignment="1">
      <alignment horizontal="center" vertical="center" wrapText="1"/>
    </xf>
    <xf numFmtId="0" fontId="19" fillId="2" borderId="1" xfId="0" applyNumberFormat="1" applyFont="1" applyFill="1" applyBorder="1" applyAlignment="1">
      <alignment horizontal="center" vertical="center" wrapText="1"/>
    </xf>
    <xf numFmtId="0" fontId="20" fillId="8" borderId="1" xfId="0" applyNumberFormat="1" applyFont="1" applyFill="1" applyBorder="1" applyAlignment="1">
      <alignment horizontal="center" vertical="center" wrapText="1"/>
    </xf>
    <xf numFmtId="0" fontId="22" fillId="0" borderId="0" xfId="0" applyFont="1"/>
    <xf numFmtId="0" fontId="22" fillId="2" borderId="0" xfId="0" applyFont="1" applyFill="1"/>
    <xf numFmtId="176" fontId="22" fillId="0" borderId="0" xfId="0" applyNumberFormat="1" applyFont="1"/>
    <xf numFmtId="176" fontId="16" fillId="0" borderId="0" xfId="0" applyNumberFormat="1" applyFont="1"/>
    <xf numFmtId="0" fontId="3" fillId="0" borderId="0" xfId="0" applyFont="1"/>
    <xf numFmtId="0" fontId="23" fillId="9" borderId="2" xfId="0" applyFont="1" applyFill="1" applyBorder="1" applyAlignment="1">
      <alignment horizontal="center" vertical="center" wrapText="1"/>
    </xf>
    <xf numFmtId="177" fontId="23" fillId="9" borderId="2" xfId="0" applyNumberFormat="1" applyFont="1" applyFill="1" applyBorder="1" applyAlignment="1">
      <alignment horizontal="right" vertical="center"/>
    </xf>
    <xf numFmtId="0" fontId="23" fillId="9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/>
    </xf>
    <xf numFmtId="178" fontId="23" fillId="10" borderId="2" xfId="0" applyNumberFormat="1" applyFont="1" applyFill="1" applyBorder="1" applyAlignment="1">
      <alignment horizontal="center" vertical="center"/>
    </xf>
    <xf numFmtId="177" fontId="27" fillId="0" borderId="0" xfId="0" applyNumberFormat="1" applyFont="1" applyAlignment="1">
      <alignment horizontal="right" vertical="center"/>
    </xf>
    <xf numFmtId="0" fontId="28" fillId="8" borderId="2" xfId="0" applyNumberFormat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13" fillId="6" borderId="9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</cellXfs>
  <cellStyles count="3">
    <cellStyle name="常规" xfId="0" builtinId="0"/>
    <cellStyle name="常规 3 2 2 2" xfId="1" xr:uid="{627326A0-0419-4D66-A661-BBEC641EFF0A}"/>
    <cellStyle name="常规 4 2 2" xfId="2" xr:uid="{BA9096C5-CF53-47BD-98BB-14EE7BDFC522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20BC-7641-4E06-9B47-66D2910BC2B6}">
  <sheetPr codeName="Sheet4"/>
  <dimension ref="B1:F16"/>
  <sheetViews>
    <sheetView showGridLines="0" tabSelected="1" zoomScale="85" zoomScaleNormal="85" workbookViewId="0">
      <selection activeCell="E23" sqref="E23"/>
    </sheetView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51" t="s">
        <v>5</v>
      </c>
      <c r="C2" s="52"/>
      <c r="D2" s="52"/>
      <c r="E2" s="52"/>
      <c r="F2" s="53"/>
    </row>
    <row r="3" spans="2:6" ht="18.75" customHeight="1" x14ac:dyDescent="0.2">
      <c r="B3" s="4" t="s">
        <v>0</v>
      </c>
      <c r="C3" s="54" t="s">
        <v>83</v>
      </c>
      <c r="D3" s="55"/>
      <c r="E3" s="4" t="s">
        <v>6</v>
      </c>
      <c r="F3" s="5" t="s">
        <v>85</v>
      </c>
    </row>
    <row r="4" spans="2:6" ht="18" x14ac:dyDescent="0.2">
      <c r="B4" s="56" t="s">
        <v>7</v>
      </c>
      <c r="C4" s="57"/>
      <c r="D4" s="58"/>
      <c r="E4" s="6" t="s">
        <v>8</v>
      </c>
      <c r="F4" s="7" t="s">
        <v>9</v>
      </c>
    </row>
    <row r="5" spans="2:6" ht="16.899999999999999" customHeight="1" x14ac:dyDescent="0.2">
      <c r="B5" s="8" t="s">
        <v>10</v>
      </c>
      <c r="C5" s="9">
        <v>1</v>
      </c>
      <c r="D5" s="10" t="s">
        <v>11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9" t="s">
        <v>12</v>
      </c>
      <c r="C6" s="60"/>
      <c r="D6" s="61"/>
      <c r="E6" s="11">
        <f>E5</f>
        <v>0</v>
      </c>
      <c r="F6" s="13"/>
    </row>
    <row r="7" spans="2:6" ht="16.899999999999999" customHeight="1" x14ac:dyDescent="0.2">
      <c r="B7" s="62" t="s">
        <v>13</v>
      </c>
      <c r="C7" s="14">
        <v>1</v>
      </c>
      <c r="D7" s="10" t="s">
        <v>14</v>
      </c>
      <c r="E7" s="11">
        <f>SUMIF('spare parts fee'!C:C,'monthly bill'!F3,'spare parts fee'!M:M)</f>
        <v>8063.99</v>
      </c>
      <c r="F7" s="13"/>
    </row>
    <row r="8" spans="2:6" ht="16.899999999999999" customHeight="1" x14ac:dyDescent="0.2">
      <c r="B8" s="62"/>
      <c r="C8" s="14">
        <v>2</v>
      </c>
      <c r="D8" s="10" t="s">
        <v>15</v>
      </c>
      <c r="E8" s="15">
        <f>SUMIF('service fee'!C:C,'monthly bill'!F3,'service fee'!M:M)</f>
        <v>330</v>
      </c>
      <c r="F8" s="13"/>
    </row>
    <row r="9" spans="2:6" ht="16.899999999999999" customHeight="1" x14ac:dyDescent="0.2">
      <c r="B9" s="62"/>
      <c r="C9" s="14">
        <v>3</v>
      </c>
      <c r="D9" s="10" t="s">
        <v>2</v>
      </c>
      <c r="E9" s="15">
        <f>SUMIF('incentive labor fee'!A:A,'monthly bill'!F3,'incentive labor fee'!J:J)</f>
        <v>296.79999999999978</v>
      </c>
      <c r="F9" s="13"/>
    </row>
    <row r="10" spans="2:6" ht="16.899999999999999" customHeight="1" x14ac:dyDescent="0.2">
      <c r="B10" s="62"/>
      <c r="C10" s="14">
        <v>4</v>
      </c>
      <c r="D10" s="10" t="s">
        <v>3</v>
      </c>
      <c r="E10" s="15">
        <f>SUMIF('service prohibition'!C:C,'monthly bill'!F3,'service prohibition'!M:M)</f>
        <v>0</v>
      </c>
      <c r="F10" s="13"/>
    </row>
    <row r="11" spans="2:6" ht="16.899999999999999" customHeight="1" x14ac:dyDescent="0.2">
      <c r="B11" s="62"/>
      <c r="C11" s="14">
        <v>5</v>
      </c>
      <c r="D11" s="10" t="s">
        <v>4</v>
      </c>
      <c r="E11" s="15">
        <f>SUMIF('other compensation'!C:C,'monthly bill'!F3,'other compensation'!M:M)</f>
        <v>0</v>
      </c>
      <c r="F11" s="13"/>
    </row>
    <row r="12" spans="2:6" ht="16.899999999999999" customHeight="1" x14ac:dyDescent="0.2">
      <c r="B12" s="62"/>
      <c r="C12" s="14">
        <v>6</v>
      </c>
      <c r="D12" s="10" t="s">
        <v>16</v>
      </c>
      <c r="E12" s="15">
        <f>SUMIF('DOA to CM'!I:I,'monthly bill'!F3,'DOA to CM'!B:B)</f>
        <v>3347</v>
      </c>
      <c r="F12" s="13"/>
    </row>
    <row r="13" spans="2:6" ht="16.899999999999999" customHeight="1" x14ac:dyDescent="0.2">
      <c r="B13" s="59" t="s">
        <v>17</v>
      </c>
      <c r="C13" s="60"/>
      <c r="D13" s="61"/>
      <c r="E13" s="15">
        <f>E7+E8+E9+E10+E11+E12</f>
        <v>12037.789999999999</v>
      </c>
      <c r="F13" s="13"/>
    </row>
    <row r="14" spans="2:6" ht="16.5" x14ac:dyDescent="0.2">
      <c r="B14" s="45" t="s">
        <v>18</v>
      </c>
      <c r="C14" s="46"/>
      <c r="D14" s="47"/>
      <c r="E14" s="16">
        <f>E13+E6</f>
        <v>12037.789999999999</v>
      </c>
      <c r="F14" s="13" t="s">
        <v>19</v>
      </c>
    </row>
    <row r="15" spans="2:6" s="21" customFormat="1" ht="16.5" x14ac:dyDescent="0.2">
      <c r="B15" s="17" t="s">
        <v>20</v>
      </c>
      <c r="C15" s="18">
        <v>1</v>
      </c>
      <c r="D15" s="19" t="s">
        <v>21</v>
      </c>
      <c r="E15" s="2">
        <f>SUMIF('pre-payment balance'!D:D,F3,'pre-payment balance'!K:K)</f>
        <v>80</v>
      </c>
      <c r="F15" s="20"/>
    </row>
    <row r="16" spans="2:6" s="21" customFormat="1" ht="16.5" x14ac:dyDescent="0.2">
      <c r="B16" s="48" t="s">
        <v>22</v>
      </c>
      <c r="C16" s="49"/>
      <c r="D16" s="50"/>
      <c r="E16" s="22">
        <f>E15</f>
        <v>80</v>
      </c>
      <c r="F16" s="1" t="s">
        <v>23</v>
      </c>
    </row>
  </sheetData>
  <mergeCells count="8">
    <mergeCell ref="B14:D14"/>
    <mergeCell ref="B16:D16"/>
    <mergeCell ref="B2:F2"/>
    <mergeCell ref="C3:D3"/>
    <mergeCell ref="B4:D4"/>
    <mergeCell ref="B6:D6"/>
    <mergeCell ref="B7:B12"/>
    <mergeCell ref="B13:D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D6CC-8BEF-48AF-8ED6-64B6006F7951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9</v>
      </c>
      <c r="Q1" s="25" t="s">
        <v>37</v>
      </c>
    </row>
    <row r="3" spans="1:17" x14ac:dyDescent="0.2">
      <c r="A3" t="s">
        <v>86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786E-50AD-4570-AB33-970A0F3CF5FA}">
  <sheetPr codeName="Sheet6"/>
  <dimension ref="A1:Q24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6.75" customWidth="1"/>
    <col min="2" max="2" width="17.75" customWidth="1"/>
    <col min="3" max="3" width="15.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  <col min="12" max="13" width="9.625" bestFit="1" customWidth="1"/>
    <col min="14" max="14" width="12" bestFit="1" customWidth="1"/>
    <col min="17" max="17" width="9.375" bestFit="1" customWidth="1"/>
  </cols>
  <sheetData>
    <row r="1" spans="1:17" ht="15" x14ac:dyDescent="0.25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9</v>
      </c>
      <c r="Q1" s="25" t="s">
        <v>37</v>
      </c>
    </row>
    <row r="2" spans="1:17" x14ac:dyDescent="0.2">
      <c r="A2" t="s">
        <v>87</v>
      </c>
      <c r="B2" s="63">
        <v>45653.423055555555</v>
      </c>
      <c r="C2" t="s">
        <v>84</v>
      </c>
      <c r="D2" t="s">
        <v>82</v>
      </c>
      <c r="E2" t="s">
        <v>88</v>
      </c>
      <c r="F2" t="s">
        <v>89</v>
      </c>
      <c r="G2" t="s">
        <v>90</v>
      </c>
      <c r="H2" t="s">
        <v>91</v>
      </c>
      <c r="I2" t="s">
        <v>38</v>
      </c>
      <c r="J2" t="s">
        <v>92</v>
      </c>
      <c r="K2" t="s">
        <v>40</v>
      </c>
      <c r="L2">
        <v>198.59</v>
      </c>
      <c r="M2">
        <v>198.59</v>
      </c>
      <c r="N2">
        <v>38104.660000000003</v>
      </c>
      <c r="Q2">
        <v>202412</v>
      </c>
    </row>
    <row r="3" spans="1:17" x14ac:dyDescent="0.2">
      <c r="A3" t="s">
        <v>93</v>
      </c>
      <c r="B3" s="63">
        <v>45649.869351851848</v>
      </c>
      <c r="C3" t="s">
        <v>84</v>
      </c>
      <c r="D3" t="s">
        <v>82</v>
      </c>
      <c r="E3" t="s">
        <v>94</v>
      </c>
      <c r="F3" t="s">
        <v>89</v>
      </c>
      <c r="G3" t="s">
        <v>95</v>
      </c>
      <c r="H3" t="s">
        <v>91</v>
      </c>
      <c r="I3" t="s">
        <v>38</v>
      </c>
      <c r="J3" t="s">
        <v>92</v>
      </c>
      <c r="K3" t="s">
        <v>40</v>
      </c>
      <c r="L3">
        <v>1234.4100000000001</v>
      </c>
      <c r="M3">
        <v>1234.4100000000001</v>
      </c>
      <c r="N3">
        <v>37879.07</v>
      </c>
      <c r="Q3">
        <v>202412</v>
      </c>
    </row>
    <row r="4" spans="1:17" x14ac:dyDescent="0.2">
      <c r="A4" t="s">
        <v>96</v>
      </c>
      <c r="B4" s="63">
        <v>45645.860879629632</v>
      </c>
      <c r="C4" t="s">
        <v>84</v>
      </c>
      <c r="D4" t="s">
        <v>82</v>
      </c>
      <c r="E4" t="s">
        <v>97</v>
      </c>
      <c r="F4" t="s">
        <v>89</v>
      </c>
      <c r="G4" t="s">
        <v>98</v>
      </c>
      <c r="H4" t="s">
        <v>91</v>
      </c>
      <c r="I4" t="s">
        <v>38</v>
      </c>
      <c r="J4" t="s">
        <v>92</v>
      </c>
      <c r="K4" t="s">
        <v>40</v>
      </c>
      <c r="L4">
        <v>89.81</v>
      </c>
      <c r="M4">
        <v>89.81</v>
      </c>
      <c r="N4">
        <v>31124.66</v>
      </c>
      <c r="Q4">
        <v>202412</v>
      </c>
    </row>
    <row r="5" spans="1:17" x14ac:dyDescent="0.2">
      <c r="A5" t="s">
        <v>99</v>
      </c>
      <c r="B5" s="63">
        <v>45644.88890046296</v>
      </c>
      <c r="C5" t="s">
        <v>84</v>
      </c>
      <c r="D5" t="s">
        <v>82</v>
      </c>
      <c r="F5" t="s">
        <v>89</v>
      </c>
      <c r="G5" t="s">
        <v>100</v>
      </c>
      <c r="H5" t="s">
        <v>91</v>
      </c>
      <c r="I5" t="s">
        <v>38</v>
      </c>
      <c r="J5" t="s">
        <v>92</v>
      </c>
      <c r="K5" t="s">
        <v>40</v>
      </c>
      <c r="L5">
        <v>378.69</v>
      </c>
      <c r="M5">
        <v>378.69</v>
      </c>
      <c r="N5">
        <v>30912.25</v>
      </c>
      <c r="Q5">
        <v>202412</v>
      </c>
    </row>
    <row r="6" spans="1:17" x14ac:dyDescent="0.2">
      <c r="A6" t="s">
        <v>101</v>
      </c>
      <c r="B6" s="63">
        <v>45644.444490740738</v>
      </c>
      <c r="C6" t="s">
        <v>84</v>
      </c>
      <c r="D6" t="s">
        <v>82</v>
      </c>
      <c r="E6" t="s">
        <v>102</v>
      </c>
      <c r="F6" t="s">
        <v>89</v>
      </c>
      <c r="G6" t="s">
        <v>103</v>
      </c>
      <c r="H6" t="s">
        <v>91</v>
      </c>
      <c r="I6" t="s">
        <v>38</v>
      </c>
      <c r="J6" t="s">
        <v>92</v>
      </c>
      <c r="K6" t="s">
        <v>40</v>
      </c>
      <c r="L6">
        <v>117</v>
      </c>
      <c r="M6">
        <v>117</v>
      </c>
      <c r="N6">
        <v>30526.560000000001</v>
      </c>
      <c r="Q6">
        <v>202412</v>
      </c>
    </row>
    <row r="7" spans="1:17" x14ac:dyDescent="0.2">
      <c r="A7" t="s">
        <v>104</v>
      </c>
      <c r="B7" s="63">
        <v>45642.890081018515</v>
      </c>
      <c r="C7" t="s">
        <v>84</v>
      </c>
      <c r="D7" t="s">
        <v>82</v>
      </c>
      <c r="E7" t="s">
        <v>105</v>
      </c>
      <c r="F7" t="s">
        <v>89</v>
      </c>
      <c r="G7" t="s">
        <v>106</v>
      </c>
      <c r="H7" t="s">
        <v>91</v>
      </c>
      <c r="I7" t="s">
        <v>38</v>
      </c>
      <c r="J7" t="s">
        <v>92</v>
      </c>
      <c r="K7" t="s">
        <v>40</v>
      </c>
      <c r="L7">
        <v>822.55</v>
      </c>
      <c r="M7">
        <v>822.55</v>
      </c>
      <c r="N7">
        <v>30393.56</v>
      </c>
      <c r="Q7">
        <v>202412</v>
      </c>
    </row>
    <row r="8" spans="1:17" x14ac:dyDescent="0.2">
      <c r="A8" t="s">
        <v>107</v>
      </c>
      <c r="B8" s="63">
        <v>45642.889398148145</v>
      </c>
      <c r="C8" t="s">
        <v>84</v>
      </c>
      <c r="D8" t="s">
        <v>82</v>
      </c>
      <c r="F8" t="s">
        <v>89</v>
      </c>
      <c r="G8" t="s">
        <v>108</v>
      </c>
      <c r="H8" t="s">
        <v>91</v>
      </c>
      <c r="I8" t="s">
        <v>38</v>
      </c>
      <c r="J8" t="s">
        <v>92</v>
      </c>
      <c r="K8" t="s">
        <v>40</v>
      </c>
      <c r="L8">
        <v>432</v>
      </c>
      <c r="M8">
        <v>432</v>
      </c>
      <c r="N8">
        <v>29544.01</v>
      </c>
      <c r="Q8">
        <v>202412</v>
      </c>
    </row>
    <row r="9" spans="1:17" x14ac:dyDescent="0.2">
      <c r="A9" t="s">
        <v>109</v>
      </c>
      <c r="B9" s="63">
        <v>45642.88453703704</v>
      </c>
      <c r="C9" t="s">
        <v>84</v>
      </c>
      <c r="D9" t="s">
        <v>82</v>
      </c>
      <c r="E9" t="s">
        <v>105</v>
      </c>
      <c r="F9" t="s">
        <v>89</v>
      </c>
      <c r="G9" t="s">
        <v>110</v>
      </c>
      <c r="H9" t="s">
        <v>91</v>
      </c>
      <c r="I9" t="s">
        <v>38</v>
      </c>
      <c r="J9" t="s">
        <v>92</v>
      </c>
      <c r="K9" t="s">
        <v>40</v>
      </c>
      <c r="L9">
        <v>193.05</v>
      </c>
      <c r="M9">
        <v>193.05</v>
      </c>
      <c r="N9">
        <v>29096.01</v>
      </c>
      <c r="Q9">
        <v>202412</v>
      </c>
    </row>
    <row r="10" spans="1:17" x14ac:dyDescent="0.2">
      <c r="A10" t="s">
        <v>111</v>
      </c>
      <c r="B10" s="63">
        <v>45639.823518518519</v>
      </c>
      <c r="C10" t="s">
        <v>84</v>
      </c>
      <c r="D10" t="s">
        <v>82</v>
      </c>
      <c r="E10" t="s">
        <v>105</v>
      </c>
      <c r="F10" t="s">
        <v>89</v>
      </c>
      <c r="G10" t="s">
        <v>112</v>
      </c>
      <c r="H10" t="s">
        <v>91</v>
      </c>
      <c r="I10" t="s">
        <v>38</v>
      </c>
      <c r="J10" t="s">
        <v>92</v>
      </c>
      <c r="K10" t="s">
        <v>40</v>
      </c>
      <c r="L10">
        <v>597.77</v>
      </c>
      <c r="M10">
        <v>597.77</v>
      </c>
      <c r="N10">
        <v>28875.96</v>
      </c>
      <c r="Q10">
        <v>202412</v>
      </c>
    </row>
    <row r="11" spans="1:17" x14ac:dyDescent="0.2">
      <c r="A11" t="s">
        <v>113</v>
      </c>
      <c r="B11" s="63">
        <v>45639.823495370372</v>
      </c>
      <c r="C11" t="s">
        <v>84</v>
      </c>
      <c r="D11" t="s">
        <v>82</v>
      </c>
      <c r="E11" t="s">
        <v>94</v>
      </c>
      <c r="F11" t="s">
        <v>89</v>
      </c>
      <c r="G11" t="s">
        <v>114</v>
      </c>
      <c r="H11" t="s">
        <v>91</v>
      </c>
      <c r="I11" t="s">
        <v>38</v>
      </c>
      <c r="J11" t="s">
        <v>92</v>
      </c>
      <c r="K11" t="s">
        <v>40</v>
      </c>
      <c r="L11">
        <v>185.82</v>
      </c>
      <c r="M11">
        <v>185.82</v>
      </c>
      <c r="N11">
        <v>28271.19</v>
      </c>
      <c r="Q11">
        <v>202412</v>
      </c>
    </row>
    <row r="12" spans="1:17" x14ac:dyDescent="0.2">
      <c r="A12" t="s">
        <v>115</v>
      </c>
      <c r="B12" s="63">
        <v>45638.88690972222</v>
      </c>
      <c r="C12" t="s">
        <v>84</v>
      </c>
      <c r="D12" t="s">
        <v>82</v>
      </c>
      <c r="E12" t="s">
        <v>97</v>
      </c>
      <c r="F12" t="s">
        <v>89</v>
      </c>
      <c r="G12" t="s">
        <v>116</v>
      </c>
      <c r="H12" t="s">
        <v>91</v>
      </c>
      <c r="I12" t="s">
        <v>38</v>
      </c>
      <c r="J12" t="s">
        <v>92</v>
      </c>
      <c r="K12" t="s">
        <v>40</v>
      </c>
      <c r="L12">
        <v>4</v>
      </c>
      <c r="M12">
        <v>4</v>
      </c>
      <c r="N12">
        <v>28085.37</v>
      </c>
      <c r="Q12">
        <v>202412</v>
      </c>
    </row>
    <row r="13" spans="1:17" x14ac:dyDescent="0.2">
      <c r="A13" t="s">
        <v>117</v>
      </c>
      <c r="B13" s="63">
        <v>45638.884560185186</v>
      </c>
      <c r="C13" t="s">
        <v>84</v>
      </c>
      <c r="D13" t="s">
        <v>82</v>
      </c>
      <c r="E13" t="s">
        <v>88</v>
      </c>
      <c r="F13" t="s">
        <v>89</v>
      </c>
      <c r="G13" t="s">
        <v>118</v>
      </c>
      <c r="H13" t="s">
        <v>91</v>
      </c>
      <c r="I13" t="s">
        <v>38</v>
      </c>
      <c r="J13" t="s">
        <v>92</v>
      </c>
      <c r="K13" t="s">
        <v>40</v>
      </c>
      <c r="L13">
        <v>141.56</v>
      </c>
      <c r="M13">
        <v>141.56</v>
      </c>
      <c r="N13">
        <v>28074.37</v>
      </c>
      <c r="Q13">
        <v>202412</v>
      </c>
    </row>
    <row r="14" spans="1:17" x14ac:dyDescent="0.2">
      <c r="A14" t="s">
        <v>119</v>
      </c>
      <c r="B14" s="63">
        <v>45638.883831018517</v>
      </c>
      <c r="C14" t="s">
        <v>84</v>
      </c>
      <c r="D14" t="s">
        <v>82</v>
      </c>
      <c r="E14" t="s">
        <v>94</v>
      </c>
      <c r="F14" t="s">
        <v>89</v>
      </c>
      <c r="G14" t="s">
        <v>120</v>
      </c>
      <c r="H14" t="s">
        <v>91</v>
      </c>
      <c r="I14" t="s">
        <v>38</v>
      </c>
      <c r="J14" t="s">
        <v>92</v>
      </c>
      <c r="K14" t="s">
        <v>40</v>
      </c>
      <c r="L14">
        <v>117</v>
      </c>
      <c r="M14">
        <v>117</v>
      </c>
      <c r="N14">
        <v>27925.81</v>
      </c>
      <c r="Q14">
        <v>202412</v>
      </c>
    </row>
    <row r="15" spans="1:17" x14ac:dyDescent="0.2">
      <c r="A15" t="s">
        <v>121</v>
      </c>
      <c r="B15" s="63">
        <v>45637.427534722221</v>
      </c>
      <c r="C15" t="s">
        <v>84</v>
      </c>
      <c r="D15" t="s">
        <v>82</v>
      </c>
      <c r="F15" t="s">
        <v>89</v>
      </c>
      <c r="G15" t="s">
        <v>122</v>
      </c>
      <c r="H15" t="s">
        <v>91</v>
      </c>
      <c r="I15" t="s">
        <v>38</v>
      </c>
      <c r="J15" t="s">
        <v>92</v>
      </c>
      <c r="K15" t="s">
        <v>40</v>
      </c>
      <c r="L15">
        <v>378.69</v>
      </c>
      <c r="M15">
        <v>378.69</v>
      </c>
      <c r="N15">
        <v>27781.81</v>
      </c>
      <c r="Q15">
        <v>202412</v>
      </c>
    </row>
    <row r="16" spans="1:17" x14ac:dyDescent="0.2">
      <c r="A16" t="s">
        <v>123</v>
      </c>
      <c r="B16" s="63">
        <v>45637.420995370368</v>
      </c>
      <c r="C16" t="s">
        <v>84</v>
      </c>
      <c r="D16" t="s">
        <v>82</v>
      </c>
      <c r="E16" t="s">
        <v>94</v>
      </c>
      <c r="F16" t="s">
        <v>89</v>
      </c>
      <c r="G16" t="s">
        <v>124</v>
      </c>
      <c r="H16" t="s">
        <v>91</v>
      </c>
      <c r="I16" t="s">
        <v>38</v>
      </c>
      <c r="J16" t="s">
        <v>92</v>
      </c>
      <c r="K16" t="s">
        <v>40</v>
      </c>
      <c r="L16">
        <v>141.56</v>
      </c>
      <c r="M16">
        <v>141.56</v>
      </c>
      <c r="N16">
        <v>27396.12</v>
      </c>
      <c r="Q16">
        <v>202412</v>
      </c>
    </row>
    <row r="17" spans="1:17" x14ac:dyDescent="0.2">
      <c r="A17" t="s">
        <v>125</v>
      </c>
      <c r="B17" s="63">
        <v>45635.884120370371</v>
      </c>
      <c r="C17" t="s">
        <v>84</v>
      </c>
      <c r="D17" t="s">
        <v>82</v>
      </c>
      <c r="E17" t="s">
        <v>105</v>
      </c>
      <c r="F17" t="s">
        <v>89</v>
      </c>
      <c r="G17" t="s">
        <v>126</v>
      </c>
      <c r="H17" t="s">
        <v>91</v>
      </c>
      <c r="I17" t="s">
        <v>38</v>
      </c>
      <c r="J17" t="s">
        <v>92</v>
      </c>
      <c r="K17" t="s">
        <v>40</v>
      </c>
      <c r="L17">
        <v>493.27</v>
      </c>
      <c r="M17">
        <v>493.27</v>
      </c>
      <c r="N17">
        <v>27247.56</v>
      </c>
      <c r="Q17">
        <v>202412</v>
      </c>
    </row>
    <row r="18" spans="1:17" x14ac:dyDescent="0.2">
      <c r="A18" t="s">
        <v>127</v>
      </c>
      <c r="B18" s="63">
        <v>45632.899340277778</v>
      </c>
      <c r="C18" t="s">
        <v>84</v>
      </c>
      <c r="D18" t="s">
        <v>82</v>
      </c>
      <c r="E18" t="s">
        <v>128</v>
      </c>
      <c r="F18" t="s">
        <v>89</v>
      </c>
      <c r="G18" t="s">
        <v>129</v>
      </c>
      <c r="H18" t="s">
        <v>91</v>
      </c>
      <c r="I18" t="s">
        <v>38</v>
      </c>
      <c r="J18" t="s">
        <v>92</v>
      </c>
      <c r="K18" t="s">
        <v>40</v>
      </c>
      <c r="L18">
        <v>378.69</v>
      </c>
      <c r="M18">
        <v>378.69</v>
      </c>
      <c r="N18">
        <v>26727.29</v>
      </c>
      <c r="Q18">
        <v>202412</v>
      </c>
    </row>
    <row r="19" spans="1:17" x14ac:dyDescent="0.2">
      <c r="A19" t="s">
        <v>130</v>
      </c>
      <c r="B19" s="63">
        <v>45632.898055555554</v>
      </c>
      <c r="C19" t="s">
        <v>84</v>
      </c>
      <c r="D19" t="s">
        <v>82</v>
      </c>
      <c r="E19" t="s">
        <v>88</v>
      </c>
      <c r="F19" t="s">
        <v>89</v>
      </c>
      <c r="G19" t="s">
        <v>131</v>
      </c>
      <c r="H19" t="s">
        <v>91</v>
      </c>
      <c r="I19" t="s">
        <v>38</v>
      </c>
      <c r="J19" t="s">
        <v>92</v>
      </c>
      <c r="K19" t="s">
        <v>40</v>
      </c>
      <c r="L19">
        <v>476.12</v>
      </c>
      <c r="M19">
        <v>476.12</v>
      </c>
      <c r="N19">
        <v>26341.599999999999</v>
      </c>
      <c r="Q19">
        <v>202412</v>
      </c>
    </row>
    <row r="20" spans="1:17" x14ac:dyDescent="0.2">
      <c r="A20" t="s">
        <v>132</v>
      </c>
      <c r="B20" s="63">
        <v>45632.891284722224</v>
      </c>
      <c r="C20" t="s">
        <v>84</v>
      </c>
      <c r="D20" t="s">
        <v>82</v>
      </c>
      <c r="E20" t="s">
        <v>133</v>
      </c>
      <c r="F20" t="s">
        <v>89</v>
      </c>
      <c r="G20" t="s">
        <v>134</v>
      </c>
      <c r="H20" t="s">
        <v>91</v>
      </c>
      <c r="I20" t="s">
        <v>38</v>
      </c>
      <c r="J20" t="s">
        <v>92</v>
      </c>
      <c r="K20" t="s">
        <v>40</v>
      </c>
      <c r="L20">
        <v>89.81</v>
      </c>
      <c r="M20">
        <v>89.81</v>
      </c>
      <c r="N20">
        <v>25858.48</v>
      </c>
      <c r="Q20">
        <v>202412</v>
      </c>
    </row>
    <row r="21" spans="1:17" x14ac:dyDescent="0.2">
      <c r="A21" t="s">
        <v>135</v>
      </c>
      <c r="B21" s="63">
        <v>45630.908634259256</v>
      </c>
      <c r="C21" t="s">
        <v>84</v>
      </c>
      <c r="D21" t="s">
        <v>82</v>
      </c>
      <c r="F21" t="s">
        <v>89</v>
      </c>
      <c r="G21" t="s">
        <v>136</v>
      </c>
      <c r="H21" t="s">
        <v>91</v>
      </c>
      <c r="I21" t="s">
        <v>38</v>
      </c>
      <c r="J21" t="s">
        <v>92</v>
      </c>
      <c r="K21" t="s">
        <v>40</v>
      </c>
      <c r="L21">
        <v>378.69</v>
      </c>
      <c r="M21">
        <v>378.69</v>
      </c>
      <c r="N21">
        <v>25741.67</v>
      </c>
      <c r="Q21">
        <v>202412</v>
      </c>
    </row>
    <row r="22" spans="1:17" x14ac:dyDescent="0.2">
      <c r="A22" t="s">
        <v>137</v>
      </c>
      <c r="B22" s="63">
        <v>45630.905081018522</v>
      </c>
      <c r="C22" t="s">
        <v>84</v>
      </c>
      <c r="D22" t="s">
        <v>82</v>
      </c>
      <c r="E22" t="s">
        <v>133</v>
      </c>
      <c r="F22" t="s">
        <v>89</v>
      </c>
      <c r="G22" t="s">
        <v>138</v>
      </c>
      <c r="H22" t="s">
        <v>91</v>
      </c>
      <c r="I22" t="s">
        <v>38</v>
      </c>
      <c r="J22" t="s">
        <v>92</v>
      </c>
      <c r="K22" t="s">
        <v>40</v>
      </c>
      <c r="L22">
        <v>570</v>
      </c>
      <c r="M22">
        <v>570</v>
      </c>
      <c r="N22">
        <v>25355.98</v>
      </c>
      <c r="Q22">
        <v>202412</v>
      </c>
    </row>
    <row r="23" spans="1:17" x14ac:dyDescent="0.2">
      <c r="A23" t="s">
        <v>139</v>
      </c>
      <c r="B23" s="63">
        <v>45629.862349537034</v>
      </c>
      <c r="C23" t="s">
        <v>84</v>
      </c>
      <c r="D23" t="s">
        <v>82</v>
      </c>
      <c r="E23" t="s">
        <v>88</v>
      </c>
      <c r="F23" t="s">
        <v>89</v>
      </c>
      <c r="G23" t="s">
        <v>140</v>
      </c>
      <c r="H23" t="s">
        <v>91</v>
      </c>
      <c r="I23" t="s">
        <v>38</v>
      </c>
      <c r="J23" t="s">
        <v>92</v>
      </c>
      <c r="K23" t="s">
        <v>40</v>
      </c>
      <c r="L23">
        <v>74.91</v>
      </c>
      <c r="M23">
        <v>74.91</v>
      </c>
      <c r="N23">
        <v>24769.98</v>
      </c>
      <c r="Q23">
        <v>202412</v>
      </c>
    </row>
    <row r="24" spans="1:17" x14ac:dyDescent="0.2">
      <c r="A24" t="s">
        <v>141</v>
      </c>
      <c r="B24" s="63">
        <v>45629.862118055556</v>
      </c>
      <c r="C24" t="s">
        <v>84</v>
      </c>
      <c r="D24" t="s">
        <v>82</v>
      </c>
      <c r="E24" t="s">
        <v>94</v>
      </c>
      <c r="F24" t="s">
        <v>89</v>
      </c>
      <c r="G24" t="s">
        <v>142</v>
      </c>
      <c r="H24" t="s">
        <v>91</v>
      </c>
      <c r="I24" t="s">
        <v>38</v>
      </c>
      <c r="J24" t="s">
        <v>92</v>
      </c>
      <c r="K24" t="s">
        <v>40</v>
      </c>
      <c r="L24">
        <v>570</v>
      </c>
      <c r="M24">
        <v>570</v>
      </c>
      <c r="N24">
        <v>24688.07</v>
      </c>
      <c r="Q24">
        <v>202412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B2F0-6A25-4C46-8231-51B658FD369E}">
  <sheetPr codeName="Sheet10"/>
  <dimension ref="A1:Q2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2" max="2" width="14.875" customWidth="1"/>
    <col min="12" max="13" width="9.25" bestFit="1" customWidth="1"/>
    <col min="14" max="14" width="10.5" bestFit="1" customWidth="1"/>
    <col min="17" max="17" width="9.25" bestFit="1" customWidth="1"/>
  </cols>
  <sheetData>
    <row r="1" spans="1:17" ht="15" x14ac:dyDescent="0.25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9</v>
      </c>
      <c r="Q1" s="25" t="s">
        <v>41</v>
      </c>
    </row>
    <row r="2" spans="1:17" x14ac:dyDescent="0.2">
      <c r="A2" t="s">
        <v>143</v>
      </c>
      <c r="B2" s="63">
        <v>45653.423055555555</v>
      </c>
      <c r="C2" t="s">
        <v>84</v>
      </c>
      <c r="D2" t="s">
        <v>82</v>
      </c>
      <c r="E2" t="s">
        <v>88</v>
      </c>
      <c r="F2" t="s">
        <v>89</v>
      </c>
      <c r="G2" t="s">
        <v>90</v>
      </c>
      <c r="H2" t="s">
        <v>144</v>
      </c>
      <c r="I2" t="s">
        <v>38</v>
      </c>
      <c r="J2" t="s">
        <v>92</v>
      </c>
      <c r="K2" t="s">
        <v>40</v>
      </c>
      <c r="L2">
        <v>16</v>
      </c>
      <c r="M2">
        <v>16</v>
      </c>
      <c r="N2">
        <v>38120.660000000003</v>
      </c>
      <c r="Q2">
        <v>202412</v>
      </c>
    </row>
    <row r="3" spans="1:17" x14ac:dyDescent="0.2">
      <c r="A3" t="s">
        <v>145</v>
      </c>
      <c r="B3" s="63">
        <v>45649.869351851848</v>
      </c>
      <c r="C3" t="s">
        <v>84</v>
      </c>
      <c r="D3" t="s">
        <v>82</v>
      </c>
      <c r="E3" t="s">
        <v>94</v>
      </c>
      <c r="F3" t="s">
        <v>89</v>
      </c>
      <c r="G3" t="s">
        <v>95</v>
      </c>
      <c r="H3" t="s">
        <v>144</v>
      </c>
      <c r="I3" t="s">
        <v>38</v>
      </c>
      <c r="J3" t="s">
        <v>92</v>
      </c>
      <c r="K3" t="s">
        <v>40</v>
      </c>
      <c r="L3">
        <v>27</v>
      </c>
      <c r="M3">
        <v>27</v>
      </c>
      <c r="N3">
        <v>37906.07</v>
      </c>
      <c r="Q3">
        <v>202412</v>
      </c>
    </row>
    <row r="4" spans="1:17" x14ac:dyDescent="0.2">
      <c r="A4" t="s">
        <v>146</v>
      </c>
      <c r="B4" s="63">
        <v>45645.860879629632</v>
      </c>
      <c r="C4" t="s">
        <v>84</v>
      </c>
      <c r="D4" t="s">
        <v>82</v>
      </c>
      <c r="E4" t="s">
        <v>97</v>
      </c>
      <c r="F4" t="s">
        <v>89</v>
      </c>
      <c r="G4" t="s">
        <v>98</v>
      </c>
      <c r="H4" t="s">
        <v>144</v>
      </c>
      <c r="I4" t="s">
        <v>38</v>
      </c>
      <c r="J4" t="s">
        <v>92</v>
      </c>
      <c r="K4" t="s">
        <v>40</v>
      </c>
      <c r="L4">
        <v>7</v>
      </c>
      <c r="M4">
        <v>7</v>
      </c>
      <c r="N4">
        <v>31131.66</v>
      </c>
      <c r="Q4">
        <v>202412</v>
      </c>
    </row>
    <row r="5" spans="1:17" x14ac:dyDescent="0.2">
      <c r="A5" t="s">
        <v>147</v>
      </c>
      <c r="B5" s="63">
        <v>45644.88890046296</v>
      </c>
      <c r="C5" t="s">
        <v>84</v>
      </c>
      <c r="D5" t="s">
        <v>82</v>
      </c>
      <c r="F5" t="s">
        <v>89</v>
      </c>
      <c r="G5" t="s">
        <v>100</v>
      </c>
      <c r="H5" t="s">
        <v>144</v>
      </c>
      <c r="I5" t="s">
        <v>38</v>
      </c>
      <c r="J5" t="s">
        <v>92</v>
      </c>
      <c r="K5" t="s">
        <v>40</v>
      </c>
      <c r="L5">
        <v>27</v>
      </c>
      <c r="M5">
        <v>27</v>
      </c>
      <c r="N5">
        <v>30939.25</v>
      </c>
      <c r="Q5">
        <v>202412</v>
      </c>
    </row>
    <row r="6" spans="1:17" x14ac:dyDescent="0.2">
      <c r="A6" t="s">
        <v>148</v>
      </c>
      <c r="B6" s="63">
        <v>45644.444490740738</v>
      </c>
      <c r="C6" t="s">
        <v>84</v>
      </c>
      <c r="D6" t="s">
        <v>82</v>
      </c>
      <c r="E6" t="s">
        <v>102</v>
      </c>
      <c r="F6" t="s">
        <v>89</v>
      </c>
      <c r="G6" t="s">
        <v>103</v>
      </c>
      <c r="H6" t="s">
        <v>144</v>
      </c>
      <c r="I6" t="s">
        <v>38</v>
      </c>
      <c r="J6" t="s">
        <v>92</v>
      </c>
      <c r="K6" t="s">
        <v>40</v>
      </c>
      <c r="L6">
        <v>7</v>
      </c>
      <c r="M6">
        <v>7</v>
      </c>
      <c r="N6">
        <v>30533.56</v>
      </c>
      <c r="Q6">
        <v>202412</v>
      </c>
    </row>
    <row r="7" spans="1:17" x14ac:dyDescent="0.2">
      <c r="A7" t="s">
        <v>149</v>
      </c>
      <c r="B7" s="63">
        <v>45642.890081018515</v>
      </c>
      <c r="C7" t="s">
        <v>84</v>
      </c>
      <c r="D7" t="s">
        <v>82</v>
      </c>
      <c r="E7" t="s">
        <v>105</v>
      </c>
      <c r="F7" t="s">
        <v>89</v>
      </c>
      <c r="G7" t="s">
        <v>106</v>
      </c>
      <c r="H7" t="s">
        <v>144</v>
      </c>
      <c r="I7" t="s">
        <v>38</v>
      </c>
      <c r="J7" t="s">
        <v>92</v>
      </c>
      <c r="K7" t="s">
        <v>40</v>
      </c>
      <c r="L7">
        <v>16</v>
      </c>
      <c r="M7">
        <v>16</v>
      </c>
      <c r="N7">
        <v>30409.56</v>
      </c>
      <c r="Q7">
        <v>202412</v>
      </c>
    </row>
    <row r="8" spans="1:17" x14ac:dyDescent="0.2">
      <c r="A8" t="s">
        <v>150</v>
      </c>
      <c r="B8" s="63">
        <v>45642.889398148145</v>
      </c>
      <c r="C8" t="s">
        <v>84</v>
      </c>
      <c r="D8" t="s">
        <v>82</v>
      </c>
      <c r="F8" t="s">
        <v>89</v>
      </c>
      <c r="G8" t="s">
        <v>108</v>
      </c>
      <c r="H8" t="s">
        <v>144</v>
      </c>
      <c r="I8" t="s">
        <v>38</v>
      </c>
      <c r="J8" t="s">
        <v>92</v>
      </c>
      <c r="K8" t="s">
        <v>40</v>
      </c>
      <c r="L8">
        <v>27</v>
      </c>
      <c r="M8">
        <v>27</v>
      </c>
      <c r="N8">
        <v>29571.01</v>
      </c>
      <c r="Q8">
        <v>202412</v>
      </c>
    </row>
    <row r="9" spans="1:17" x14ac:dyDescent="0.2">
      <c r="A9" t="s">
        <v>151</v>
      </c>
      <c r="B9" s="63">
        <v>45642.88453703704</v>
      </c>
      <c r="C9" t="s">
        <v>84</v>
      </c>
      <c r="D9" t="s">
        <v>82</v>
      </c>
      <c r="E9" t="s">
        <v>105</v>
      </c>
      <c r="F9" t="s">
        <v>89</v>
      </c>
      <c r="G9" t="s">
        <v>110</v>
      </c>
      <c r="H9" t="s">
        <v>144</v>
      </c>
      <c r="I9" t="s">
        <v>38</v>
      </c>
      <c r="J9" t="s">
        <v>92</v>
      </c>
      <c r="K9" t="s">
        <v>40</v>
      </c>
      <c r="L9">
        <v>16</v>
      </c>
      <c r="M9">
        <v>16</v>
      </c>
      <c r="N9">
        <v>29112.01</v>
      </c>
      <c r="Q9">
        <v>202412</v>
      </c>
    </row>
    <row r="10" spans="1:17" x14ac:dyDescent="0.2">
      <c r="A10" t="s">
        <v>152</v>
      </c>
      <c r="B10" s="63">
        <v>45639.823518518519</v>
      </c>
      <c r="C10" t="s">
        <v>84</v>
      </c>
      <c r="D10" t="s">
        <v>82</v>
      </c>
      <c r="E10" t="s">
        <v>105</v>
      </c>
      <c r="F10" t="s">
        <v>89</v>
      </c>
      <c r="G10" t="s">
        <v>112</v>
      </c>
      <c r="H10" t="s">
        <v>144</v>
      </c>
      <c r="I10" t="s">
        <v>38</v>
      </c>
      <c r="J10" t="s">
        <v>92</v>
      </c>
      <c r="K10" t="s">
        <v>40</v>
      </c>
      <c r="L10">
        <v>27</v>
      </c>
      <c r="M10">
        <v>27</v>
      </c>
      <c r="N10">
        <v>28902.959999999999</v>
      </c>
      <c r="Q10">
        <v>202412</v>
      </c>
    </row>
    <row r="11" spans="1:17" x14ac:dyDescent="0.2">
      <c r="A11" t="s">
        <v>153</v>
      </c>
      <c r="B11" s="63">
        <v>45639.823495370372</v>
      </c>
      <c r="C11" t="s">
        <v>84</v>
      </c>
      <c r="D11" t="s">
        <v>82</v>
      </c>
      <c r="E11" t="s">
        <v>94</v>
      </c>
      <c r="F11" t="s">
        <v>89</v>
      </c>
      <c r="G11" t="s">
        <v>114</v>
      </c>
      <c r="H11" t="s">
        <v>144</v>
      </c>
      <c r="I11" t="s">
        <v>38</v>
      </c>
      <c r="J11" t="s">
        <v>92</v>
      </c>
      <c r="K11" t="s">
        <v>40</v>
      </c>
      <c r="L11">
        <v>7</v>
      </c>
      <c r="M11">
        <v>7</v>
      </c>
      <c r="N11">
        <v>28278.19</v>
      </c>
      <c r="Q11">
        <v>202412</v>
      </c>
    </row>
    <row r="12" spans="1:17" x14ac:dyDescent="0.2">
      <c r="A12" t="s">
        <v>154</v>
      </c>
      <c r="B12" s="63">
        <v>45638.884560185186</v>
      </c>
      <c r="C12" t="s">
        <v>84</v>
      </c>
      <c r="D12" t="s">
        <v>82</v>
      </c>
      <c r="E12" t="s">
        <v>88</v>
      </c>
      <c r="F12" t="s">
        <v>89</v>
      </c>
      <c r="G12" t="s">
        <v>118</v>
      </c>
      <c r="H12" t="s">
        <v>144</v>
      </c>
      <c r="I12" t="s">
        <v>38</v>
      </c>
      <c r="J12" t="s">
        <v>92</v>
      </c>
      <c r="K12" t="s">
        <v>40</v>
      </c>
      <c r="L12">
        <v>7</v>
      </c>
      <c r="M12">
        <v>7</v>
      </c>
      <c r="N12">
        <v>28081.37</v>
      </c>
      <c r="Q12">
        <v>202412</v>
      </c>
    </row>
    <row r="13" spans="1:17" x14ac:dyDescent="0.2">
      <c r="A13" t="s">
        <v>155</v>
      </c>
      <c r="B13" s="63">
        <v>45638.883842592593</v>
      </c>
      <c r="C13" t="s">
        <v>84</v>
      </c>
      <c r="D13" t="s">
        <v>82</v>
      </c>
      <c r="E13" t="s">
        <v>94</v>
      </c>
      <c r="F13" t="s">
        <v>89</v>
      </c>
      <c r="G13" t="s">
        <v>120</v>
      </c>
      <c r="H13" t="s">
        <v>144</v>
      </c>
      <c r="I13" t="s">
        <v>38</v>
      </c>
      <c r="J13" t="s">
        <v>92</v>
      </c>
      <c r="K13" t="s">
        <v>40</v>
      </c>
      <c r="L13">
        <v>7</v>
      </c>
      <c r="M13">
        <v>7</v>
      </c>
      <c r="N13">
        <v>27932.81</v>
      </c>
      <c r="Q13">
        <v>202412</v>
      </c>
    </row>
    <row r="14" spans="1:17" x14ac:dyDescent="0.2">
      <c r="A14" t="s">
        <v>156</v>
      </c>
      <c r="B14" s="63">
        <v>45637.427534722221</v>
      </c>
      <c r="C14" t="s">
        <v>84</v>
      </c>
      <c r="D14" t="s">
        <v>82</v>
      </c>
      <c r="F14" t="s">
        <v>89</v>
      </c>
      <c r="G14" t="s">
        <v>122</v>
      </c>
      <c r="H14" t="s">
        <v>144</v>
      </c>
      <c r="I14" t="s">
        <v>38</v>
      </c>
      <c r="J14" t="s">
        <v>92</v>
      </c>
      <c r="K14" t="s">
        <v>40</v>
      </c>
      <c r="L14">
        <v>27</v>
      </c>
      <c r="M14">
        <v>27</v>
      </c>
      <c r="N14">
        <v>27808.81</v>
      </c>
      <c r="Q14">
        <v>202412</v>
      </c>
    </row>
    <row r="15" spans="1:17" x14ac:dyDescent="0.2">
      <c r="A15" t="s">
        <v>157</v>
      </c>
      <c r="B15" s="63">
        <v>45637.420995370368</v>
      </c>
      <c r="C15" t="s">
        <v>84</v>
      </c>
      <c r="D15" t="s">
        <v>82</v>
      </c>
      <c r="E15" t="s">
        <v>94</v>
      </c>
      <c r="F15" t="s">
        <v>89</v>
      </c>
      <c r="G15" t="s">
        <v>124</v>
      </c>
      <c r="H15" t="s">
        <v>144</v>
      </c>
      <c r="I15" t="s">
        <v>38</v>
      </c>
      <c r="J15" t="s">
        <v>92</v>
      </c>
      <c r="K15" t="s">
        <v>40</v>
      </c>
      <c r="L15">
        <v>7</v>
      </c>
      <c r="M15">
        <v>7</v>
      </c>
      <c r="N15">
        <v>27403.119999999999</v>
      </c>
      <c r="Q15">
        <v>202412</v>
      </c>
    </row>
    <row r="16" spans="1:17" x14ac:dyDescent="0.2">
      <c r="A16" t="s">
        <v>158</v>
      </c>
      <c r="B16" s="63">
        <v>45635.884120370371</v>
      </c>
      <c r="C16" t="s">
        <v>84</v>
      </c>
      <c r="D16" t="s">
        <v>82</v>
      </c>
      <c r="E16" t="s">
        <v>105</v>
      </c>
      <c r="F16" t="s">
        <v>89</v>
      </c>
      <c r="G16" t="s">
        <v>126</v>
      </c>
      <c r="H16" t="s">
        <v>144</v>
      </c>
      <c r="I16" t="s">
        <v>38</v>
      </c>
      <c r="J16" t="s">
        <v>92</v>
      </c>
      <c r="K16" t="s">
        <v>40</v>
      </c>
      <c r="L16">
        <v>7</v>
      </c>
      <c r="M16">
        <v>7</v>
      </c>
      <c r="N16">
        <v>27254.560000000001</v>
      </c>
      <c r="Q16">
        <v>202412</v>
      </c>
    </row>
    <row r="17" spans="1:17" x14ac:dyDescent="0.2">
      <c r="A17" t="s">
        <v>159</v>
      </c>
      <c r="B17" s="63">
        <v>45632.899340277778</v>
      </c>
      <c r="C17" t="s">
        <v>84</v>
      </c>
      <c r="D17" t="s">
        <v>82</v>
      </c>
      <c r="E17" t="s">
        <v>128</v>
      </c>
      <c r="F17" t="s">
        <v>89</v>
      </c>
      <c r="G17" t="s">
        <v>129</v>
      </c>
      <c r="H17" t="s">
        <v>144</v>
      </c>
      <c r="I17" t="s">
        <v>38</v>
      </c>
      <c r="J17" t="s">
        <v>92</v>
      </c>
      <c r="K17" t="s">
        <v>40</v>
      </c>
      <c r="L17">
        <v>27</v>
      </c>
      <c r="M17">
        <v>27</v>
      </c>
      <c r="N17">
        <v>26754.29</v>
      </c>
      <c r="Q17">
        <v>202412</v>
      </c>
    </row>
    <row r="18" spans="1:17" x14ac:dyDescent="0.2">
      <c r="A18" t="s">
        <v>160</v>
      </c>
      <c r="B18" s="63">
        <v>45632.898055555554</v>
      </c>
      <c r="C18" t="s">
        <v>84</v>
      </c>
      <c r="D18" t="s">
        <v>82</v>
      </c>
      <c r="E18" t="s">
        <v>88</v>
      </c>
      <c r="F18" t="s">
        <v>89</v>
      </c>
      <c r="G18" t="s">
        <v>131</v>
      </c>
      <c r="H18" t="s">
        <v>144</v>
      </c>
      <c r="I18" t="s">
        <v>38</v>
      </c>
      <c r="J18" t="s">
        <v>92</v>
      </c>
      <c r="K18" t="s">
        <v>40</v>
      </c>
      <c r="L18">
        <v>7</v>
      </c>
      <c r="M18">
        <v>7</v>
      </c>
      <c r="N18">
        <v>26348.6</v>
      </c>
      <c r="Q18">
        <v>202412</v>
      </c>
    </row>
    <row r="19" spans="1:17" x14ac:dyDescent="0.2">
      <c r="A19" t="s">
        <v>161</v>
      </c>
      <c r="B19" s="63">
        <v>45632.891296296293</v>
      </c>
      <c r="C19" t="s">
        <v>84</v>
      </c>
      <c r="D19" t="s">
        <v>82</v>
      </c>
      <c r="E19" t="s">
        <v>133</v>
      </c>
      <c r="F19" t="s">
        <v>89</v>
      </c>
      <c r="G19" t="s">
        <v>134</v>
      </c>
      <c r="H19" t="s">
        <v>144</v>
      </c>
      <c r="I19" t="s">
        <v>38</v>
      </c>
      <c r="J19" t="s">
        <v>92</v>
      </c>
      <c r="K19" t="s">
        <v>40</v>
      </c>
      <c r="L19">
        <v>7</v>
      </c>
      <c r="M19">
        <v>7</v>
      </c>
      <c r="N19">
        <v>25865.48</v>
      </c>
      <c r="Q19">
        <v>202412</v>
      </c>
    </row>
    <row r="20" spans="1:17" x14ac:dyDescent="0.2">
      <c r="A20" t="s">
        <v>162</v>
      </c>
      <c r="B20" s="63">
        <v>45630.908634259256</v>
      </c>
      <c r="C20" t="s">
        <v>84</v>
      </c>
      <c r="D20" t="s">
        <v>82</v>
      </c>
      <c r="F20" t="s">
        <v>89</v>
      </c>
      <c r="G20" t="s">
        <v>136</v>
      </c>
      <c r="H20" t="s">
        <v>144</v>
      </c>
      <c r="I20" t="s">
        <v>38</v>
      </c>
      <c r="J20" t="s">
        <v>92</v>
      </c>
      <c r="K20" t="s">
        <v>40</v>
      </c>
      <c r="L20">
        <v>27</v>
      </c>
      <c r="M20">
        <v>27</v>
      </c>
      <c r="N20">
        <v>25768.67</v>
      </c>
      <c r="Q20">
        <v>202412</v>
      </c>
    </row>
    <row r="21" spans="1:17" x14ac:dyDescent="0.2">
      <c r="A21" t="s">
        <v>163</v>
      </c>
      <c r="B21" s="63">
        <v>45630.905081018522</v>
      </c>
      <c r="C21" t="s">
        <v>84</v>
      </c>
      <c r="D21" t="s">
        <v>82</v>
      </c>
      <c r="E21" t="s">
        <v>133</v>
      </c>
      <c r="F21" t="s">
        <v>89</v>
      </c>
      <c r="G21" t="s">
        <v>138</v>
      </c>
      <c r="H21" t="s">
        <v>144</v>
      </c>
      <c r="I21" t="s">
        <v>38</v>
      </c>
      <c r="J21" t="s">
        <v>92</v>
      </c>
      <c r="K21" t="s">
        <v>40</v>
      </c>
      <c r="L21">
        <v>7</v>
      </c>
      <c r="M21">
        <v>7</v>
      </c>
      <c r="N21">
        <v>25362.98</v>
      </c>
      <c r="Q21">
        <v>202412</v>
      </c>
    </row>
    <row r="22" spans="1:17" x14ac:dyDescent="0.2">
      <c r="A22" t="s">
        <v>164</v>
      </c>
      <c r="B22" s="63">
        <v>45629.862349537034</v>
      </c>
      <c r="C22" t="s">
        <v>84</v>
      </c>
      <c r="D22" t="s">
        <v>82</v>
      </c>
      <c r="E22" t="s">
        <v>88</v>
      </c>
      <c r="F22" t="s">
        <v>89</v>
      </c>
      <c r="G22" t="s">
        <v>140</v>
      </c>
      <c r="H22" t="s">
        <v>144</v>
      </c>
      <c r="I22" t="s">
        <v>38</v>
      </c>
      <c r="J22" t="s">
        <v>92</v>
      </c>
      <c r="K22" t="s">
        <v>40</v>
      </c>
      <c r="L22">
        <v>16</v>
      </c>
      <c r="M22">
        <v>16</v>
      </c>
      <c r="N22">
        <v>24785.98</v>
      </c>
      <c r="Q22">
        <v>202412</v>
      </c>
    </row>
    <row r="23" spans="1:17" x14ac:dyDescent="0.2">
      <c r="A23" t="s">
        <v>165</v>
      </c>
      <c r="B23" s="63">
        <v>45629.862118055556</v>
      </c>
      <c r="C23" t="s">
        <v>84</v>
      </c>
      <c r="D23" t="s">
        <v>82</v>
      </c>
      <c r="E23" t="s">
        <v>94</v>
      </c>
      <c r="F23" t="s">
        <v>89</v>
      </c>
      <c r="G23" t="s">
        <v>142</v>
      </c>
      <c r="H23" t="s">
        <v>144</v>
      </c>
      <c r="I23" t="s">
        <v>38</v>
      </c>
      <c r="J23" t="s">
        <v>92</v>
      </c>
      <c r="K23" t="s">
        <v>40</v>
      </c>
      <c r="L23">
        <v>7</v>
      </c>
      <c r="M23">
        <v>7</v>
      </c>
      <c r="N23">
        <v>24695.07</v>
      </c>
      <c r="Q23">
        <v>202412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BFFF-8540-4836-9D15-95BAECC3595E}">
  <sheetPr codeName="Sheet11"/>
  <dimension ref="A1:L5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125" customWidth="1"/>
    <col min="2" max="2" width="17.375" customWidth="1"/>
    <col min="3" max="8" width="13.5" customWidth="1"/>
    <col min="9" max="9" width="18.25" customWidth="1"/>
    <col min="10" max="10" width="13.25" bestFit="1" customWidth="1"/>
  </cols>
  <sheetData>
    <row r="1" spans="1:12" ht="15" x14ac:dyDescent="0.25">
      <c r="A1" s="24" t="s">
        <v>1</v>
      </c>
      <c r="B1" s="24" t="s">
        <v>0</v>
      </c>
      <c r="C1" s="23" t="s">
        <v>26</v>
      </c>
      <c r="D1" s="23" t="s">
        <v>28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9</v>
      </c>
      <c r="L1" s="25" t="s">
        <v>41</v>
      </c>
    </row>
    <row r="2" spans="1:12" x14ac:dyDescent="0.2">
      <c r="A2" t="s">
        <v>84</v>
      </c>
      <c r="B2" t="s">
        <v>82</v>
      </c>
      <c r="C2" t="s">
        <v>82</v>
      </c>
      <c r="D2" t="s">
        <v>136</v>
      </c>
      <c r="E2" t="s">
        <v>42</v>
      </c>
      <c r="F2" t="s">
        <v>38</v>
      </c>
      <c r="G2" t="s">
        <v>39</v>
      </c>
      <c r="H2" t="s">
        <v>40</v>
      </c>
      <c r="I2">
        <v>10.8</v>
      </c>
      <c r="J2">
        <v>10.8</v>
      </c>
      <c r="K2" t="s">
        <v>166</v>
      </c>
      <c r="L2">
        <v>202412</v>
      </c>
    </row>
    <row r="3" spans="1:12" x14ac:dyDescent="0.2">
      <c r="A3" t="s">
        <v>84</v>
      </c>
      <c r="B3" t="s">
        <v>82</v>
      </c>
      <c r="C3" t="s">
        <v>82</v>
      </c>
      <c r="D3" t="s">
        <v>122</v>
      </c>
      <c r="E3" t="s">
        <v>42</v>
      </c>
      <c r="F3" t="s">
        <v>38</v>
      </c>
      <c r="G3" t="s">
        <v>39</v>
      </c>
      <c r="H3" t="s">
        <v>40</v>
      </c>
      <c r="I3">
        <v>10.8</v>
      </c>
      <c r="J3">
        <v>10.8</v>
      </c>
      <c r="K3" t="s">
        <v>166</v>
      </c>
      <c r="L3">
        <v>202412</v>
      </c>
    </row>
    <row r="4" spans="1:12" x14ac:dyDescent="0.2">
      <c r="A4" t="s">
        <v>84</v>
      </c>
      <c r="B4" t="s">
        <v>82</v>
      </c>
      <c r="C4" t="s">
        <v>82</v>
      </c>
      <c r="D4" t="s">
        <v>108</v>
      </c>
      <c r="E4" t="s">
        <v>42</v>
      </c>
      <c r="F4" t="s">
        <v>38</v>
      </c>
      <c r="G4" t="s">
        <v>39</v>
      </c>
      <c r="H4" t="s">
        <v>40</v>
      </c>
      <c r="I4">
        <v>10.8</v>
      </c>
      <c r="J4">
        <v>10.8</v>
      </c>
      <c r="K4" t="s">
        <v>166</v>
      </c>
      <c r="L4">
        <v>202412</v>
      </c>
    </row>
    <row r="5" spans="1:12" x14ac:dyDescent="0.2">
      <c r="A5" t="s">
        <v>84</v>
      </c>
      <c r="B5" t="s">
        <v>82</v>
      </c>
      <c r="C5" t="s">
        <v>82</v>
      </c>
      <c r="D5" t="s">
        <v>100</v>
      </c>
      <c r="E5" t="s">
        <v>42</v>
      </c>
      <c r="F5" t="s">
        <v>38</v>
      </c>
      <c r="G5" t="s">
        <v>39</v>
      </c>
      <c r="H5" t="s">
        <v>40</v>
      </c>
      <c r="I5">
        <v>10.8</v>
      </c>
      <c r="J5">
        <v>10.8</v>
      </c>
      <c r="K5" t="s">
        <v>166</v>
      </c>
      <c r="L5">
        <v>202412</v>
      </c>
    </row>
    <row r="6" spans="1:12" x14ac:dyDescent="0.2">
      <c r="A6" t="s">
        <v>84</v>
      </c>
      <c r="B6" t="s">
        <v>82</v>
      </c>
      <c r="C6" t="s">
        <v>97</v>
      </c>
      <c r="D6" t="s">
        <v>98</v>
      </c>
      <c r="E6" t="s">
        <v>42</v>
      </c>
      <c r="F6" t="s">
        <v>38</v>
      </c>
      <c r="G6" t="s">
        <v>39</v>
      </c>
      <c r="H6" t="s">
        <v>40</v>
      </c>
      <c r="I6">
        <v>2.8</v>
      </c>
      <c r="J6">
        <v>2.8</v>
      </c>
      <c r="K6" t="s">
        <v>166</v>
      </c>
      <c r="L6">
        <v>202412</v>
      </c>
    </row>
    <row r="7" spans="1:12" x14ac:dyDescent="0.2">
      <c r="A7" t="s">
        <v>84</v>
      </c>
      <c r="B7" t="s">
        <v>82</v>
      </c>
      <c r="C7" t="s">
        <v>105</v>
      </c>
      <c r="D7" t="s">
        <v>106</v>
      </c>
      <c r="E7" t="s">
        <v>42</v>
      </c>
      <c r="F7" t="s">
        <v>38</v>
      </c>
      <c r="G7" t="s">
        <v>39</v>
      </c>
      <c r="H7" t="s">
        <v>40</v>
      </c>
      <c r="I7">
        <v>6.4</v>
      </c>
      <c r="J7">
        <v>6.4</v>
      </c>
      <c r="K7" t="s">
        <v>166</v>
      </c>
      <c r="L7">
        <v>202412</v>
      </c>
    </row>
    <row r="8" spans="1:12" x14ac:dyDescent="0.2">
      <c r="A8" t="s">
        <v>84</v>
      </c>
      <c r="B8" t="s">
        <v>82</v>
      </c>
      <c r="C8" t="s">
        <v>105</v>
      </c>
      <c r="D8" t="s">
        <v>126</v>
      </c>
      <c r="E8" t="s">
        <v>42</v>
      </c>
      <c r="F8" t="s">
        <v>38</v>
      </c>
      <c r="G8" t="s">
        <v>39</v>
      </c>
      <c r="H8" t="s">
        <v>40</v>
      </c>
      <c r="I8">
        <v>2.8</v>
      </c>
      <c r="J8">
        <v>2.8</v>
      </c>
      <c r="K8" t="s">
        <v>166</v>
      </c>
      <c r="L8">
        <v>202412</v>
      </c>
    </row>
    <row r="9" spans="1:12" x14ac:dyDescent="0.2">
      <c r="A9" t="s">
        <v>84</v>
      </c>
      <c r="B9" t="s">
        <v>82</v>
      </c>
      <c r="C9" t="s">
        <v>105</v>
      </c>
      <c r="D9" t="s">
        <v>112</v>
      </c>
      <c r="E9" t="s">
        <v>42</v>
      </c>
      <c r="F9" t="s">
        <v>38</v>
      </c>
      <c r="G9" t="s">
        <v>39</v>
      </c>
      <c r="H9" t="s">
        <v>40</v>
      </c>
      <c r="I9">
        <v>10.8</v>
      </c>
      <c r="J9">
        <v>10.8</v>
      </c>
      <c r="K9" t="s">
        <v>166</v>
      </c>
      <c r="L9">
        <v>202412</v>
      </c>
    </row>
    <row r="10" spans="1:12" x14ac:dyDescent="0.2">
      <c r="A10" t="s">
        <v>84</v>
      </c>
      <c r="B10" t="s">
        <v>82</v>
      </c>
      <c r="C10" t="s">
        <v>105</v>
      </c>
      <c r="D10" t="s">
        <v>110</v>
      </c>
      <c r="E10" t="s">
        <v>42</v>
      </c>
      <c r="F10" t="s">
        <v>38</v>
      </c>
      <c r="G10" t="s">
        <v>39</v>
      </c>
      <c r="H10" t="s">
        <v>40</v>
      </c>
      <c r="I10">
        <v>6.4</v>
      </c>
      <c r="J10">
        <v>6.4</v>
      </c>
      <c r="K10" t="s">
        <v>166</v>
      </c>
      <c r="L10">
        <v>202412</v>
      </c>
    </row>
    <row r="11" spans="1:12" x14ac:dyDescent="0.2">
      <c r="A11" t="s">
        <v>84</v>
      </c>
      <c r="B11" t="s">
        <v>82</v>
      </c>
      <c r="C11" t="s">
        <v>94</v>
      </c>
      <c r="D11" t="s">
        <v>142</v>
      </c>
      <c r="E11" t="s">
        <v>42</v>
      </c>
      <c r="F11" t="s">
        <v>38</v>
      </c>
      <c r="G11" t="s">
        <v>39</v>
      </c>
      <c r="H11" t="s">
        <v>40</v>
      </c>
      <c r="I11">
        <v>2.8</v>
      </c>
      <c r="J11">
        <v>2.8</v>
      </c>
      <c r="K11" t="s">
        <v>166</v>
      </c>
      <c r="L11">
        <v>202412</v>
      </c>
    </row>
    <row r="12" spans="1:12" x14ac:dyDescent="0.2">
      <c r="A12" t="s">
        <v>84</v>
      </c>
      <c r="B12" t="s">
        <v>82</v>
      </c>
      <c r="C12" t="s">
        <v>94</v>
      </c>
      <c r="D12" t="s">
        <v>124</v>
      </c>
      <c r="E12" t="s">
        <v>42</v>
      </c>
      <c r="F12" t="s">
        <v>38</v>
      </c>
      <c r="G12" t="s">
        <v>39</v>
      </c>
      <c r="H12" t="s">
        <v>40</v>
      </c>
      <c r="I12">
        <v>2.8</v>
      </c>
      <c r="J12">
        <v>2.8</v>
      </c>
      <c r="K12" t="s">
        <v>166</v>
      </c>
      <c r="L12">
        <v>202412</v>
      </c>
    </row>
    <row r="13" spans="1:12" x14ac:dyDescent="0.2">
      <c r="A13" t="s">
        <v>84</v>
      </c>
      <c r="B13" t="s">
        <v>82</v>
      </c>
      <c r="C13" t="s">
        <v>94</v>
      </c>
      <c r="D13" t="s">
        <v>120</v>
      </c>
      <c r="E13" t="s">
        <v>42</v>
      </c>
      <c r="F13" t="s">
        <v>38</v>
      </c>
      <c r="G13" t="s">
        <v>39</v>
      </c>
      <c r="H13" t="s">
        <v>40</v>
      </c>
      <c r="I13">
        <v>2.8</v>
      </c>
      <c r="J13">
        <v>2.8</v>
      </c>
      <c r="K13" t="s">
        <v>166</v>
      </c>
      <c r="L13">
        <v>202412</v>
      </c>
    </row>
    <row r="14" spans="1:12" x14ac:dyDescent="0.2">
      <c r="A14" t="s">
        <v>84</v>
      </c>
      <c r="B14" t="s">
        <v>82</v>
      </c>
      <c r="C14" t="s">
        <v>94</v>
      </c>
      <c r="D14" t="s">
        <v>114</v>
      </c>
      <c r="E14" t="s">
        <v>42</v>
      </c>
      <c r="F14" t="s">
        <v>38</v>
      </c>
      <c r="G14" t="s">
        <v>39</v>
      </c>
      <c r="H14" t="s">
        <v>40</v>
      </c>
      <c r="I14">
        <v>2.8</v>
      </c>
      <c r="J14">
        <v>2.8</v>
      </c>
      <c r="K14" t="s">
        <v>166</v>
      </c>
      <c r="L14">
        <v>202412</v>
      </c>
    </row>
    <row r="15" spans="1:12" x14ac:dyDescent="0.2">
      <c r="A15" t="s">
        <v>84</v>
      </c>
      <c r="B15" t="s">
        <v>82</v>
      </c>
      <c r="C15" t="s">
        <v>94</v>
      </c>
      <c r="D15" t="s">
        <v>95</v>
      </c>
      <c r="E15" t="s">
        <v>42</v>
      </c>
      <c r="F15" t="s">
        <v>38</v>
      </c>
      <c r="G15" t="s">
        <v>39</v>
      </c>
      <c r="H15" t="s">
        <v>40</v>
      </c>
      <c r="I15">
        <v>10.8</v>
      </c>
      <c r="J15">
        <v>10.8</v>
      </c>
      <c r="K15" t="s">
        <v>166</v>
      </c>
      <c r="L15">
        <v>202412</v>
      </c>
    </row>
    <row r="16" spans="1:12" x14ac:dyDescent="0.2">
      <c r="A16" t="s">
        <v>84</v>
      </c>
      <c r="B16" t="s">
        <v>82</v>
      </c>
      <c r="C16" t="s">
        <v>128</v>
      </c>
      <c r="D16" t="s">
        <v>129</v>
      </c>
      <c r="E16" t="s">
        <v>42</v>
      </c>
      <c r="F16" t="s">
        <v>38</v>
      </c>
      <c r="G16" t="s">
        <v>39</v>
      </c>
      <c r="H16" t="s">
        <v>40</v>
      </c>
      <c r="I16">
        <v>10.8</v>
      </c>
      <c r="J16">
        <v>10.8</v>
      </c>
      <c r="K16" t="s">
        <v>166</v>
      </c>
      <c r="L16">
        <v>202412</v>
      </c>
    </row>
    <row r="17" spans="1:12" x14ac:dyDescent="0.2">
      <c r="A17" t="s">
        <v>84</v>
      </c>
      <c r="B17" t="s">
        <v>82</v>
      </c>
      <c r="C17" t="s">
        <v>102</v>
      </c>
      <c r="D17" t="s">
        <v>103</v>
      </c>
      <c r="E17" t="s">
        <v>42</v>
      </c>
      <c r="F17" t="s">
        <v>38</v>
      </c>
      <c r="G17" t="s">
        <v>39</v>
      </c>
      <c r="H17" t="s">
        <v>40</v>
      </c>
      <c r="I17">
        <v>2.8</v>
      </c>
      <c r="J17">
        <v>2.8</v>
      </c>
      <c r="K17" t="s">
        <v>166</v>
      </c>
      <c r="L17">
        <v>202412</v>
      </c>
    </row>
    <row r="18" spans="1:12" x14ac:dyDescent="0.2">
      <c r="A18" t="s">
        <v>84</v>
      </c>
      <c r="B18" t="s">
        <v>82</v>
      </c>
      <c r="C18" t="s">
        <v>88</v>
      </c>
      <c r="D18" t="s">
        <v>140</v>
      </c>
      <c r="E18" t="s">
        <v>42</v>
      </c>
      <c r="F18" t="s">
        <v>38</v>
      </c>
      <c r="G18" t="s">
        <v>39</v>
      </c>
      <c r="H18" t="s">
        <v>40</v>
      </c>
      <c r="I18">
        <v>6.4</v>
      </c>
      <c r="J18">
        <v>6.4</v>
      </c>
      <c r="K18" t="s">
        <v>166</v>
      </c>
      <c r="L18">
        <v>202412</v>
      </c>
    </row>
    <row r="19" spans="1:12" x14ac:dyDescent="0.2">
      <c r="A19" t="s">
        <v>84</v>
      </c>
      <c r="B19" t="s">
        <v>82</v>
      </c>
      <c r="C19" t="s">
        <v>88</v>
      </c>
      <c r="D19" t="s">
        <v>131</v>
      </c>
      <c r="E19" t="s">
        <v>42</v>
      </c>
      <c r="F19" t="s">
        <v>38</v>
      </c>
      <c r="G19" t="s">
        <v>39</v>
      </c>
      <c r="H19" t="s">
        <v>40</v>
      </c>
      <c r="I19">
        <v>2.8</v>
      </c>
      <c r="J19">
        <v>2.8</v>
      </c>
      <c r="K19" t="s">
        <v>166</v>
      </c>
      <c r="L19">
        <v>202412</v>
      </c>
    </row>
    <row r="20" spans="1:12" x14ac:dyDescent="0.2">
      <c r="A20" t="s">
        <v>84</v>
      </c>
      <c r="B20" t="s">
        <v>82</v>
      </c>
      <c r="C20" t="s">
        <v>88</v>
      </c>
      <c r="D20" t="s">
        <v>118</v>
      </c>
      <c r="E20" t="s">
        <v>42</v>
      </c>
      <c r="F20" t="s">
        <v>38</v>
      </c>
      <c r="G20" t="s">
        <v>39</v>
      </c>
      <c r="H20" t="s">
        <v>40</v>
      </c>
      <c r="I20">
        <v>2.8</v>
      </c>
      <c r="J20">
        <v>2.8</v>
      </c>
      <c r="K20" t="s">
        <v>166</v>
      </c>
      <c r="L20">
        <v>202412</v>
      </c>
    </row>
    <row r="21" spans="1:12" x14ac:dyDescent="0.2">
      <c r="A21" t="s">
        <v>84</v>
      </c>
      <c r="B21" t="s">
        <v>82</v>
      </c>
      <c r="C21" t="s">
        <v>88</v>
      </c>
      <c r="D21" t="s">
        <v>90</v>
      </c>
      <c r="E21" t="s">
        <v>42</v>
      </c>
      <c r="F21" t="s">
        <v>38</v>
      </c>
      <c r="G21" t="s">
        <v>39</v>
      </c>
      <c r="H21" t="s">
        <v>40</v>
      </c>
      <c r="I21">
        <v>6.4</v>
      </c>
      <c r="J21">
        <v>6.4</v>
      </c>
      <c r="K21" t="s">
        <v>166</v>
      </c>
      <c r="L21">
        <v>202412</v>
      </c>
    </row>
    <row r="22" spans="1:12" x14ac:dyDescent="0.2">
      <c r="A22" t="s">
        <v>84</v>
      </c>
      <c r="B22" t="s">
        <v>82</v>
      </c>
      <c r="C22" t="s">
        <v>133</v>
      </c>
      <c r="D22" t="s">
        <v>138</v>
      </c>
      <c r="E22" t="s">
        <v>42</v>
      </c>
      <c r="F22" t="s">
        <v>38</v>
      </c>
      <c r="G22" t="s">
        <v>39</v>
      </c>
      <c r="H22" t="s">
        <v>40</v>
      </c>
      <c r="I22">
        <v>2.8</v>
      </c>
      <c r="J22">
        <v>2.8</v>
      </c>
      <c r="K22" t="s">
        <v>166</v>
      </c>
      <c r="L22">
        <v>202412</v>
      </c>
    </row>
    <row r="23" spans="1:12" x14ac:dyDescent="0.2">
      <c r="A23" t="s">
        <v>84</v>
      </c>
      <c r="B23" t="s">
        <v>82</v>
      </c>
      <c r="C23" t="s">
        <v>133</v>
      </c>
      <c r="D23" t="s">
        <v>134</v>
      </c>
      <c r="E23" t="s">
        <v>42</v>
      </c>
      <c r="F23" t="s">
        <v>38</v>
      </c>
      <c r="G23" t="s">
        <v>39</v>
      </c>
      <c r="H23" t="s">
        <v>40</v>
      </c>
      <c r="I23">
        <v>2.8</v>
      </c>
      <c r="J23">
        <v>2.8</v>
      </c>
      <c r="K23" t="s">
        <v>166</v>
      </c>
      <c r="L23">
        <v>202412</v>
      </c>
    </row>
    <row r="24" spans="1:12" x14ac:dyDescent="0.2">
      <c r="A24" t="s">
        <v>84</v>
      </c>
      <c r="B24" t="s">
        <v>82</v>
      </c>
      <c r="C24" t="s">
        <v>94</v>
      </c>
      <c r="D24" t="s">
        <v>167</v>
      </c>
      <c r="E24" t="s">
        <v>42</v>
      </c>
      <c r="F24" t="s">
        <v>38</v>
      </c>
      <c r="G24" t="s">
        <v>39</v>
      </c>
      <c r="H24" t="s">
        <v>40</v>
      </c>
      <c r="I24">
        <v>1.4</v>
      </c>
      <c r="J24">
        <v>1.4</v>
      </c>
      <c r="K24" t="s">
        <v>168</v>
      </c>
      <c r="L24">
        <v>202412</v>
      </c>
    </row>
    <row r="25" spans="1:12" x14ac:dyDescent="0.2">
      <c r="A25" t="s">
        <v>84</v>
      </c>
      <c r="B25" t="s">
        <v>82</v>
      </c>
      <c r="C25" t="s">
        <v>133</v>
      </c>
      <c r="D25" t="s">
        <v>169</v>
      </c>
      <c r="E25" t="s">
        <v>42</v>
      </c>
      <c r="F25" t="s">
        <v>38</v>
      </c>
      <c r="G25" t="s">
        <v>39</v>
      </c>
      <c r="H25" t="s">
        <v>40</v>
      </c>
      <c r="I25">
        <v>9.6</v>
      </c>
      <c r="J25">
        <v>9.6</v>
      </c>
      <c r="K25" t="s">
        <v>168</v>
      </c>
      <c r="L25">
        <v>202412</v>
      </c>
    </row>
    <row r="26" spans="1:12" x14ac:dyDescent="0.2">
      <c r="A26" t="s">
        <v>84</v>
      </c>
      <c r="B26" t="s">
        <v>82</v>
      </c>
      <c r="C26" t="s">
        <v>133</v>
      </c>
      <c r="D26" t="s">
        <v>170</v>
      </c>
      <c r="E26" t="s">
        <v>42</v>
      </c>
      <c r="F26" t="s">
        <v>38</v>
      </c>
      <c r="G26" t="s">
        <v>39</v>
      </c>
      <c r="H26" t="s">
        <v>40</v>
      </c>
      <c r="I26">
        <v>9.6</v>
      </c>
      <c r="J26">
        <v>9.6</v>
      </c>
      <c r="K26" t="s">
        <v>168</v>
      </c>
      <c r="L26">
        <v>202412</v>
      </c>
    </row>
    <row r="27" spans="1:12" x14ac:dyDescent="0.2">
      <c r="A27" t="s">
        <v>84</v>
      </c>
      <c r="B27" t="s">
        <v>82</v>
      </c>
      <c r="C27" t="s">
        <v>88</v>
      </c>
      <c r="D27" t="s">
        <v>171</v>
      </c>
      <c r="E27" t="s">
        <v>42</v>
      </c>
      <c r="F27" t="s">
        <v>38</v>
      </c>
      <c r="G27" t="s">
        <v>39</v>
      </c>
      <c r="H27" t="s">
        <v>40</v>
      </c>
      <c r="I27">
        <v>9.6</v>
      </c>
      <c r="J27">
        <v>9.6</v>
      </c>
      <c r="K27" t="s">
        <v>168</v>
      </c>
      <c r="L27">
        <v>202412</v>
      </c>
    </row>
    <row r="28" spans="1:12" x14ac:dyDescent="0.2">
      <c r="A28" t="s">
        <v>84</v>
      </c>
      <c r="B28" t="s">
        <v>82</v>
      </c>
      <c r="C28" t="s">
        <v>133</v>
      </c>
      <c r="D28" t="s">
        <v>172</v>
      </c>
      <c r="E28" t="s">
        <v>42</v>
      </c>
      <c r="F28" t="s">
        <v>38</v>
      </c>
      <c r="G28" t="s">
        <v>39</v>
      </c>
      <c r="H28" t="s">
        <v>40</v>
      </c>
      <c r="I28">
        <v>4.2</v>
      </c>
      <c r="J28">
        <v>4.2</v>
      </c>
      <c r="K28" t="s">
        <v>168</v>
      </c>
      <c r="L28">
        <v>202412</v>
      </c>
    </row>
    <row r="29" spans="1:12" x14ac:dyDescent="0.2">
      <c r="A29" t="s">
        <v>84</v>
      </c>
      <c r="B29" t="s">
        <v>82</v>
      </c>
      <c r="C29" t="s">
        <v>97</v>
      </c>
      <c r="D29" t="s">
        <v>173</v>
      </c>
      <c r="E29" t="s">
        <v>42</v>
      </c>
      <c r="F29" t="s">
        <v>38</v>
      </c>
      <c r="G29" t="s">
        <v>39</v>
      </c>
      <c r="H29" t="s">
        <v>40</v>
      </c>
      <c r="I29">
        <v>4.2</v>
      </c>
      <c r="J29">
        <v>4.2</v>
      </c>
      <c r="K29" t="s">
        <v>168</v>
      </c>
      <c r="L29">
        <v>202412</v>
      </c>
    </row>
    <row r="30" spans="1:12" x14ac:dyDescent="0.2">
      <c r="A30" t="s">
        <v>84</v>
      </c>
      <c r="B30" t="s">
        <v>82</v>
      </c>
      <c r="C30" t="s">
        <v>94</v>
      </c>
      <c r="D30" t="s">
        <v>174</v>
      </c>
      <c r="E30" t="s">
        <v>42</v>
      </c>
      <c r="F30" t="s">
        <v>38</v>
      </c>
      <c r="G30" t="s">
        <v>39</v>
      </c>
      <c r="H30" t="s">
        <v>40</v>
      </c>
      <c r="I30">
        <v>1.4</v>
      </c>
      <c r="J30">
        <v>1.4</v>
      </c>
      <c r="K30" t="s">
        <v>168</v>
      </c>
      <c r="L30">
        <v>202412</v>
      </c>
    </row>
    <row r="31" spans="1:12" x14ac:dyDescent="0.2">
      <c r="A31" t="s">
        <v>84</v>
      </c>
      <c r="B31" t="s">
        <v>82</v>
      </c>
      <c r="C31" t="s">
        <v>88</v>
      </c>
      <c r="D31" t="s">
        <v>175</v>
      </c>
      <c r="E31" t="s">
        <v>42</v>
      </c>
      <c r="F31" t="s">
        <v>38</v>
      </c>
      <c r="G31" t="s">
        <v>39</v>
      </c>
      <c r="H31" t="s">
        <v>40</v>
      </c>
      <c r="I31">
        <v>4.2</v>
      </c>
      <c r="J31">
        <v>4.2</v>
      </c>
      <c r="K31" t="s">
        <v>168</v>
      </c>
      <c r="L31">
        <v>202412</v>
      </c>
    </row>
    <row r="32" spans="1:12" x14ac:dyDescent="0.2">
      <c r="A32" t="s">
        <v>84</v>
      </c>
      <c r="B32" t="s">
        <v>82</v>
      </c>
      <c r="C32" t="s">
        <v>133</v>
      </c>
      <c r="D32" t="s">
        <v>176</v>
      </c>
      <c r="E32" t="s">
        <v>42</v>
      </c>
      <c r="F32" t="s">
        <v>38</v>
      </c>
      <c r="G32" t="s">
        <v>39</v>
      </c>
      <c r="H32" t="s">
        <v>40</v>
      </c>
      <c r="I32">
        <v>4.2</v>
      </c>
      <c r="J32">
        <v>4.2</v>
      </c>
      <c r="K32" t="s">
        <v>168</v>
      </c>
      <c r="L32">
        <v>202412</v>
      </c>
    </row>
    <row r="33" spans="1:12" x14ac:dyDescent="0.2">
      <c r="A33" t="s">
        <v>84</v>
      </c>
      <c r="B33" t="s">
        <v>82</v>
      </c>
      <c r="C33" t="s">
        <v>88</v>
      </c>
      <c r="D33" t="s">
        <v>177</v>
      </c>
      <c r="E33" t="s">
        <v>42</v>
      </c>
      <c r="F33" t="s">
        <v>38</v>
      </c>
      <c r="G33" t="s">
        <v>39</v>
      </c>
      <c r="H33" t="s">
        <v>40</v>
      </c>
      <c r="I33">
        <v>16.2</v>
      </c>
      <c r="J33">
        <v>16.2</v>
      </c>
      <c r="K33" t="s">
        <v>168</v>
      </c>
      <c r="L33">
        <v>202412</v>
      </c>
    </row>
    <row r="34" spans="1:12" x14ac:dyDescent="0.2">
      <c r="A34" t="s">
        <v>84</v>
      </c>
      <c r="B34" t="s">
        <v>82</v>
      </c>
      <c r="C34" t="s">
        <v>88</v>
      </c>
      <c r="D34" t="s">
        <v>178</v>
      </c>
      <c r="E34" t="s">
        <v>42</v>
      </c>
      <c r="F34" t="s">
        <v>38</v>
      </c>
      <c r="G34" t="s">
        <v>39</v>
      </c>
      <c r="H34" t="s">
        <v>40</v>
      </c>
      <c r="I34">
        <v>4.2</v>
      </c>
      <c r="J34">
        <v>4.2</v>
      </c>
      <c r="K34" t="s">
        <v>168</v>
      </c>
      <c r="L34">
        <v>202412</v>
      </c>
    </row>
    <row r="35" spans="1:12" x14ac:dyDescent="0.2">
      <c r="A35" t="s">
        <v>84</v>
      </c>
      <c r="B35" t="s">
        <v>82</v>
      </c>
      <c r="C35" t="s">
        <v>88</v>
      </c>
      <c r="D35" t="s">
        <v>179</v>
      </c>
      <c r="E35" t="s">
        <v>42</v>
      </c>
      <c r="F35" t="s">
        <v>38</v>
      </c>
      <c r="G35" t="s">
        <v>39</v>
      </c>
      <c r="H35" t="s">
        <v>40</v>
      </c>
      <c r="I35">
        <v>9.6</v>
      </c>
      <c r="J35">
        <v>9.6</v>
      </c>
      <c r="K35" t="s">
        <v>168</v>
      </c>
      <c r="L35">
        <v>202412</v>
      </c>
    </row>
    <row r="36" spans="1:12" x14ac:dyDescent="0.2">
      <c r="A36" t="s">
        <v>84</v>
      </c>
      <c r="B36" t="s">
        <v>82</v>
      </c>
      <c r="C36" t="s">
        <v>88</v>
      </c>
      <c r="D36" t="s">
        <v>180</v>
      </c>
      <c r="E36" t="s">
        <v>42</v>
      </c>
      <c r="F36" t="s">
        <v>38</v>
      </c>
      <c r="G36" t="s">
        <v>39</v>
      </c>
      <c r="H36" t="s">
        <v>40</v>
      </c>
      <c r="I36">
        <v>9.6</v>
      </c>
      <c r="J36">
        <v>9.6</v>
      </c>
      <c r="K36" t="s">
        <v>168</v>
      </c>
      <c r="L36">
        <v>202412</v>
      </c>
    </row>
    <row r="37" spans="1:12" x14ac:dyDescent="0.2">
      <c r="A37" t="s">
        <v>84</v>
      </c>
      <c r="B37" t="s">
        <v>82</v>
      </c>
      <c r="C37" t="s">
        <v>94</v>
      </c>
      <c r="D37" t="s">
        <v>181</v>
      </c>
      <c r="E37" t="s">
        <v>42</v>
      </c>
      <c r="F37" t="s">
        <v>38</v>
      </c>
      <c r="G37" t="s">
        <v>39</v>
      </c>
      <c r="H37" t="s">
        <v>40</v>
      </c>
      <c r="I37">
        <v>1.4</v>
      </c>
      <c r="J37">
        <v>1.4</v>
      </c>
      <c r="K37" t="s">
        <v>168</v>
      </c>
      <c r="L37">
        <v>202412</v>
      </c>
    </row>
    <row r="38" spans="1:12" x14ac:dyDescent="0.2">
      <c r="A38" t="s">
        <v>84</v>
      </c>
      <c r="B38" t="s">
        <v>82</v>
      </c>
      <c r="C38" t="s">
        <v>94</v>
      </c>
      <c r="D38" t="s">
        <v>182</v>
      </c>
      <c r="E38" t="s">
        <v>42</v>
      </c>
      <c r="F38" t="s">
        <v>38</v>
      </c>
      <c r="G38" t="s">
        <v>39</v>
      </c>
      <c r="H38" t="s">
        <v>40</v>
      </c>
      <c r="I38">
        <v>1.4</v>
      </c>
      <c r="J38">
        <v>1.4</v>
      </c>
      <c r="K38" t="s">
        <v>168</v>
      </c>
      <c r="L38">
        <v>202412</v>
      </c>
    </row>
    <row r="39" spans="1:12" x14ac:dyDescent="0.2">
      <c r="A39" t="s">
        <v>84</v>
      </c>
      <c r="B39" t="s">
        <v>82</v>
      </c>
      <c r="C39" t="s">
        <v>94</v>
      </c>
      <c r="D39" t="s">
        <v>183</v>
      </c>
      <c r="E39" t="s">
        <v>42</v>
      </c>
      <c r="F39" t="s">
        <v>38</v>
      </c>
      <c r="G39" t="s">
        <v>39</v>
      </c>
      <c r="H39" t="s">
        <v>40</v>
      </c>
      <c r="I39">
        <v>1.4</v>
      </c>
      <c r="J39">
        <v>1.4</v>
      </c>
      <c r="K39" t="s">
        <v>168</v>
      </c>
      <c r="L39">
        <v>202412</v>
      </c>
    </row>
    <row r="40" spans="1:12" x14ac:dyDescent="0.2">
      <c r="A40" t="s">
        <v>84</v>
      </c>
      <c r="B40" t="s">
        <v>82</v>
      </c>
      <c r="C40" t="s">
        <v>94</v>
      </c>
      <c r="D40" t="s">
        <v>184</v>
      </c>
      <c r="E40" t="s">
        <v>42</v>
      </c>
      <c r="F40" t="s">
        <v>38</v>
      </c>
      <c r="G40" t="s">
        <v>39</v>
      </c>
      <c r="H40" t="s">
        <v>40</v>
      </c>
      <c r="I40">
        <v>1.4</v>
      </c>
      <c r="J40">
        <v>1.4</v>
      </c>
      <c r="K40" t="s">
        <v>168</v>
      </c>
      <c r="L40">
        <v>202412</v>
      </c>
    </row>
    <row r="41" spans="1:12" x14ac:dyDescent="0.2">
      <c r="A41" t="s">
        <v>84</v>
      </c>
      <c r="B41" t="s">
        <v>82</v>
      </c>
      <c r="C41" t="s">
        <v>94</v>
      </c>
      <c r="D41" t="s">
        <v>185</v>
      </c>
      <c r="E41" t="s">
        <v>42</v>
      </c>
      <c r="F41" t="s">
        <v>38</v>
      </c>
      <c r="G41" t="s">
        <v>39</v>
      </c>
      <c r="H41" t="s">
        <v>40</v>
      </c>
      <c r="I41">
        <v>1.4</v>
      </c>
      <c r="J41">
        <v>1.4</v>
      </c>
      <c r="K41" t="s">
        <v>168</v>
      </c>
      <c r="L41">
        <v>202412</v>
      </c>
    </row>
    <row r="42" spans="1:12" x14ac:dyDescent="0.2">
      <c r="A42" t="s">
        <v>84</v>
      </c>
      <c r="B42" t="s">
        <v>82</v>
      </c>
      <c r="C42" t="s">
        <v>88</v>
      </c>
      <c r="D42" t="s">
        <v>186</v>
      </c>
      <c r="E42" t="s">
        <v>42</v>
      </c>
      <c r="F42" t="s">
        <v>38</v>
      </c>
      <c r="G42" t="s">
        <v>39</v>
      </c>
      <c r="H42" t="s">
        <v>40</v>
      </c>
      <c r="I42">
        <v>16.2</v>
      </c>
      <c r="J42">
        <v>16.2</v>
      </c>
      <c r="K42" t="s">
        <v>168</v>
      </c>
      <c r="L42">
        <v>202412</v>
      </c>
    </row>
    <row r="43" spans="1:12" x14ac:dyDescent="0.2">
      <c r="A43" t="s">
        <v>84</v>
      </c>
      <c r="B43" t="s">
        <v>82</v>
      </c>
      <c r="C43" t="s">
        <v>88</v>
      </c>
      <c r="D43" t="s">
        <v>187</v>
      </c>
      <c r="E43" t="s">
        <v>42</v>
      </c>
      <c r="F43" t="s">
        <v>38</v>
      </c>
      <c r="G43" t="s">
        <v>39</v>
      </c>
      <c r="H43" t="s">
        <v>40</v>
      </c>
      <c r="I43">
        <v>4.2</v>
      </c>
      <c r="J43">
        <v>4.2</v>
      </c>
      <c r="K43" t="s">
        <v>168</v>
      </c>
      <c r="L43">
        <v>202412</v>
      </c>
    </row>
    <row r="44" spans="1:12" x14ac:dyDescent="0.2">
      <c r="A44" t="s">
        <v>84</v>
      </c>
      <c r="B44" t="s">
        <v>82</v>
      </c>
      <c r="C44" t="s">
        <v>88</v>
      </c>
      <c r="D44" t="s">
        <v>188</v>
      </c>
      <c r="E44" t="s">
        <v>42</v>
      </c>
      <c r="F44" t="s">
        <v>38</v>
      </c>
      <c r="G44" t="s">
        <v>39</v>
      </c>
      <c r="H44" t="s">
        <v>40</v>
      </c>
      <c r="I44">
        <v>4.2</v>
      </c>
      <c r="J44">
        <v>4.2</v>
      </c>
      <c r="K44" t="s">
        <v>168</v>
      </c>
      <c r="L44">
        <v>202412</v>
      </c>
    </row>
    <row r="45" spans="1:12" x14ac:dyDescent="0.2">
      <c r="A45" t="s">
        <v>84</v>
      </c>
      <c r="B45" t="s">
        <v>82</v>
      </c>
      <c r="C45" t="s">
        <v>105</v>
      </c>
      <c r="D45" t="s">
        <v>189</v>
      </c>
      <c r="E45" t="s">
        <v>42</v>
      </c>
      <c r="F45" t="s">
        <v>38</v>
      </c>
      <c r="G45" t="s">
        <v>39</v>
      </c>
      <c r="H45" t="s">
        <v>40</v>
      </c>
      <c r="I45">
        <v>3.2</v>
      </c>
      <c r="J45">
        <v>3.2</v>
      </c>
      <c r="K45" t="s">
        <v>168</v>
      </c>
      <c r="L45">
        <v>202412</v>
      </c>
    </row>
    <row r="46" spans="1:12" x14ac:dyDescent="0.2">
      <c r="A46" t="s">
        <v>84</v>
      </c>
      <c r="B46" t="s">
        <v>82</v>
      </c>
      <c r="C46" t="s">
        <v>94</v>
      </c>
      <c r="D46" t="s">
        <v>190</v>
      </c>
      <c r="E46" t="s">
        <v>42</v>
      </c>
      <c r="F46" t="s">
        <v>38</v>
      </c>
      <c r="G46" t="s">
        <v>39</v>
      </c>
      <c r="H46" t="s">
        <v>40</v>
      </c>
      <c r="I46">
        <v>5.4</v>
      </c>
      <c r="J46">
        <v>5.4</v>
      </c>
      <c r="K46" t="s">
        <v>168</v>
      </c>
      <c r="L46">
        <v>202412</v>
      </c>
    </row>
    <row r="47" spans="1:12" x14ac:dyDescent="0.2">
      <c r="A47" t="s">
        <v>84</v>
      </c>
      <c r="B47" t="s">
        <v>82</v>
      </c>
      <c r="C47" t="s">
        <v>94</v>
      </c>
      <c r="D47" t="s">
        <v>191</v>
      </c>
      <c r="E47" t="s">
        <v>42</v>
      </c>
      <c r="F47" t="s">
        <v>38</v>
      </c>
      <c r="G47" t="s">
        <v>39</v>
      </c>
      <c r="H47" t="s">
        <v>40</v>
      </c>
      <c r="I47">
        <v>1.4</v>
      </c>
      <c r="J47">
        <v>1.4</v>
      </c>
      <c r="K47" t="s">
        <v>168</v>
      </c>
      <c r="L47">
        <v>202412</v>
      </c>
    </row>
    <row r="48" spans="1:12" x14ac:dyDescent="0.2">
      <c r="A48" t="s">
        <v>84</v>
      </c>
      <c r="B48" t="s">
        <v>82</v>
      </c>
      <c r="C48" t="s">
        <v>94</v>
      </c>
      <c r="D48" t="s">
        <v>192</v>
      </c>
      <c r="E48" t="s">
        <v>42</v>
      </c>
      <c r="F48" t="s">
        <v>38</v>
      </c>
      <c r="G48" t="s">
        <v>39</v>
      </c>
      <c r="H48" t="s">
        <v>40</v>
      </c>
      <c r="I48">
        <v>1.4</v>
      </c>
      <c r="J48">
        <v>1.4</v>
      </c>
      <c r="K48" t="s">
        <v>168</v>
      </c>
      <c r="L48">
        <v>202412</v>
      </c>
    </row>
    <row r="49" spans="1:12" x14ac:dyDescent="0.2">
      <c r="A49" t="s">
        <v>84</v>
      </c>
      <c r="B49" t="s">
        <v>82</v>
      </c>
      <c r="C49" t="s">
        <v>94</v>
      </c>
      <c r="D49" t="s">
        <v>193</v>
      </c>
      <c r="E49" t="s">
        <v>42</v>
      </c>
      <c r="F49" t="s">
        <v>38</v>
      </c>
      <c r="G49" t="s">
        <v>39</v>
      </c>
      <c r="H49" t="s">
        <v>40</v>
      </c>
      <c r="I49">
        <v>3.2</v>
      </c>
      <c r="J49">
        <v>3.2</v>
      </c>
      <c r="K49" t="s">
        <v>168</v>
      </c>
      <c r="L49">
        <v>202412</v>
      </c>
    </row>
    <row r="50" spans="1:12" x14ac:dyDescent="0.2">
      <c r="A50" t="s">
        <v>84</v>
      </c>
      <c r="B50" t="s">
        <v>82</v>
      </c>
      <c r="C50" t="s">
        <v>88</v>
      </c>
      <c r="D50" t="s">
        <v>194</v>
      </c>
      <c r="E50" t="s">
        <v>42</v>
      </c>
      <c r="F50" t="s">
        <v>38</v>
      </c>
      <c r="G50" t="s">
        <v>39</v>
      </c>
      <c r="H50" t="s">
        <v>40</v>
      </c>
      <c r="I50">
        <v>9.6</v>
      </c>
      <c r="J50">
        <v>9.6</v>
      </c>
      <c r="K50" t="s">
        <v>168</v>
      </c>
      <c r="L50">
        <v>202412</v>
      </c>
    </row>
    <row r="51" spans="1:12" x14ac:dyDescent="0.2">
      <c r="A51" t="s">
        <v>84</v>
      </c>
      <c r="B51" t="s">
        <v>82</v>
      </c>
      <c r="C51" t="s">
        <v>88</v>
      </c>
      <c r="D51" t="s">
        <v>195</v>
      </c>
      <c r="E51" t="s">
        <v>42</v>
      </c>
      <c r="F51" t="s">
        <v>38</v>
      </c>
      <c r="G51" t="s">
        <v>39</v>
      </c>
      <c r="H51" t="s">
        <v>40</v>
      </c>
      <c r="I51">
        <v>4.2</v>
      </c>
      <c r="J51">
        <v>4.2</v>
      </c>
      <c r="K51" t="s">
        <v>168</v>
      </c>
      <c r="L51">
        <v>202412</v>
      </c>
    </row>
    <row r="52" spans="1:12" x14ac:dyDescent="0.2">
      <c r="A52" t="s">
        <v>84</v>
      </c>
      <c r="B52" t="s">
        <v>82</v>
      </c>
      <c r="C52" t="s">
        <v>88</v>
      </c>
      <c r="D52" t="s">
        <v>196</v>
      </c>
      <c r="E52" t="s">
        <v>42</v>
      </c>
      <c r="F52" t="s">
        <v>38</v>
      </c>
      <c r="G52" t="s">
        <v>39</v>
      </c>
      <c r="H52" t="s">
        <v>40</v>
      </c>
      <c r="I52">
        <v>4.2</v>
      </c>
      <c r="J52">
        <v>4.2</v>
      </c>
      <c r="K52" t="s">
        <v>168</v>
      </c>
      <c r="L52">
        <v>202412</v>
      </c>
    </row>
    <row r="53" spans="1:12" x14ac:dyDescent="0.2">
      <c r="A53" t="s">
        <v>84</v>
      </c>
      <c r="B53" t="s">
        <v>82</v>
      </c>
      <c r="C53" t="s">
        <v>88</v>
      </c>
      <c r="D53" t="s">
        <v>197</v>
      </c>
      <c r="E53" t="s">
        <v>42</v>
      </c>
      <c r="F53" t="s">
        <v>38</v>
      </c>
      <c r="G53" t="s">
        <v>39</v>
      </c>
      <c r="H53" t="s">
        <v>40</v>
      </c>
      <c r="I53">
        <v>4.2</v>
      </c>
      <c r="J53">
        <v>4.2</v>
      </c>
      <c r="K53" t="s">
        <v>168</v>
      </c>
      <c r="L53">
        <v>202412</v>
      </c>
    </row>
    <row r="54" spans="1:12" x14ac:dyDescent="0.2">
      <c r="A54" t="s">
        <v>84</v>
      </c>
      <c r="B54" t="s">
        <v>82</v>
      </c>
      <c r="C54" t="s">
        <v>88</v>
      </c>
      <c r="D54" t="s">
        <v>198</v>
      </c>
      <c r="E54" t="s">
        <v>42</v>
      </c>
      <c r="F54" t="s">
        <v>38</v>
      </c>
      <c r="G54" t="s">
        <v>39</v>
      </c>
      <c r="H54" t="s">
        <v>40</v>
      </c>
      <c r="I54">
        <v>4.2</v>
      </c>
      <c r="J54">
        <v>4.2</v>
      </c>
      <c r="K54" t="s">
        <v>168</v>
      </c>
      <c r="L54">
        <v>202412</v>
      </c>
    </row>
    <row r="55" spans="1:12" x14ac:dyDescent="0.2">
      <c r="A55" t="s">
        <v>84</v>
      </c>
      <c r="B55" t="s">
        <v>82</v>
      </c>
      <c r="C55" t="s">
        <v>88</v>
      </c>
      <c r="D55" t="s">
        <v>199</v>
      </c>
      <c r="E55" t="s">
        <v>42</v>
      </c>
      <c r="F55" t="s">
        <v>38</v>
      </c>
      <c r="G55" t="s">
        <v>39</v>
      </c>
      <c r="H55" t="s">
        <v>40</v>
      </c>
      <c r="I55">
        <v>4.2</v>
      </c>
      <c r="J55">
        <v>4.2</v>
      </c>
      <c r="K55" t="s">
        <v>168</v>
      </c>
      <c r="L55">
        <v>202412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E1B-894D-4769-84E9-AC9AE8777D1B}">
  <sheetPr codeName="Sheet1"/>
  <dimension ref="A1:J121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37.5" x14ac:dyDescent="0.2">
      <c r="A1" s="27" t="s">
        <v>43</v>
      </c>
      <c r="B1" s="28" t="s">
        <v>44</v>
      </c>
      <c r="C1" s="29" t="s">
        <v>45</v>
      </c>
      <c r="D1" s="29" t="s">
        <v>46</v>
      </c>
      <c r="E1" s="27" t="s">
        <v>47</v>
      </c>
      <c r="F1" s="27" t="s">
        <v>48</v>
      </c>
      <c r="G1" s="27" t="s">
        <v>49</v>
      </c>
      <c r="H1" s="30" t="s">
        <v>50</v>
      </c>
      <c r="I1" s="30" t="s">
        <v>51</v>
      </c>
      <c r="J1" s="30" t="s">
        <v>52</v>
      </c>
    </row>
    <row r="2" spans="1:10" x14ac:dyDescent="0.2">
      <c r="A2" t="s">
        <v>114</v>
      </c>
      <c r="B2" t="s">
        <v>94</v>
      </c>
      <c r="C2" t="s">
        <v>82</v>
      </c>
      <c r="D2" t="s">
        <v>84</v>
      </c>
      <c r="E2" t="s">
        <v>200</v>
      </c>
      <c r="F2" t="s">
        <v>201</v>
      </c>
      <c r="G2">
        <v>1</v>
      </c>
      <c r="H2" t="s">
        <v>40</v>
      </c>
      <c r="I2">
        <v>185.82</v>
      </c>
      <c r="J2">
        <v>185.82</v>
      </c>
    </row>
    <row r="3" spans="1:10" x14ac:dyDescent="0.2">
      <c r="A3" t="s">
        <v>112</v>
      </c>
      <c r="B3" t="s">
        <v>105</v>
      </c>
      <c r="C3" t="s">
        <v>82</v>
      </c>
      <c r="D3" t="s">
        <v>84</v>
      </c>
      <c r="E3" t="s">
        <v>202</v>
      </c>
      <c r="F3" t="s">
        <v>203</v>
      </c>
      <c r="G3">
        <v>1</v>
      </c>
      <c r="H3" t="s">
        <v>40</v>
      </c>
      <c r="I3">
        <v>0.55000000000000004</v>
      </c>
      <c r="J3">
        <v>0.55000000000000004</v>
      </c>
    </row>
    <row r="4" spans="1:10" x14ac:dyDescent="0.2">
      <c r="A4" t="s">
        <v>112</v>
      </c>
      <c r="B4" t="s">
        <v>105</v>
      </c>
      <c r="C4" t="s">
        <v>82</v>
      </c>
      <c r="D4" t="s">
        <v>84</v>
      </c>
      <c r="E4" t="s">
        <v>204</v>
      </c>
      <c r="F4" t="s">
        <v>205</v>
      </c>
      <c r="G4">
        <v>1</v>
      </c>
      <c r="H4" t="s">
        <v>40</v>
      </c>
      <c r="I4">
        <v>1.1000000000000001</v>
      </c>
      <c r="J4">
        <v>1.1000000000000001</v>
      </c>
    </row>
    <row r="5" spans="1:10" x14ac:dyDescent="0.2">
      <c r="A5" t="s">
        <v>112</v>
      </c>
      <c r="B5" t="s">
        <v>105</v>
      </c>
      <c r="C5" t="s">
        <v>82</v>
      </c>
      <c r="D5" t="s">
        <v>84</v>
      </c>
      <c r="E5" t="s">
        <v>206</v>
      </c>
      <c r="F5" t="s">
        <v>207</v>
      </c>
      <c r="G5">
        <v>1</v>
      </c>
      <c r="H5" t="s">
        <v>40</v>
      </c>
      <c r="I5">
        <v>1.1000000000000001</v>
      </c>
      <c r="J5">
        <v>1.1000000000000001</v>
      </c>
    </row>
    <row r="6" spans="1:10" x14ac:dyDescent="0.2">
      <c r="A6" t="s">
        <v>112</v>
      </c>
      <c r="B6" t="s">
        <v>105</v>
      </c>
      <c r="C6" t="s">
        <v>82</v>
      </c>
      <c r="D6" t="s">
        <v>84</v>
      </c>
      <c r="E6" t="s">
        <v>208</v>
      </c>
      <c r="F6" t="s">
        <v>209</v>
      </c>
      <c r="G6">
        <v>1</v>
      </c>
      <c r="H6" t="s">
        <v>40</v>
      </c>
      <c r="I6">
        <v>1.65</v>
      </c>
      <c r="J6">
        <v>1.65</v>
      </c>
    </row>
    <row r="7" spans="1:10" x14ac:dyDescent="0.2">
      <c r="A7" t="s">
        <v>112</v>
      </c>
      <c r="B7" t="s">
        <v>105</v>
      </c>
      <c r="C7" t="s">
        <v>82</v>
      </c>
      <c r="D7" t="s">
        <v>84</v>
      </c>
      <c r="E7" t="s">
        <v>210</v>
      </c>
      <c r="F7" t="s">
        <v>211</v>
      </c>
      <c r="G7">
        <v>1</v>
      </c>
      <c r="H7" t="s">
        <v>40</v>
      </c>
      <c r="I7">
        <v>85.8</v>
      </c>
      <c r="J7">
        <v>85.8</v>
      </c>
    </row>
    <row r="8" spans="1:10" x14ac:dyDescent="0.2">
      <c r="A8" t="s">
        <v>112</v>
      </c>
      <c r="B8" t="s">
        <v>105</v>
      </c>
      <c r="C8" t="s">
        <v>82</v>
      </c>
      <c r="D8" t="s">
        <v>84</v>
      </c>
      <c r="E8" t="s">
        <v>212</v>
      </c>
      <c r="F8" t="s">
        <v>213</v>
      </c>
      <c r="G8">
        <v>4</v>
      </c>
      <c r="H8" t="s">
        <v>40</v>
      </c>
      <c r="I8">
        <v>2.5099999999999998</v>
      </c>
      <c r="J8">
        <v>10.039999999999999</v>
      </c>
    </row>
    <row r="9" spans="1:10" x14ac:dyDescent="0.2">
      <c r="A9" t="s">
        <v>112</v>
      </c>
      <c r="B9" t="s">
        <v>105</v>
      </c>
      <c r="C9" t="s">
        <v>82</v>
      </c>
      <c r="D9" t="s">
        <v>84</v>
      </c>
      <c r="E9" t="s">
        <v>214</v>
      </c>
      <c r="F9" t="s">
        <v>215</v>
      </c>
      <c r="G9">
        <v>1</v>
      </c>
      <c r="H9" t="s">
        <v>40</v>
      </c>
      <c r="I9">
        <v>1.1000000000000001</v>
      </c>
      <c r="J9">
        <v>1.1000000000000001</v>
      </c>
    </row>
    <row r="10" spans="1:10" x14ac:dyDescent="0.2">
      <c r="A10" t="s">
        <v>112</v>
      </c>
      <c r="B10" t="s">
        <v>105</v>
      </c>
      <c r="C10" t="s">
        <v>82</v>
      </c>
      <c r="D10" t="s">
        <v>84</v>
      </c>
      <c r="E10" t="s">
        <v>216</v>
      </c>
      <c r="F10" t="s">
        <v>217</v>
      </c>
      <c r="G10">
        <v>1</v>
      </c>
      <c r="H10" t="s">
        <v>40</v>
      </c>
      <c r="I10">
        <v>9.9</v>
      </c>
      <c r="J10">
        <v>9.9</v>
      </c>
    </row>
    <row r="11" spans="1:10" x14ac:dyDescent="0.2">
      <c r="A11" t="s">
        <v>112</v>
      </c>
      <c r="B11" t="s">
        <v>105</v>
      </c>
      <c r="C11" t="s">
        <v>82</v>
      </c>
      <c r="D11" t="s">
        <v>84</v>
      </c>
      <c r="E11" t="s">
        <v>218</v>
      </c>
      <c r="F11" t="s">
        <v>219</v>
      </c>
      <c r="G11">
        <v>1</v>
      </c>
      <c r="H11" t="s">
        <v>40</v>
      </c>
      <c r="I11">
        <v>3.3</v>
      </c>
      <c r="J11">
        <v>3.3</v>
      </c>
    </row>
    <row r="12" spans="1:10" x14ac:dyDescent="0.2">
      <c r="A12" t="s">
        <v>112</v>
      </c>
      <c r="B12" t="s">
        <v>105</v>
      </c>
      <c r="C12" t="s">
        <v>82</v>
      </c>
      <c r="D12" t="s">
        <v>84</v>
      </c>
      <c r="E12" t="s">
        <v>220</v>
      </c>
      <c r="F12" t="s">
        <v>221</v>
      </c>
      <c r="G12">
        <v>1</v>
      </c>
      <c r="H12" t="s">
        <v>40</v>
      </c>
      <c r="I12">
        <v>14.3</v>
      </c>
      <c r="J12">
        <v>14.3</v>
      </c>
    </row>
    <row r="13" spans="1:10" x14ac:dyDescent="0.2">
      <c r="A13" t="s">
        <v>112</v>
      </c>
      <c r="B13" t="s">
        <v>105</v>
      </c>
      <c r="C13" t="s">
        <v>82</v>
      </c>
      <c r="D13" t="s">
        <v>84</v>
      </c>
      <c r="E13" t="s">
        <v>222</v>
      </c>
      <c r="F13" t="s">
        <v>223</v>
      </c>
      <c r="G13">
        <v>2</v>
      </c>
      <c r="H13" t="s">
        <v>40</v>
      </c>
      <c r="I13">
        <v>7.7</v>
      </c>
      <c r="J13">
        <v>15.4</v>
      </c>
    </row>
    <row r="14" spans="1:10" x14ac:dyDescent="0.2">
      <c r="A14" t="s">
        <v>112</v>
      </c>
      <c r="B14" t="s">
        <v>105</v>
      </c>
      <c r="C14" t="s">
        <v>82</v>
      </c>
      <c r="D14" t="s">
        <v>84</v>
      </c>
      <c r="E14" t="s">
        <v>224</v>
      </c>
      <c r="F14" t="s">
        <v>225</v>
      </c>
      <c r="G14">
        <v>1</v>
      </c>
      <c r="H14" t="s">
        <v>40</v>
      </c>
      <c r="I14">
        <v>8.8000000000000007</v>
      </c>
      <c r="J14">
        <v>8.8000000000000007</v>
      </c>
    </row>
    <row r="15" spans="1:10" x14ac:dyDescent="0.2">
      <c r="A15" t="s">
        <v>112</v>
      </c>
      <c r="B15" t="s">
        <v>105</v>
      </c>
      <c r="C15" t="s">
        <v>82</v>
      </c>
      <c r="D15" t="s">
        <v>84</v>
      </c>
      <c r="E15" t="s">
        <v>226</v>
      </c>
      <c r="F15" t="s">
        <v>227</v>
      </c>
      <c r="G15">
        <v>1</v>
      </c>
      <c r="H15" t="s">
        <v>40</v>
      </c>
      <c r="I15">
        <v>7.15</v>
      </c>
      <c r="J15">
        <v>7.15</v>
      </c>
    </row>
    <row r="16" spans="1:10" x14ac:dyDescent="0.2">
      <c r="A16" t="s">
        <v>112</v>
      </c>
      <c r="B16" t="s">
        <v>105</v>
      </c>
      <c r="C16" t="s">
        <v>82</v>
      </c>
      <c r="D16" t="s">
        <v>84</v>
      </c>
      <c r="E16" t="s">
        <v>228</v>
      </c>
      <c r="F16" t="s">
        <v>229</v>
      </c>
      <c r="G16">
        <v>1</v>
      </c>
      <c r="H16" t="s">
        <v>40</v>
      </c>
      <c r="I16">
        <v>35.75</v>
      </c>
      <c r="J16">
        <v>35.75</v>
      </c>
    </row>
    <row r="17" spans="1:10" x14ac:dyDescent="0.2">
      <c r="A17" t="s">
        <v>112</v>
      </c>
      <c r="B17" t="s">
        <v>105</v>
      </c>
      <c r="C17" t="s">
        <v>82</v>
      </c>
      <c r="D17" t="s">
        <v>84</v>
      </c>
      <c r="E17" t="s">
        <v>230</v>
      </c>
      <c r="F17" t="s">
        <v>231</v>
      </c>
      <c r="G17">
        <v>1</v>
      </c>
      <c r="H17" t="s">
        <v>40</v>
      </c>
      <c r="I17">
        <v>113.53</v>
      </c>
      <c r="J17">
        <v>113.53</v>
      </c>
    </row>
    <row r="18" spans="1:10" x14ac:dyDescent="0.2">
      <c r="A18" t="s">
        <v>112</v>
      </c>
      <c r="B18" t="s">
        <v>105</v>
      </c>
      <c r="C18" t="s">
        <v>82</v>
      </c>
      <c r="D18" t="s">
        <v>84</v>
      </c>
      <c r="E18" t="s">
        <v>232</v>
      </c>
      <c r="F18" t="s">
        <v>233</v>
      </c>
      <c r="G18">
        <v>1</v>
      </c>
      <c r="H18" t="s">
        <v>40</v>
      </c>
      <c r="I18">
        <v>113.53</v>
      </c>
      <c r="J18">
        <v>113.53</v>
      </c>
    </row>
    <row r="19" spans="1:10" x14ac:dyDescent="0.2">
      <c r="A19" t="s">
        <v>112</v>
      </c>
      <c r="B19" t="s">
        <v>105</v>
      </c>
      <c r="C19" t="s">
        <v>82</v>
      </c>
      <c r="D19" t="s">
        <v>84</v>
      </c>
      <c r="E19" t="s">
        <v>234</v>
      </c>
      <c r="F19" t="s">
        <v>235</v>
      </c>
      <c r="G19">
        <v>1</v>
      </c>
      <c r="H19" t="s">
        <v>40</v>
      </c>
      <c r="I19">
        <v>1.1000000000000001</v>
      </c>
      <c r="J19">
        <v>1.1000000000000001</v>
      </c>
    </row>
    <row r="20" spans="1:10" x14ac:dyDescent="0.2">
      <c r="A20" t="s">
        <v>112</v>
      </c>
      <c r="B20" t="s">
        <v>105</v>
      </c>
      <c r="C20" t="s">
        <v>82</v>
      </c>
      <c r="D20" t="s">
        <v>84</v>
      </c>
      <c r="E20" t="s">
        <v>236</v>
      </c>
      <c r="F20" t="s">
        <v>237</v>
      </c>
      <c r="G20">
        <v>1</v>
      </c>
      <c r="H20" t="s">
        <v>40</v>
      </c>
      <c r="I20">
        <v>1.65</v>
      </c>
      <c r="J20">
        <v>1.65</v>
      </c>
    </row>
    <row r="21" spans="1:10" x14ac:dyDescent="0.2">
      <c r="A21" t="s">
        <v>112</v>
      </c>
      <c r="B21" t="s">
        <v>105</v>
      </c>
      <c r="C21" t="s">
        <v>82</v>
      </c>
      <c r="D21" t="s">
        <v>84</v>
      </c>
      <c r="E21" t="s">
        <v>238</v>
      </c>
      <c r="F21" t="s">
        <v>239</v>
      </c>
      <c r="G21">
        <v>1</v>
      </c>
      <c r="H21" t="s">
        <v>40</v>
      </c>
      <c r="I21">
        <v>12.65</v>
      </c>
      <c r="J21">
        <v>12.65</v>
      </c>
    </row>
    <row r="22" spans="1:10" x14ac:dyDescent="0.2">
      <c r="A22" t="s">
        <v>112</v>
      </c>
      <c r="B22" t="s">
        <v>105</v>
      </c>
      <c r="C22" t="s">
        <v>82</v>
      </c>
      <c r="D22" t="s">
        <v>84</v>
      </c>
      <c r="E22" t="s">
        <v>240</v>
      </c>
      <c r="F22" t="s">
        <v>241</v>
      </c>
      <c r="G22">
        <v>2</v>
      </c>
      <c r="H22" t="s">
        <v>40</v>
      </c>
      <c r="I22">
        <v>3.3</v>
      </c>
      <c r="J22">
        <v>6.6</v>
      </c>
    </row>
    <row r="23" spans="1:10" x14ac:dyDescent="0.2">
      <c r="A23" t="s">
        <v>112</v>
      </c>
      <c r="B23" t="s">
        <v>105</v>
      </c>
      <c r="C23" t="s">
        <v>82</v>
      </c>
      <c r="D23" t="s">
        <v>84</v>
      </c>
      <c r="E23" t="s">
        <v>242</v>
      </c>
      <c r="F23" t="s">
        <v>243</v>
      </c>
      <c r="G23">
        <v>2</v>
      </c>
      <c r="H23" t="s">
        <v>40</v>
      </c>
      <c r="I23">
        <v>7.15</v>
      </c>
      <c r="J23">
        <v>14.3</v>
      </c>
    </row>
    <row r="24" spans="1:10" x14ac:dyDescent="0.2">
      <c r="A24" t="s">
        <v>112</v>
      </c>
      <c r="B24" t="s">
        <v>105</v>
      </c>
      <c r="C24" t="s">
        <v>82</v>
      </c>
      <c r="D24" t="s">
        <v>84</v>
      </c>
      <c r="E24" t="s">
        <v>244</v>
      </c>
      <c r="F24" t="s">
        <v>245</v>
      </c>
      <c r="G24">
        <v>4</v>
      </c>
      <c r="H24" t="s">
        <v>40</v>
      </c>
      <c r="I24">
        <v>1.1000000000000001</v>
      </c>
      <c r="J24">
        <v>4.4000000000000004</v>
      </c>
    </row>
    <row r="25" spans="1:10" x14ac:dyDescent="0.2">
      <c r="A25" t="s">
        <v>112</v>
      </c>
      <c r="B25" t="s">
        <v>105</v>
      </c>
      <c r="C25" t="s">
        <v>82</v>
      </c>
      <c r="D25" t="s">
        <v>84</v>
      </c>
      <c r="E25" t="s">
        <v>246</v>
      </c>
      <c r="F25" t="s">
        <v>247</v>
      </c>
      <c r="G25">
        <v>4</v>
      </c>
      <c r="H25" t="s">
        <v>40</v>
      </c>
      <c r="I25">
        <v>7.15</v>
      </c>
      <c r="J25">
        <v>28.6</v>
      </c>
    </row>
    <row r="26" spans="1:10" x14ac:dyDescent="0.2">
      <c r="A26" t="s">
        <v>112</v>
      </c>
      <c r="B26" t="s">
        <v>105</v>
      </c>
      <c r="C26" t="s">
        <v>82</v>
      </c>
      <c r="D26" t="s">
        <v>84</v>
      </c>
      <c r="E26" t="s">
        <v>248</v>
      </c>
      <c r="F26" t="s">
        <v>249</v>
      </c>
      <c r="G26">
        <v>1</v>
      </c>
      <c r="H26" t="s">
        <v>40</v>
      </c>
      <c r="I26">
        <v>25</v>
      </c>
      <c r="J26">
        <v>25</v>
      </c>
    </row>
    <row r="27" spans="1:10" x14ac:dyDescent="0.2">
      <c r="A27" t="s">
        <v>112</v>
      </c>
      <c r="B27" t="s">
        <v>105</v>
      </c>
      <c r="C27" t="s">
        <v>82</v>
      </c>
      <c r="D27" t="s">
        <v>84</v>
      </c>
      <c r="E27" t="s">
        <v>250</v>
      </c>
      <c r="F27" t="s">
        <v>251</v>
      </c>
      <c r="G27">
        <v>1</v>
      </c>
      <c r="H27" t="s">
        <v>40</v>
      </c>
      <c r="I27">
        <v>3.3</v>
      </c>
      <c r="J27">
        <v>3.3</v>
      </c>
    </row>
    <row r="28" spans="1:10" x14ac:dyDescent="0.2">
      <c r="A28" t="s">
        <v>112</v>
      </c>
      <c r="B28" t="s">
        <v>105</v>
      </c>
      <c r="C28" t="s">
        <v>82</v>
      </c>
      <c r="D28" t="s">
        <v>84</v>
      </c>
      <c r="E28" t="s">
        <v>252</v>
      </c>
      <c r="F28" t="s">
        <v>253</v>
      </c>
      <c r="G28">
        <v>2</v>
      </c>
      <c r="H28" t="s">
        <v>40</v>
      </c>
      <c r="I28">
        <v>12.65</v>
      </c>
      <c r="J28">
        <v>25.3</v>
      </c>
    </row>
    <row r="29" spans="1:10" x14ac:dyDescent="0.2">
      <c r="A29" t="s">
        <v>112</v>
      </c>
      <c r="B29" t="s">
        <v>105</v>
      </c>
      <c r="C29" t="s">
        <v>82</v>
      </c>
      <c r="D29" t="s">
        <v>84</v>
      </c>
      <c r="E29" t="s">
        <v>254</v>
      </c>
      <c r="F29" t="s">
        <v>255</v>
      </c>
      <c r="G29">
        <v>1</v>
      </c>
      <c r="H29" t="s">
        <v>40</v>
      </c>
      <c r="I29">
        <v>35.75</v>
      </c>
      <c r="J29">
        <v>35.75</v>
      </c>
    </row>
    <row r="30" spans="1:10" x14ac:dyDescent="0.2">
      <c r="A30" t="s">
        <v>112</v>
      </c>
      <c r="B30" t="s">
        <v>105</v>
      </c>
      <c r="C30" t="s">
        <v>82</v>
      </c>
      <c r="D30" t="s">
        <v>84</v>
      </c>
      <c r="E30" t="s">
        <v>256</v>
      </c>
      <c r="F30" t="s">
        <v>257</v>
      </c>
      <c r="G30">
        <v>1</v>
      </c>
      <c r="H30" t="s">
        <v>40</v>
      </c>
      <c r="I30">
        <v>6</v>
      </c>
      <c r="J30">
        <v>6</v>
      </c>
    </row>
    <row r="31" spans="1:10" x14ac:dyDescent="0.2">
      <c r="A31" t="s">
        <v>112</v>
      </c>
      <c r="B31" t="s">
        <v>105</v>
      </c>
      <c r="C31" t="s">
        <v>82</v>
      </c>
      <c r="D31" t="s">
        <v>84</v>
      </c>
      <c r="E31" t="s">
        <v>258</v>
      </c>
      <c r="F31" t="s">
        <v>259</v>
      </c>
      <c r="G31">
        <v>4</v>
      </c>
      <c r="H31" t="s">
        <v>40</v>
      </c>
      <c r="I31">
        <v>2.5299999999999998</v>
      </c>
      <c r="J31">
        <v>10.119999999999999</v>
      </c>
    </row>
    <row r="32" spans="1:10" x14ac:dyDescent="0.2">
      <c r="A32" t="s">
        <v>120</v>
      </c>
      <c r="B32" t="s">
        <v>94</v>
      </c>
      <c r="C32" t="s">
        <v>82</v>
      </c>
      <c r="D32" t="s">
        <v>84</v>
      </c>
      <c r="E32" t="s">
        <v>260</v>
      </c>
      <c r="F32" t="s">
        <v>261</v>
      </c>
      <c r="G32">
        <v>1</v>
      </c>
      <c r="H32" t="s">
        <v>40</v>
      </c>
      <c r="I32">
        <v>117</v>
      </c>
      <c r="J32">
        <v>117</v>
      </c>
    </row>
    <row r="33" spans="1:10" x14ac:dyDescent="0.2">
      <c r="A33" t="s">
        <v>118</v>
      </c>
      <c r="B33" t="s">
        <v>88</v>
      </c>
      <c r="C33" t="s">
        <v>82</v>
      </c>
      <c r="D33" t="s">
        <v>84</v>
      </c>
      <c r="E33" t="s">
        <v>262</v>
      </c>
      <c r="F33" t="s">
        <v>263</v>
      </c>
      <c r="G33">
        <v>1</v>
      </c>
      <c r="H33" t="s">
        <v>40</v>
      </c>
      <c r="I33">
        <v>141.56</v>
      </c>
      <c r="J33">
        <v>141.56</v>
      </c>
    </row>
    <row r="34" spans="1:10" x14ac:dyDescent="0.2">
      <c r="A34" t="s">
        <v>116</v>
      </c>
      <c r="B34" t="s">
        <v>97</v>
      </c>
      <c r="C34" t="s">
        <v>82</v>
      </c>
      <c r="D34" t="s">
        <v>84</v>
      </c>
      <c r="E34" t="s">
        <v>264</v>
      </c>
      <c r="F34" t="s">
        <v>265</v>
      </c>
      <c r="G34">
        <v>1</v>
      </c>
      <c r="H34" t="s">
        <v>40</v>
      </c>
      <c r="I34">
        <v>4</v>
      </c>
      <c r="J34">
        <v>4</v>
      </c>
    </row>
    <row r="35" spans="1:10" x14ac:dyDescent="0.2">
      <c r="A35" t="s">
        <v>122</v>
      </c>
      <c r="B35" t="s">
        <v>82</v>
      </c>
      <c r="C35" t="s">
        <v>82</v>
      </c>
      <c r="D35" t="s">
        <v>84</v>
      </c>
      <c r="E35" t="s">
        <v>266</v>
      </c>
      <c r="F35" t="s">
        <v>267</v>
      </c>
      <c r="G35">
        <v>1</v>
      </c>
      <c r="H35" t="s">
        <v>40</v>
      </c>
      <c r="I35">
        <v>378.69</v>
      </c>
      <c r="J35">
        <v>378.69</v>
      </c>
    </row>
    <row r="36" spans="1:10" x14ac:dyDescent="0.2">
      <c r="A36" t="s">
        <v>124</v>
      </c>
      <c r="B36" t="s">
        <v>94</v>
      </c>
      <c r="C36" t="s">
        <v>82</v>
      </c>
      <c r="D36" t="s">
        <v>84</v>
      </c>
      <c r="E36" t="s">
        <v>268</v>
      </c>
      <c r="F36" t="s">
        <v>269</v>
      </c>
      <c r="G36">
        <v>1</v>
      </c>
      <c r="H36" t="s">
        <v>40</v>
      </c>
      <c r="I36">
        <v>141.56</v>
      </c>
      <c r="J36">
        <v>141.56</v>
      </c>
    </row>
    <row r="37" spans="1:10" x14ac:dyDescent="0.2">
      <c r="A37" t="s">
        <v>131</v>
      </c>
      <c r="B37" t="s">
        <v>88</v>
      </c>
      <c r="C37" t="s">
        <v>82</v>
      </c>
      <c r="D37" t="s">
        <v>84</v>
      </c>
      <c r="E37" t="s">
        <v>270</v>
      </c>
      <c r="F37" t="s">
        <v>271</v>
      </c>
      <c r="G37">
        <v>1</v>
      </c>
      <c r="H37" t="s">
        <v>40</v>
      </c>
      <c r="I37">
        <v>476.12</v>
      </c>
      <c r="J37">
        <v>476.12</v>
      </c>
    </row>
    <row r="38" spans="1:10" x14ac:dyDescent="0.2">
      <c r="A38" t="s">
        <v>129</v>
      </c>
      <c r="B38" t="s">
        <v>128</v>
      </c>
      <c r="C38" t="s">
        <v>82</v>
      </c>
      <c r="D38" t="s">
        <v>84</v>
      </c>
      <c r="E38" t="s">
        <v>272</v>
      </c>
      <c r="F38" t="s">
        <v>273</v>
      </c>
      <c r="G38">
        <v>1</v>
      </c>
      <c r="H38" t="s">
        <v>40</v>
      </c>
      <c r="I38">
        <v>378.69</v>
      </c>
      <c r="J38">
        <v>378.69</v>
      </c>
    </row>
    <row r="39" spans="1:10" x14ac:dyDescent="0.2">
      <c r="A39" t="s">
        <v>134</v>
      </c>
      <c r="B39" t="s">
        <v>133</v>
      </c>
      <c r="C39" t="s">
        <v>82</v>
      </c>
      <c r="D39" t="s">
        <v>84</v>
      </c>
      <c r="E39" t="s">
        <v>274</v>
      </c>
      <c r="F39" t="s">
        <v>275</v>
      </c>
      <c r="G39">
        <v>1</v>
      </c>
      <c r="H39" t="s">
        <v>40</v>
      </c>
      <c r="I39">
        <v>89.81</v>
      </c>
      <c r="J39">
        <v>89.81</v>
      </c>
    </row>
    <row r="40" spans="1:10" x14ac:dyDescent="0.2">
      <c r="A40" t="s">
        <v>126</v>
      </c>
      <c r="B40" t="s">
        <v>105</v>
      </c>
      <c r="C40" t="s">
        <v>82</v>
      </c>
      <c r="D40" t="s">
        <v>84</v>
      </c>
      <c r="E40" t="s">
        <v>276</v>
      </c>
      <c r="F40" t="s">
        <v>277</v>
      </c>
      <c r="G40">
        <v>1</v>
      </c>
      <c r="H40" t="s">
        <v>40</v>
      </c>
      <c r="I40">
        <v>26.69</v>
      </c>
      <c r="J40">
        <v>26.69</v>
      </c>
    </row>
    <row r="41" spans="1:10" x14ac:dyDescent="0.2">
      <c r="A41" t="s">
        <v>126</v>
      </c>
      <c r="B41" t="s">
        <v>105</v>
      </c>
      <c r="C41" t="s">
        <v>82</v>
      </c>
      <c r="D41" t="s">
        <v>84</v>
      </c>
      <c r="E41" t="s">
        <v>278</v>
      </c>
      <c r="F41" t="s">
        <v>279</v>
      </c>
      <c r="G41">
        <v>2</v>
      </c>
      <c r="H41" t="s">
        <v>40</v>
      </c>
      <c r="I41">
        <v>4.6500000000000004</v>
      </c>
      <c r="J41">
        <v>9.3000000000000007</v>
      </c>
    </row>
    <row r="42" spans="1:10" x14ac:dyDescent="0.2">
      <c r="A42" t="s">
        <v>126</v>
      </c>
      <c r="B42" t="s">
        <v>105</v>
      </c>
      <c r="C42" t="s">
        <v>82</v>
      </c>
      <c r="D42" t="s">
        <v>84</v>
      </c>
      <c r="E42" t="s">
        <v>280</v>
      </c>
      <c r="F42" t="s">
        <v>281</v>
      </c>
      <c r="G42">
        <v>1</v>
      </c>
      <c r="H42" t="s">
        <v>40</v>
      </c>
      <c r="I42">
        <v>2.58</v>
      </c>
      <c r="J42">
        <v>2.58</v>
      </c>
    </row>
    <row r="43" spans="1:10" x14ac:dyDescent="0.2">
      <c r="A43" t="s">
        <v>126</v>
      </c>
      <c r="B43" t="s">
        <v>105</v>
      </c>
      <c r="C43" t="s">
        <v>82</v>
      </c>
      <c r="D43" t="s">
        <v>84</v>
      </c>
      <c r="E43" t="s">
        <v>282</v>
      </c>
      <c r="F43" t="s">
        <v>283</v>
      </c>
      <c r="G43">
        <v>1</v>
      </c>
      <c r="H43" t="s">
        <v>40</v>
      </c>
      <c r="I43">
        <v>6.03</v>
      </c>
      <c r="J43">
        <v>6.03</v>
      </c>
    </row>
    <row r="44" spans="1:10" x14ac:dyDescent="0.2">
      <c r="A44" t="s">
        <v>126</v>
      </c>
      <c r="B44" t="s">
        <v>105</v>
      </c>
      <c r="C44" t="s">
        <v>82</v>
      </c>
      <c r="D44" t="s">
        <v>84</v>
      </c>
      <c r="E44" t="s">
        <v>284</v>
      </c>
      <c r="F44" t="s">
        <v>285</v>
      </c>
      <c r="G44">
        <v>4</v>
      </c>
      <c r="H44" t="s">
        <v>40</v>
      </c>
      <c r="I44">
        <v>21.27</v>
      </c>
      <c r="J44">
        <v>85.08</v>
      </c>
    </row>
    <row r="45" spans="1:10" x14ac:dyDescent="0.2">
      <c r="A45" t="s">
        <v>126</v>
      </c>
      <c r="B45" t="s">
        <v>105</v>
      </c>
      <c r="C45" t="s">
        <v>82</v>
      </c>
      <c r="D45" t="s">
        <v>84</v>
      </c>
      <c r="E45" t="s">
        <v>286</v>
      </c>
      <c r="F45" t="s">
        <v>287</v>
      </c>
      <c r="G45">
        <v>1</v>
      </c>
      <c r="H45" t="s">
        <v>40</v>
      </c>
      <c r="I45">
        <v>1.89</v>
      </c>
      <c r="J45">
        <v>1.89</v>
      </c>
    </row>
    <row r="46" spans="1:10" x14ac:dyDescent="0.2">
      <c r="A46" t="s">
        <v>126</v>
      </c>
      <c r="B46" t="s">
        <v>105</v>
      </c>
      <c r="C46" t="s">
        <v>82</v>
      </c>
      <c r="D46" t="s">
        <v>84</v>
      </c>
      <c r="E46" t="s">
        <v>288</v>
      </c>
      <c r="F46" t="s">
        <v>289</v>
      </c>
      <c r="G46">
        <v>1</v>
      </c>
      <c r="H46" t="s">
        <v>40</v>
      </c>
      <c r="I46">
        <v>2.41</v>
      </c>
      <c r="J46">
        <v>2.41</v>
      </c>
    </row>
    <row r="47" spans="1:10" x14ac:dyDescent="0.2">
      <c r="A47" t="s">
        <v>126</v>
      </c>
      <c r="B47" t="s">
        <v>105</v>
      </c>
      <c r="C47" t="s">
        <v>82</v>
      </c>
      <c r="D47" t="s">
        <v>84</v>
      </c>
      <c r="E47" t="s">
        <v>290</v>
      </c>
      <c r="F47" t="s">
        <v>291</v>
      </c>
      <c r="G47">
        <v>2</v>
      </c>
      <c r="H47" t="s">
        <v>40</v>
      </c>
      <c r="I47">
        <v>128.63999999999999</v>
      </c>
      <c r="J47">
        <v>257.27999999999997</v>
      </c>
    </row>
    <row r="48" spans="1:10" x14ac:dyDescent="0.2">
      <c r="A48" t="s">
        <v>126</v>
      </c>
      <c r="B48" t="s">
        <v>105</v>
      </c>
      <c r="C48" t="s">
        <v>82</v>
      </c>
      <c r="D48" t="s">
        <v>84</v>
      </c>
      <c r="E48" t="s">
        <v>292</v>
      </c>
      <c r="F48" t="s">
        <v>293</v>
      </c>
      <c r="G48">
        <v>1</v>
      </c>
      <c r="H48" t="s">
        <v>40</v>
      </c>
      <c r="I48">
        <v>3.48</v>
      </c>
      <c r="J48">
        <v>3.48</v>
      </c>
    </row>
    <row r="49" spans="1:10" x14ac:dyDescent="0.2">
      <c r="A49" t="s">
        <v>126</v>
      </c>
      <c r="B49" t="s">
        <v>105</v>
      </c>
      <c r="C49" t="s">
        <v>82</v>
      </c>
      <c r="D49" t="s">
        <v>84</v>
      </c>
      <c r="E49" t="s">
        <v>294</v>
      </c>
      <c r="F49" t="s">
        <v>295</v>
      </c>
      <c r="G49">
        <v>1</v>
      </c>
      <c r="H49" t="s">
        <v>40</v>
      </c>
      <c r="I49">
        <v>0.87</v>
      </c>
      <c r="J49">
        <v>0.87</v>
      </c>
    </row>
    <row r="50" spans="1:10" x14ac:dyDescent="0.2">
      <c r="A50" t="s">
        <v>126</v>
      </c>
      <c r="B50" t="s">
        <v>105</v>
      </c>
      <c r="C50" t="s">
        <v>82</v>
      </c>
      <c r="D50" t="s">
        <v>84</v>
      </c>
      <c r="E50" t="s">
        <v>296</v>
      </c>
      <c r="F50" t="s">
        <v>297</v>
      </c>
      <c r="G50">
        <v>2</v>
      </c>
      <c r="H50" t="s">
        <v>40</v>
      </c>
      <c r="I50">
        <v>1.21</v>
      </c>
      <c r="J50">
        <v>2.42</v>
      </c>
    </row>
    <row r="51" spans="1:10" x14ac:dyDescent="0.2">
      <c r="A51" t="s">
        <v>126</v>
      </c>
      <c r="B51" t="s">
        <v>105</v>
      </c>
      <c r="C51" t="s">
        <v>82</v>
      </c>
      <c r="D51" t="s">
        <v>84</v>
      </c>
      <c r="E51" t="s">
        <v>298</v>
      </c>
      <c r="F51" t="s">
        <v>299</v>
      </c>
      <c r="G51">
        <v>4</v>
      </c>
      <c r="H51" t="s">
        <v>40</v>
      </c>
      <c r="I51">
        <v>21.27</v>
      </c>
      <c r="J51">
        <v>85.08</v>
      </c>
    </row>
    <row r="52" spans="1:10" x14ac:dyDescent="0.2">
      <c r="A52" t="s">
        <v>126</v>
      </c>
      <c r="B52" t="s">
        <v>105</v>
      </c>
      <c r="C52" t="s">
        <v>82</v>
      </c>
      <c r="D52" t="s">
        <v>84</v>
      </c>
      <c r="E52" t="s">
        <v>300</v>
      </c>
      <c r="F52" t="s">
        <v>301</v>
      </c>
      <c r="G52">
        <v>1</v>
      </c>
      <c r="H52" t="s">
        <v>40</v>
      </c>
      <c r="I52">
        <v>10.16</v>
      </c>
      <c r="J52">
        <v>10.16</v>
      </c>
    </row>
    <row r="53" spans="1:10" x14ac:dyDescent="0.2">
      <c r="A53" t="s">
        <v>136</v>
      </c>
      <c r="B53" t="s">
        <v>82</v>
      </c>
      <c r="C53" t="s">
        <v>82</v>
      </c>
      <c r="D53" t="s">
        <v>84</v>
      </c>
      <c r="E53" t="s">
        <v>266</v>
      </c>
      <c r="F53" t="s">
        <v>267</v>
      </c>
      <c r="G53">
        <v>1</v>
      </c>
      <c r="H53" t="s">
        <v>40</v>
      </c>
      <c r="I53">
        <v>378.69</v>
      </c>
      <c r="J53">
        <v>378.69</v>
      </c>
    </row>
    <row r="54" spans="1:10" x14ac:dyDescent="0.2">
      <c r="A54" t="s">
        <v>138</v>
      </c>
      <c r="B54" t="s">
        <v>133</v>
      </c>
      <c r="C54" t="s">
        <v>82</v>
      </c>
      <c r="D54" t="s">
        <v>84</v>
      </c>
      <c r="E54" t="s">
        <v>302</v>
      </c>
      <c r="F54" t="s">
        <v>303</v>
      </c>
      <c r="G54">
        <v>1</v>
      </c>
      <c r="H54" t="s">
        <v>40</v>
      </c>
      <c r="I54">
        <v>570</v>
      </c>
      <c r="J54">
        <v>570</v>
      </c>
    </row>
    <row r="55" spans="1:10" x14ac:dyDescent="0.2">
      <c r="A55" t="s">
        <v>142</v>
      </c>
      <c r="B55" t="s">
        <v>94</v>
      </c>
      <c r="C55" t="s">
        <v>82</v>
      </c>
      <c r="D55" t="s">
        <v>84</v>
      </c>
      <c r="E55" t="s">
        <v>302</v>
      </c>
      <c r="F55" t="s">
        <v>303</v>
      </c>
      <c r="G55">
        <v>1</v>
      </c>
      <c r="H55" t="s">
        <v>40</v>
      </c>
      <c r="I55">
        <v>570</v>
      </c>
      <c r="J55">
        <v>570</v>
      </c>
    </row>
    <row r="56" spans="1:10" x14ac:dyDescent="0.2">
      <c r="A56" t="s">
        <v>140</v>
      </c>
      <c r="B56" t="s">
        <v>88</v>
      </c>
      <c r="C56" t="s">
        <v>82</v>
      </c>
      <c r="D56" t="s">
        <v>84</v>
      </c>
      <c r="E56" t="s">
        <v>304</v>
      </c>
      <c r="F56" t="s">
        <v>305</v>
      </c>
      <c r="G56">
        <v>1</v>
      </c>
      <c r="H56" t="s">
        <v>40</v>
      </c>
      <c r="I56">
        <v>74.91</v>
      </c>
      <c r="J56">
        <v>74.91</v>
      </c>
    </row>
    <row r="57" spans="1:10" x14ac:dyDescent="0.2">
      <c r="A57" t="s">
        <v>90</v>
      </c>
      <c r="B57" t="s">
        <v>88</v>
      </c>
      <c r="C57" t="s">
        <v>82</v>
      </c>
      <c r="D57" t="s">
        <v>84</v>
      </c>
      <c r="E57" t="s">
        <v>306</v>
      </c>
      <c r="F57" t="s">
        <v>307</v>
      </c>
      <c r="G57">
        <v>4</v>
      </c>
      <c r="H57" t="s">
        <v>40</v>
      </c>
      <c r="I57">
        <v>0.22</v>
      </c>
      <c r="J57">
        <v>0.88</v>
      </c>
    </row>
    <row r="58" spans="1:10" x14ac:dyDescent="0.2">
      <c r="A58" t="s">
        <v>90</v>
      </c>
      <c r="B58" t="s">
        <v>88</v>
      </c>
      <c r="C58" t="s">
        <v>82</v>
      </c>
      <c r="D58" t="s">
        <v>84</v>
      </c>
      <c r="E58" t="s">
        <v>308</v>
      </c>
      <c r="F58" t="s">
        <v>309</v>
      </c>
      <c r="G58">
        <v>1</v>
      </c>
      <c r="H58" t="s">
        <v>40</v>
      </c>
      <c r="I58">
        <v>15.33</v>
      </c>
      <c r="J58">
        <v>15.33</v>
      </c>
    </row>
    <row r="59" spans="1:10" x14ac:dyDescent="0.2">
      <c r="A59" t="s">
        <v>90</v>
      </c>
      <c r="B59" t="s">
        <v>88</v>
      </c>
      <c r="C59" t="s">
        <v>82</v>
      </c>
      <c r="D59" t="s">
        <v>84</v>
      </c>
      <c r="E59" t="s">
        <v>310</v>
      </c>
      <c r="F59" t="s">
        <v>311</v>
      </c>
      <c r="G59">
        <v>2</v>
      </c>
      <c r="H59" t="s">
        <v>40</v>
      </c>
      <c r="I59">
        <v>29.1</v>
      </c>
      <c r="J59">
        <v>58.2</v>
      </c>
    </row>
    <row r="60" spans="1:10" x14ac:dyDescent="0.2">
      <c r="A60" t="s">
        <v>90</v>
      </c>
      <c r="B60" t="s">
        <v>88</v>
      </c>
      <c r="C60" t="s">
        <v>82</v>
      </c>
      <c r="D60" t="s">
        <v>84</v>
      </c>
      <c r="E60" t="s">
        <v>312</v>
      </c>
      <c r="F60" t="s">
        <v>313</v>
      </c>
      <c r="G60">
        <v>1</v>
      </c>
      <c r="H60" t="s">
        <v>40</v>
      </c>
      <c r="I60">
        <v>8.8000000000000007</v>
      </c>
      <c r="J60">
        <v>8.8000000000000007</v>
      </c>
    </row>
    <row r="61" spans="1:10" x14ac:dyDescent="0.2">
      <c r="A61" t="s">
        <v>90</v>
      </c>
      <c r="B61" t="s">
        <v>88</v>
      </c>
      <c r="C61" t="s">
        <v>82</v>
      </c>
      <c r="D61" t="s">
        <v>84</v>
      </c>
      <c r="E61" t="s">
        <v>314</v>
      </c>
      <c r="F61" t="s">
        <v>315</v>
      </c>
      <c r="G61">
        <v>1</v>
      </c>
      <c r="H61" t="s">
        <v>40</v>
      </c>
      <c r="I61">
        <v>0.69</v>
      </c>
      <c r="J61">
        <v>0.69</v>
      </c>
    </row>
    <row r="62" spans="1:10" x14ac:dyDescent="0.2">
      <c r="A62" t="s">
        <v>90</v>
      </c>
      <c r="B62" t="s">
        <v>88</v>
      </c>
      <c r="C62" t="s">
        <v>82</v>
      </c>
      <c r="D62" t="s">
        <v>84</v>
      </c>
      <c r="E62" t="s">
        <v>316</v>
      </c>
      <c r="F62" t="s">
        <v>317</v>
      </c>
      <c r="G62">
        <v>1</v>
      </c>
      <c r="H62" t="s">
        <v>40</v>
      </c>
      <c r="I62">
        <v>21.27</v>
      </c>
      <c r="J62">
        <v>21.27</v>
      </c>
    </row>
    <row r="63" spans="1:10" x14ac:dyDescent="0.2">
      <c r="A63" t="s">
        <v>90</v>
      </c>
      <c r="B63" t="s">
        <v>88</v>
      </c>
      <c r="C63" t="s">
        <v>82</v>
      </c>
      <c r="D63" t="s">
        <v>84</v>
      </c>
      <c r="E63" t="s">
        <v>53</v>
      </c>
      <c r="F63" t="s">
        <v>318</v>
      </c>
      <c r="G63">
        <v>1</v>
      </c>
      <c r="H63" t="s">
        <v>40</v>
      </c>
      <c r="I63">
        <v>4.9000000000000004</v>
      </c>
      <c r="J63">
        <v>4.9000000000000004</v>
      </c>
    </row>
    <row r="64" spans="1:10" x14ac:dyDescent="0.2">
      <c r="A64" t="s">
        <v>90</v>
      </c>
      <c r="B64" t="s">
        <v>88</v>
      </c>
      <c r="C64" t="s">
        <v>82</v>
      </c>
      <c r="D64" t="s">
        <v>84</v>
      </c>
      <c r="E64" t="s">
        <v>319</v>
      </c>
      <c r="F64" t="s">
        <v>320</v>
      </c>
      <c r="G64">
        <v>2</v>
      </c>
      <c r="H64" t="s">
        <v>40</v>
      </c>
      <c r="I64">
        <v>10.85</v>
      </c>
      <c r="J64">
        <v>21.7</v>
      </c>
    </row>
    <row r="65" spans="1:10" x14ac:dyDescent="0.2">
      <c r="A65" t="s">
        <v>90</v>
      </c>
      <c r="B65" t="s">
        <v>88</v>
      </c>
      <c r="C65" t="s">
        <v>82</v>
      </c>
      <c r="D65" t="s">
        <v>84</v>
      </c>
      <c r="E65" t="s">
        <v>321</v>
      </c>
      <c r="F65" t="s">
        <v>322</v>
      </c>
      <c r="G65">
        <v>4</v>
      </c>
      <c r="H65" t="s">
        <v>40</v>
      </c>
      <c r="I65">
        <v>1.72</v>
      </c>
      <c r="J65">
        <v>6.88</v>
      </c>
    </row>
    <row r="66" spans="1:10" x14ac:dyDescent="0.2">
      <c r="A66" t="s">
        <v>90</v>
      </c>
      <c r="B66" t="s">
        <v>88</v>
      </c>
      <c r="C66" t="s">
        <v>82</v>
      </c>
      <c r="D66" t="s">
        <v>84</v>
      </c>
      <c r="E66" t="s">
        <v>323</v>
      </c>
      <c r="F66" t="s">
        <v>324</v>
      </c>
      <c r="G66">
        <v>1</v>
      </c>
      <c r="H66" t="s">
        <v>40</v>
      </c>
      <c r="I66">
        <v>15.33</v>
      </c>
      <c r="J66">
        <v>15.33</v>
      </c>
    </row>
    <row r="67" spans="1:10" x14ac:dyDescent="0.2">
      <c r="A67" t="s">
        <v>90</v>
      </c>
      <c r="B67" t="s">
        <v>88</v>
      </c>
      <c r="C67" t="s">
        <v>82</v>
      </c>
      <c r="D67" t="s">
        <v>84</v>
      </c>
      <c r="E67" t="s">
        <v>325</v>
      </c>
      <c r="F67" t="s">
        <v>326</v>
      </c>
      <c r="G67">
        <v>1</v>
      </c>
      <c r="H67" t="s">
        <v>40</v>
      </c>
      <c r="I67">
        <v>15.33</v>
      </c>
      <c r="J67">
        <v>15.33</v>
      </c>
    </row>
    <row r="68" spans="1:10" x14ac:dyDescent="0.2">
      <c r="A68" t="s">
        <v>90</v>
      </c>
      <c r="B68" t="s">
        <v>88</v>
      </c>
      <c r="C68" t="s">
        <v>82</v>
      </c>
      <c r="D68" t="s">
        <v>84</v>
      </c>
      <c r="E68" t="s">
        <v>327</v>
      </c>
      <c r="F68" t="s">
        <v>328</v>
      </c>
      <c r="G68">
        <v>1</v>
      </c>
      <c r="H68" t="s">
        <v>40</v>
      </c>
      <c r="I68">
        <v>7.75</v>
      </c>
      <c r="J68">
        <v>7.75</v>
      </c>
    </row>
    <row r="69" spans="1:10" x14ac:dyDescent="0.2">
      <c r="A69" t="s">
        <v>90</v>
      </c>
      <c r="B69" t="s">
        <v>88</v>
      </c>
      <c r="C69" t="s">
        <v>82</v>
      </c>
      <c r="D69" t="s">
        <v>84</v>
      </c>
      <c r="E69" t="s">
        <v>329</v>
      </c>
      <c r="F69" t="s">
        <v>330</v>
      </c>
      <c r="G69">
        <v>1</v>
      </c>
      <c r="H69" t="s">
        <v>40</v>
      </c>
      <c r="I69">
        <v>6.2</v>
      </c>
      <c r="J69">
        <v>6.2</v>
      </c>
    </row>
    <row r="70" spans="1:10" x14ac:dyDescent="0.2">
      <c r="A70" t="s">
        <v>90</v>
      </c>
      <c r="B70" t="s">
        <v>88</v>
      </c>
      <c r="C70" t="s">
        <v>82</v>
      </c>
      <c r="D70" t="s">
        <v>84</v>
      </c>
      <c r="E70" t="s">
        <v>331</v>
      </c>
      <c r="F70" t="s">
        <v>332</v>
      </c>
      <c r="G70">
        <v>1</v>
      </c>
      <c r="H70" t="s">
        <v>40</v>
      </c>
      <c r="I70">
        <v>15.33</v>
      </c>
      <c r="J70">
        <v>15.33</v>
      </c>
    </row>
    <row r="71" spans="1:10" x14ac:dyDescent="0.2">
      <c r="A71" t="s">
        <v>95</v>
      </c>
      <c r="B71" t="s">
        <v>94</v>
      </c>
      <c r="C71" t="s">
        <v>82</v>
      </c>
      <c r="D71" t="s">
        <v>84</v>
      </c>
      <c r="E71" t="s">
        <v>333</v>
      </c>
      <c r="F71" t="s">
        <v>334</v>
      </c>
      <c r="G71">
        <v>1</v>
      </c>
      <c r="H71" t="s">
        <v>40</v>
      </c>
      <c r="I71">
        <v>3.1</v>
      </c>
      <c r="J71">
        <v>3.1</v>
      </c>
    </row>
    <row r="72" spans="1:10" x14ac:dyDescent="0.2">
      <c r="A72" t="s">
        <v>95</v>
      </c>
      <c r="B72" t="s">
        <v>94</v>
      </c>
      <c r="C72" t="s">
        <v>82</v>
      </c>
      <c r="D72" t="s">
        <v>84</v>
      </c>
      <c r="E72" t="s">
        <v>335</v>
      </c>
      <c r="F72" t="s">
        <v>336</v>
      </c>
      <c r="G72">
        <v>1</v>
      </c>
      <c r="H72" t="s">
        <v>40</v>
      </c>
      <c r="I72">
        <v>32.89</v>
      </c>
      <c r="J72">
        <v>32.89</v>
      </c>
    </row>
    <row r="73" spans="1:10" x14ac:dyDescent="0.2">
      <c r="A73" t="s">
        <v>95</v>
      </c>
      <c r="B73" t="s">
        <v>94</v>
      </c>
      <c r="C73" t="s">
        <v>82</v>
      </c>
      <c r="D73" t="s">
        <v>84</v>
      </c>
      <c r="E73" t="s">
        <v>337</v>
      </c>
      <c r="F73" t="s">
        <v>338</v>
      </c>
      <c r="G73">
        <v>1</v>
      </c>
      <c r="H73" t="s">
        <v>40</v>
      </c>
      <c r="I73">
        <v>4.99</v>
      </c>
      <c r="J73">
        <v>4.99</v>
      </c>
    </row>
    <row r="74" spans="1:10" x14ac:dyDescent="0.2">
      <c r="A74" t="s">
        <v>95</v>
      </c>
      <c r="B74" t="s">
        <v>94</v>
      </c>
      <c r="C74" t="s">
        <v>82</v>
      </c>
      <c r="D74" t="s">
        <v>84</v>
      </c>
      <c r="E74" t="s">
        <v>339</v>
      </c>
      <c r="F74" t="s">
        <v>340</v>
      </c>
      <c r="G74">
        <v>1</v>
      </c>
      <c r="H74" t="s">
        <v>40</v>
      </c>
      <c r="I74">
        <v>7.75</v>
      </c>
      <c r="J74">
        <v>7.75</v>
      </c>
    </row>
    <row r="75" spans="1:10" x14ac:dyDescent="0.2">
      <c r="A75" t="s">
        <v>95</v>
      </c>
      <c r="B75" t="s">
        <v>94</v>
      </c>
      <c r="C75" t="s">
        <v>82</v>
      </c>
      <c r="D75" t="s">
        <v>84</v>
      </c>
      <c r="E75" t="s">
        <v>200</v>
      </c>
      <c r="F75" t="s">
        <v>201</v>
      </c>
      <c r="G75">
        <v>1</v>
      </c>
      <c r="H75" t="s">
        <v>40</v>
      </c>
      <c r="I75">
        <v>185.82</v>
      </c>
      <c r="J75">
        <v>185.82</v>
      </c>
    </row>
    <row r="76" spans="1:10" x14ac:dyDescent="0.2">
      <c r="A76" t="s">
        <v>95</v>
      </c>
      <c r="B76" t="s">
        <v>94</v>
      </c>
      <c r="C76" t="s">
        <v>82</v>
      </c>
      <c r="D76" t="s">
        <v>84</v>
      </c>
      <c r="E76" t="s">
        <v>276</v>
      </c>
      <c r="F76" t="s">
        <v>277</v>
      </c>
      <c r="G76">
        <v>1</v>
      </c>
      <c r="H76" t="s">
        <v>40</v>
      </c>
      <c r="I76">
        <v>26.69</v>
      </c>
      <c r="J76">
        <v>26.69</v>
      </c>
    </row>
    <row r="77" spans="1:10" x14ac:dyDescent="0.2">
      <c r="A77" t="s">
        <v>95</v>
      </c>
      <c r="B77" t="s">
        <v>94</v>
      </c>
      <c r="C77" t="s">
        <v>82</v>
      </c>
      <c r="D77" t="s">
        <v>84</v>
      </c>
      <c r="E77" t="s">
        <v>341</v>
      </c>
      <c r="F77" t="s">
        <v>342</v>
      </c>
      <c r="G77">
        <v>1</v>
      </c>
      <c r="H77" t="s">
        <v>40</v>
      </c>
      <c r="I77">
        <v>65.099999999999994</v>
      </c>
      <c r="J77">
        <v>65.099999999999994</v>
      </c>
    </row>
    <row r="78" spans="1:10" x14ac:dyDescent="0.2">
      <c r="A78" t="s">
        <v>95</v>
      </c>
      <c r="B78" t="s">
        <v>94</v>
      </c>
      <c r="C78" t="s">
        <v>82</v>
      </c>
      <c r="D78" t="s">
        <v>84</v>
      </c>
      <c r="E78" t="s">
        <v>343</v>
      </c>
      <c r="F78" t="s">
        <v>344</v>
      </c>
      <c r="G78">
        <v>1</v>
      </c>
      <c r="H78" t="s">
        <v>40</v>
      </c>
      <c r="I78">
        <v>3.1</v>
      </c>
      <c r="J78">
        <v>3.1</v>
      </c>
    </row>
    <row r="79" spans="1:10" x14ac:dyDescent="0.2">
      <c r="A79" t="s">
        <v>95</v>
      </c>
      <c r="B79" t="s">
        <v>94</v>
      </c>
      <c r="C79" t="s">
        <v>82</v>
      </c>
      <c r="D79" t="s">
        <v>84</v>
      </c>
      <c r="E79" t="s">
        <v>345</v>
      </c>
      <c r="F79" t="s">
        <v>299</v>
      </c>
      <c r="G79">
        <v>2</v>
      </c>
      <c r="H79" t="s">
        <v>40</v>
      </c>
      <c r="I79">
        <v>21.27</v>
      </c>
      <c r="J79">
        <v>42.54</v>
      </c>
    </row>
    <row r="80" spans="1:10" x14ac:dyDescent="0.2">
      <c r="A80" t="s">
        <v>95</v>
      </c>
      <c r="B80" t="s">
        <v>94</v>
      </c>
      <c r="C80" t="s">
        <v>82</v>
      </c>
      <c r="D80" t="s">
        <v>84</v>
      </c>
      <c r="E80" t="s">
        <v>346</v>
      </c>
      <c r="F80" t="s">
        <v>347</v>
      </c>
      <c r="G80">
        <v>16</v>
      </c>
      <c r="H80" t="s">
        <v>40</v>
      </c>
      <c r="I80">
        <v>0.69</v>
      </c>
      <c r="J80">
        <v>11.04</v>
      </c>
    </row>
    <row r="81" spans="1:10" x14ac:dyDescent="0.2">
      <c r="A81" t="s">
        <v>95</v>
      </c>
      <c r="B81" t="s">
        <v>94</v>
      </c>
      <c r="C81" t="s">
        <v>82</v>
      </c>
      <c r="D81" t="s">
        <v>84</v>
      </c>
      <c r="E81" t="s">
        <v>348</v>
      </c>
      <c r="F81" t="s">
        <v>349</v>
      </c>
      <c r="G81">
        <v>2</v>
      </c>
      <c r="H81" t="s">
        <v>40</v>
      </c>
      <c r="I81">
        <v>7.06</v>
      </c>
      <c r="J81">
        <v>14.12</v>
      </c>
    </row>
    <row r="82" spans="1:10" x14ac:dyDescent="0.2">
      <c r="A82" t="s">
        <v>95</v>
      </c>
      <c r="B82" t="s">
        <v>94</v>
      </c>
      <c r="C82" t="s">
        <v>82</v>
      </c>
      <c r="D82" t="s">
        <v>84</v>
      </c>
      <c r="E82" t="s">
        <v>350</v>
      </c>
      <c r="F82" t="s">
        <v>351</v>
      </c>
      <c r="G82">
        <v>1</v>
      </c>
      <c r="H82" t="s">
        <v>40</v>
      </c>
      <c r="I82">
        <v>78.180000000000007</v>
      </c>
      <c r="J82">
        <v>78.180000000000007</v>
      </c>
    </row>
    <row r="83" spans="1:10" x14ac:dyDescent="0.2">
      <c r="A83" t="s">
        <v>95</v>
      </c>
      <c r="B83" t="s">
        <v>94</v>
      </c>
      <c r="C83" t="s">
        <v>82</v>
      </c>
      <c r="D83" t="s">
        <v>84</v>
      </c>
      <c r="E83" t="s">
        <v>352</v>
      </c>
      <c r="F83" t="s">
        <v>353</v>
      </c>
      <c r="G83">
        <v>1</v>
      </c>
      <c r="H83" t="s">
        <v>40</v>
      </c>
      <c r="I83">
        <v>32.89</v>
      </c>
      <c r="J83">
        <v>32.89</v>
      </c>
    </row>
    <row r="84" spans="1:10" x14ac:dyDescent="0.2">
      <c r="A84" t="s">
        <v>95</v>
      </c>
      <c r="B84" t="s">
        <v>94</v>
      </c>
      <c r="C84" t="s">
        <v>82</v>
      </c>
      <c r="D84" t="s">
        <v>84</v>
      </c>
      <c r="E84" t="s">
        <v>354</v>
      </c>
      <c r="F84" t="s">
        <v>355</v>
      </c>
      <c r="G84">
        <v>1</v>
      </c>
      <c r="H84" t="s">
        <v>40</v>
      </c>
      <c r="I84">
        <v>103.15</v>
      </c>
      <c r="J84">
        <v>103.15</v>
      </c>
    </row>
    <row r="85" spans="1:10" x14ac:dyDescent="0.2">
      <c r="A85" t="s">
        <v>95</v>
      </c>
      <c r="B85" t="s">
        <v>94</v>
      </c>
      <c r="C85" t="s">
        <v>82</v>
      </c>
      <c r="D85" t="s">
        <v>84</v>
      </c>
      <c r="E85" t="s">
        <v>290</v>
      </c>
      <c r="F85" t="s">
        <v>291</v>
      </c>
      <c r="G85">
        <v>1</v>
      </c>
      <c r="H85" t="s">
        <v>40</v>
      </c>
      <c r="I85">
        <v>128.63999999999999</v>
      </c>
      <c r="J85">
        <v>128.63999999999999</v>
      </c>
    </row>
    <row r="86" spans="1:10" x14ac:dyDescent="0.2">
      <c r="A86" t="s">
        <v>95</v>
      </c>
      <c r="B86" t="s">
        <v>94</v>
      </c>
      <c r="C86" t="s">
        <v>82</v>
      </c>
      <c r="D86" t="s">
        <v>84</v>
      </c>
      <c r="E86" t="s">
        <v>356</v>
      </c>
      <c r="F86" t="s">
        <v>357</v>
      </c>
      <c r="G86">
        <v>1</v>
      </c>
      <c r="H86" t="s">
        <v>40</v>
      </c>
      <c r="I86">
        <v>32.89</v>
      </c>
      <c r="J86">
        <v>32.89</v>
      </c>
    </row>
    <row r="87" spans="1:10" x14ac:dyDescent="0.2">
      <c r="A87" t="s">
        <v>95</v>
      </c>
      <c r="B87" t="s">
        <v>94</v>
      </c>
      <c r="C87" t="s">
        <v>82</v>
      </c>
      <c r="D87" t="s">
        <v>84</v>
      </c>
      <c r="E87" t="s">
        <v>358</v>
      </c>
      <c r="F87" t="s">
        <v>285</v>
      </c>
      <c r="G87">
        <v>2</v>
      </c>
      <c r="H87" t="s">
        <v>40</v>
      </c>
      <c r="I87">
        <v>21.27</v>
      </c>
      <c r="J87">
        <v>42.54</v>
      </c>
    </row>
    <row r="88" spans="1:10" x14ac:dyDescent="0.2">
      <c r="A88" t="s">
        <v>95</v>
      </c>
      <c r="B88" t="s">
        <v>94</v>
      </c>
      <c r="C88" t="s">
        <v>82</v>
      </c>
      <c r="D88" t="s">
        <v>84</v>
      </c>
      <c r="E88" t="s">
        <v>272</v>
      </c>
      <c r="F88" t="s">
        <v>273</v>
      </c>
      <c r="G88">
        <v>1</v>
      </c>
      <c r="H88" t="s">
        <v>40</v>
      </c>
      <c r="I88">
        <v>378.69</v>
      </c>
      <c r="J88">
        <v>378.69</v>
      </c>
    </row>
    <row r="89" spans="1:10" x14ac:dyDescent="0.2">
      <c r="A89" t="s">
        <v>95</v>
      </c>
      <c r="B89" t="s">
        <v>94</v>
      </c>
      <c r="C89" t="s">
        <v>82</v>
      </c>
      <c r="D89" t="s">
        <v>84</v>
      </c>
      <c r="E89" t="s">
        <v>359</v>
      </c>
      <c r="F89" t="s">
        <v>360</v>
      </c>
      <c r="G89">
        <v>1</v>
      </c>
      <c r="H89" t="s">
        <v>40</v>
      </c>
      <c r="I89">
        <v>32.89</v>
      </c>
      <c r="J89">
        <v>32.89</v>
      </c>
    </row>
    <row r="90" spans="1:10" x14ac:dyDescent="0.2">
      <c r="A90" t="s">
        <v>95</v>
      </c>
      <c r="B90" t="s">
        <v>94</v>
      </c>
      <c r="C90" t="s">
        <v>82</v>
      </c>
      <c r="D90" t="s">
        <v>84</v>
      </c>
      <c r="E90" t="s">
        <v>361</v>
      </c>
      <c r="F90" t="s">
        <v>362</v>
      </c>
      <c r="G90">
        <v>1</v>
      </c>
      <c r="H90" t="s">
        <v>40</v>
      </c>
      <c r="I90">
        <v>5.68</v>
      </c>
      <c r="J90">
        <v>5.68</v>
      </c>
    </row>
    <row r="91" spans="1:10" x14ac:dyDescent="0.2">
      <c r="A91" t="s">
        <v>95</v>
      </c>
      <c r="B91" t="s">
        <v>94</v>
      </c>
      <c r="C91" t="s">
        <v>82</v>
      </c>
      <c r="D91" t="s">
        <v>84</v>
      </c>
      <c r="E91" t="s">
        <v>363</v>
      </c>
      <c r="F91" t="s">
        <v>364</v>
      </c>
      <c r="G91">
        <v>2</v>
      </c>
      <c r="H91" t="s">
        <v>40</v>
      </c>
      <c r="I91">
        <v>0.86</v>
      </c>
      <c r="J91">
        <v>1.72</v>
      </c>
    </row>
    <row r="92" spans="1:10" x14ac:dyDescent="0.2">
      <c r="A92" t="s">
        <v>98</v>
      </c>
      <c r="B92" t="s">
        <v>97</v>
      </c>
      <c r="C92" t="s">
        <v>82</v>
      </c>
      <c r="D92" t="s">
        <v>84</v>
      </c>
      <c r="E92" t="s">
        <v>274</v>
      </c>
      <c r="F92" t="s">
        <v>275</v>
      </c>
      <c r="G92">
        <v>1</v>
      </c>
      <c r="H92" t="s">
        <v>40</v>
      </c>
      <c r="I92">
        <v>89.81</v>
      </c>
      <c r="J92">
        <v>89.81</v>
      </c>
    </row>
    <row r="93" spans="1:10" x14ac:dyDescent="0.2">
      <c r="A93" t="s">
        <v>100</v>
      </c>
      <c r="B93" t="s">
        <v>82</v>
      </c>
      <c r="C93" t="s">
        <v>82</v>
      </c>
      <c r="D93" t="s">
        <v>84</v>
      </c>
      <c r="E93" t="s">
        <v>266</v>
      </c>
      <c r="F93" t="s">
        <v>267</v>
      </c>
      <c r="G93">
        <v>1</v>
      </c>
      <c r="H93" t="s">
        <v>40</v>
      </c>
      <c r="I93">
        <v>378.69</v>
      </c>
      <c r="J93">
        <v>378.69</v>
      </c>
    </row>
    <row r="94" spans="1:10" x14ac:dyDescent="0.2">
      <c r="A94" t="s">
        <v>103</v>
      </c>
      <c r="B94" t="s">
        <v>102</v>
      </c>
      <c r="C94" t="s">
        <v>82</v>
      </c>
      <c r="D94" t="s">
        <v>84</v>
      </c>
      <c r="E94" t="s">
        <v>260</v>
      </c>
      <c r="F94" t="s">
        <v>261</v>
      </c>
      <c r="G94">
        <v>1</v>
      </c>
      <c r="H94" t="s">
        <v>40</v>
      </c>
      <c r="I94">
        <v>117</v>
      </c>
      <c r="J94">
        <v>117</v>
      </c>
    </row>
    <row r="95" spans="1:10" x14ac:dyDescent="0.2">
      <c r="A95" t="s">
        <v>110</v>
      </c>
      <c r="B95" t="s">
        <v>105</v>
      </c>
      <c r="C95" t="s">
        <v>82</v>
      </c>
      <c r="D95" t="s">
        <v>84</v>
      </c>
      <c r="E95" t="s">
        <v>365</v>
      </c>
      <c r="F95" t="s">
        <v>366</v>
      </c>
      <c r="G95">
        <v>1</v>
      </c>
      <c r="H95" t="s">
        <v>40</v>
      </c>
      <c r="I95">
        <v>55.45</v>
      </c>
      <c r="J95">
        <v>55.45</v>
      </c>
    </row>
    <row r="96" spans="1:10" x14ac:dyDescent="0.2">
      <c r="A96" t="s">
        <v>110</v>
      </c>
      <c r="B96" t="s">
        <v>105</v>
      </c>
      <c r="C96" t="s">
        <v>82</v>
      </c>
      <c r="D96" t="s">
        <v>84</v>
      </c>
      <c r="E96" t="s">
        <v>367</v>
      </c>
      <c r="F96" t="s">
        <v>368</v>
      </c>
      <c r="G96">
        <v>1</v>
      </c>
      <c r="H96" t="s">
        <v>40</v>
      </c>
      <c r="I96">
        <v>137.6</v>
      </c>
      <c r="J96">
        <v>137.6</v>
      </c>
    </row>
    <row r="97" spans="1:10" x14ac:dyDescent="0.2">
      <c r="A97" t="s">
        <v>108</v>
      </c>
      <c r="B97" t="s">
        <v>82</v>
      </c>
      <c r="C97" t="s">
        <v>82</v>
      </c>
      <c r="D97" t="s">
        <v>84</v>
      </c>
      <c r="E97" t="s">
        <v>369</v>
      </c>
      <c r="F97" t="s">
        <v>370</v>
      </c>
      <c r="G97">
        <v>1</v>
      </c>
      <c r="H97" t="s">
        <v>40</v>
      </c>
      <c r="I97">
        <v>432</v>
      </c>
      <c r="J97">
        <v>432</v>
      </c>
    </row>
    <row r="98" spans="1:10" x14ac:dyDescent="0.2">
      <c r="A98" t="s">
        <v>106</v>
      </c>
      <c r="B98" t="s">
        <v>105</v>
      </c>
      <c r="C98" t="s">
        <v>82</v>
      </c>
      <c r="D98" t="s">
        <v>84</v>
      </c>
      <c r="E98" t="s">
        <v>200</v>
      </c>
      <c r="F98" t="s">
        <v>201</v>
      </c>
      <c r="G98">
        <v>1</v>
      </c>
      <c r="H98" t="s">
        <v>40</v>
      </c>
      <c r="I98">
        <v>185.82</v>
      </c>
      <c r="J98">
        <v>185.82</v>
      </c>
    </row>
    <row r="99" spans="1:10" x14ac:dyDescent="0.2">
      <c r="A99" t="s">
        <v>106</v>
      </c>
      <c r="B99" t="s">
        <v>105</v>
      </c>
      <c r="C99" t="s">
        <v>82</v>
      </c>
      <c r="D99" t="s">
        <v>84</v>
      </c>
      <c r="E99" t="s">
        <v>371</v>
      </c>
      <c r="F99" t="s">
        <v>372</v>
      </c>
      <c r="G99">
        <v>2</v>
      </c>
      <c r="H99" t="s">
        <v>40</v>
      </c>
      <c r="I99">
        <v>1.21</v>
      </c>
      <c r="J99">
        <v>2.42</v>
      </c>
    </row>
    <row r="100" spans="1:10" x14ac:dyDescent="0.2">
      <c r="A100" t="s">
        <v>106</v>
      </c>
      <c r="B100" t="s">
        <v>105</v>
      </c>
      <c r="C100" t="s">
        <v>82</v>
      </c>
      <c r="D100" t="s">
        <v>84</v>
      </c>
      <c r="E100" t="s">
        <v>262</v>
      </c>
      <c r="F100" t="s">
        <v>263</v>
      </c>
      <c r="G100">
        <v>1</v>
      </c>
      <c r="H100" t="s">
        <v>40</v>
      </c>
      <c r="I100">
        <v>141.56</v>
      </c>
      <c r="J100">
        <v>141.56</v>
      </c>
    </row>
    <row r="101" spans="1:10" x14ac:dyDescent="0.2">
      <c r="A101" t="s">
        <v>106</v>
      </c>
      <c r="B101" t="s">
        <v>105</v>
      </c>
      <c r="C101" t="s">
        <v>82</v>
      </c>
      <c r="D101" t="s">
        <v>84</v>
      </c>
      <c r="E101" t="s">
        <v>276</v>
      </c>
      <c r="F101" t="s">
        <v>277</v>
      </c>
      <c r="G101">
        <v>1</v>
      </c>
      <c r="H101" t="s">
        <v>40</v>
      </c>
      <c r="I101">
        <v>26.69</v>
      </c>
      <c r="J101">
        <v>26.69</v>
      </c>
    </row>
    <row r="102" spans="1:10" x14ac:dyDescent="0.2">
      <c r="A102" t="s">
        <v>106</v>
      </c>
      <c r="B102" t="s">
        <v>105</v>
      </c>
      <c r="C102" t="s">
        <v>82</v>
      </c>
      <c r="D102" t="s">
        <v>84</v>
      </c>
      <c r="E102" t="s">
        <v>337</v>
      </c>
      <c r="F102" t="s">
        <v>338</v>
      </c>
      <c r="G102">
        <v>1</v>
      </c>
      <c r="H102" t="s">
        <v>40</v>
      </c>
      <c r="I102">
        <v>4.99</v>
      </c>
      <c r="J102">
        <v>4.99</v>
      </c>
    </row>
    <row r="103" spans="1:10" x14ac:dyDescent="0.2">
      <c r="A103" t="s">
        <v>106</v>
      </c>
      <c r="B103" t="s">
        <v>105</v>
      </c>
      <c r="C103" t="s">
        <v>82</v>
      </c>
      <c r="D103" t="s">
        <v>84</v>
      </c>
      <c r="E103" t="s">
        <v>373</v>
      </c>
      <c r="F103" t="s">
        <v>374</v>
      </c>
      <c r="G103">
        <v>1</v>
      </c>
      <c r="H103" t="s">
        <v>40</v>
      </c>
      <c r="I103">
        <v>5.68</v>
      </c>
      <c r="J103">
        <v>5.68</v>
      </c>
    </row>
    <row r="104" spans="1:10" x14ac:dyDescent="0.2">
      <c r="A104" t="s">
        <v>106</v>
      </c>
      <c r="B104" t="s">
        <v>105</v>
      </c>
      <c r="C104" t="s">
        <v>82</v>
      </c>
      <c r="D104" t="s">
        <v>84</v>
      </c>
      <c r="E104" t="s">
        <v>375</v>
      </c>
      <c r="F104" t="s">
        <v>376</v>
      </c>
      <c r="G104">
        <v>1</v>
      </c>
      <c r="H104" t="s">
        <v>40</v>
      </c>
      <c r="I104">
        <v>4.3099999999999996</v>
      </c>
      <c r="J104">
        <v>4.3099999999999996</v>
      </c>
    </row>
    <row r="105" spans="1:10" x14ac:dyDescent="0.2">
      <c r="A105" t="s">
        <v>106</v>
      </c>
      <c r="B105" t="s">
        <v>105</v>
      </c>
      <c r="C105" t="s">
        <v>82</v>
      </c>
      <c r="D105" t="s">
        <v>84</v>
      </c>
      <c r="E105" t="s">
        <v>377</v>
      </c>
      <c r="F105" t="s">
        <v>378</v>
      </c>
      <c r="G105">
        <v>2</v>
      </c>
      <c r="H105" t="s">
        <v>40</v>
      </c>
      <c r="I105">
        <v>22.22</v>
      </c>
      <c r="J105">
        <v>44.44</v>
      </c>
    </row>
    <row r="106" spans="1:10" x14ac:dyDescent="0.2">
      <c r="A106" t="s">
        <v>106</v>
      </c>
      <c r="B106" t="s">
        <v>105</v>
      </c>
      <c r="C106" t="s">
        <v>82</v>
      </c>
      <c r="D106" t="s">
        <v>84</v>
      </c>
      <c r="E106" t="s">
        <v>379</v>
      </c>
      <c r="F106" t="s">
        <v>380</v>
      </c>
      <c r="G106">
        <v>1</v>
      </c>
      <c r="H106" t="s">
        <v>40</v>
      </c>
      <c r="I106">
        <v>14.64</v>
      </c>
      <c r="J106">
        <v>14.64</v>
      </c>
    </row>
    <row r="107" spans="1:10" x14ac:dyDescent="0.2">
      <c r="A107" t="s">
        <v>106</v>
      </c>
      <c r="B107" t="s">
        <v>105</v>
      </c>
      <c r="C107" t="s">
        <v>82</v>
      </c>
      <c r="D107" t="s">
        <v>84</v>
      </c>
      <c r="E107" t="s">
        <v>284</v>
      </c>
      <c r="F107" t="s">
        <v>285</v>
      </c>
      <c r="G107">
        <v>4</v>
      </c>
      <c r="H107" t="s">
        <v>40</v>
      </c>
      <c r="I107">
        <v>21.27</v>
      </c>
      <c r="J107">
        <v>85.08</v>
      </c>
    </row>
    <row r="108" spans="1:10" x14ac:dyDescent="0.2">
      <c r="A108" t="s">
        <v>106</v>
      </c>
      <c r="B108" t="s">
        <v>105</v>
      </c>
      <c r="C108" t="s">
        <v>82</v>
      </c>
      <c r="D108" t="s">
        <v>84</v>
      </c>
      <c r="E108" t="s">
        <v>290</v>
      </c>
      <c r="F108" t="s">
        <v>291</v>
      </c>
      <c r="G108">
        <v>1</v>
      </c>
      <c r="H108" t="s">
        <v>40</v>
      </c>
      <c r="I108">
        <v>128.63999999999999</v>
      </c>
      <c r="J108">
        <v>128.63999999999999</v>
      </c>
    </row>
    <row r="109" spans="1:10" x14ac:dyDescent="0.2">
      <c r="A109" t="s">
        <v>106</v>
      </c>
      <c r="B109" t="s">
        <v>105</v>
      </c>
      <c r="C109" t="s">
        <v>82</v>
      </c>
      <c r="D109" t="s">
        <v>84</v>
      </c>
      <c r="E109" t="s">
        <v>296</v>
      </c>
      <c r="F109" t="s">
        <v>297</v>
      </c>
      <c r="G109">
        <v>2</v>
      </c>
      <c r="H109" t="s">
        <v>40</v>
      </c>
      <c r="I109">
        <v>1.21</v>
      </c>
      <c r="J109">
        <v>2.42</v>
      </c>
    </row>
    <row r="110" spans="1:10" x14ac:dyDescent="0.2">
      <c r="A110" t="s">
        <v>106</v>
      </c>
      <c r="B110" t="s">
        <v>105</v>
      </c>
      <c r="C110" t="s">
        <v>82</v>
      </c>
      <c r="D110" t="s">
        <v>84</v>
      </c>
      <c r="E110" t="s">
        <v>339</v>
      </c>
      <c r="F110" t="s">
        <v>340</v>
      </c>
      <c r="G110">
        <v>1</v>
      </c>
      <c r="H110" t="s">
        <v>40</v>
      </c>
      <c r="I110">
        <v>7.75</v>
      </c>
      <c r="J110">
        <v>7.75</v>
      </c>
    </row>
    <row r="111" spans="1:10" x14ac:dyDescent="0.2">
      <c r="A111" t="s">
        <v>106</v>
      </c>
      <c r="B111" t="s">
        <v>105</v>
      </c>
      <c r="C111" t="s">
        <v>82</v>
      </c>
      <c r="D111" t="s">
        <v>84</v>
      </c>
      <c r="E111" t="s">
        <v>352</v>
      </c>
      <c r="F111" t="s">
        <v>353</v>
      </c>
      <c r="G111">
        <v>1</v>
      </c>
      <c r="H111" t="s">
        <v>40</v>
      </c>
      <c r="I111">
        <v>32.89</v>
      </c>
      <c r="J111">
        <v>32.89</v>
      </c>
    </row>
    <row r="112" spans="1:10" x14ac:dyDescent="0.2">
      <c r="A112" t="s">
        <v>106</v>
      </c>
      <c r="B112" t="s">
        <v>105</v>
      </c>
      <c r="C112" t="s">
        <v>82</v>
      </c>
      <c r="D112" t="s">
        <v>84</v>
      </c>
      <c r="E112" t="s">
        <v>361</v>
      </c>
      <c r="F112" t="s">
        <v>362</v>
      </c>
      <c r="G112">
        <v>1</v>
      </c>
      <c r="H112" t="s">
        <v>40</v>
      </c>
      <c r="I112">
        <v>5.68</v>
      </c>
      <c r="J112">
        <v>5.68</v>
      </c>
    </row>
    <row r="113" spans="1:10" x14ac:dyDescent="0.2">
      <c r="A113" t="s">
        <v>106</v>
      </c>
      <c r="B113" t="s">
        <v>105</v>
      </c>
      <c r="C113" t="s">
        <v>82</v>
      </c>
      <c r="D113" t="s">
        <v>84</v>
      </c>
      <c r="E113" t="s">
        <v>331</v>
      </c>
      <c r="F113" t="s">
        <v>332</v>
      </c>
      <c r="G113">
        <v>1</v>
      </c>
      <c r="H113" t="s">
        <v>40</v>
      </c>
      <c r="I113">
        <v>15.33</v>
      </c>
      <c r="J113">
        <v>15.33</v>
      </c>
    </row>
    <row r="114" spans="1:10" x14ac:dyDescent="0.2">
      <c r="A114" t="s">
        <v>106</v>
      </c>
      <c r="B114" t="s">
        <v>105</v>
      </c>
      <c r="C114" t="s">
        <v>82</v>
      </c>
      <c r="D114" t="s">
        <v>84</v>
      </c>
      <c r="E114" t="s">
        <v>381</v>
      </c>
      <c r="F114" t="s">
        <v>382</v>
      </c>
      <c r="G114">
        <v>1</v>
      </c>
      <c r="H114" t="s">
        <v>40</v>
      </c>
      <c r="I114">
        <v>2.93</v>
      </c>
      <c r="J114">
        <v>2.93</v>
      </c>
    </row>
    <row r="115" spans="1:10" x14ac:dyDescent="0.2">
      <c r="A115" t="s">
        <v>106</v>
      </c>
      <c r="B115" t="s">
        <v>105</v>
      </c>
      <c r="C115" t="s">
        <v>82</v>
      </c>
      <c r="D115" t="s">
        <v>84</v>
      </c>
      <c r="E115" t="s">
        <v>343</v>
      </c>
      <c r="F115" t="s">
        <v>344</v>
      </c>
      <c r="G115">
        <v>1</v>
      </c>
      <c r="H115" t="s">
        <v>40</v>
      </c>
      <c r="I115">
        <v>3.1</v>
      </c>
      <c r="J115">
        <v>3.1</v>
      </c>
    </row>
    <row r="116" spans="1:10" x14ac:dyDescent="0.2">
      <c r="A116" t="s">
        <v>106</v>
      </c>
      <c r="B116" t="s">
        <v>105</v>
      </c>
      <c r="C116" t="s">
        <v>82</v>
      </c>
      <c r="D116" t="s">
        <v>84</v>
      </c>
      <c r="E116" t="s">
        <v>280</v>
      </c>
      <c r="F116" t="s">
        <v>281</v>
      </c>
      <c r="G116">
        <v>3</v>
      </c>
      <c r="H116" t="s">
        <v>40</v>
      </c>
      <c r="I116">
        <v>2.58</v>
      </c>
      <c r="J116">
        <v>7.74</v>
      </c>
    </row>
    <row r="117" spans="1:10" x14ac:dyDescent="0.2">
      <c r="A117" t="s">
        <v>106</v>
      </c>
      <c r="B117" t="s">
        <v>105</v>
      </c>
      <c r="C117" t="s">
        <v>82</v>
      </c>
      <c r="D117" t="s">
        <v>84</v>
      </c>
      <c r="E117" t="s">
        <v>292</v>
      </c>
      <c r="F117" t="s">
        <v>293</v>
      </c>
      <c r="G117">
        <v>1</v>
      </c>
      <c r="H117" t="s">
        <v>40</v>
      </c>
      <c r="I117">
        <v>3.48</v>
      </c>
      <c r="J117">
        <v>3.48</v>
      </c>
    </row>
    <row r="118" spans="1:10" x14ac:dyDescent="0.2">
      <c r="A118" t="s">
        <v>106</v>
      </c>
      <c r="B118" t="s">
        <v>105</v>
      </c>
      <c r="C118" t="s">
        <v>82</v>
      </c>
      <c r="D118" t="s">
        <v>84</v>
      </c>
      <c r="E118" t="s">
        <v>298</v>
      </c>
      <c r="F118" t="s">
        <v>299</v>
      </c>
      <c r="G118">
        <v>4</v>
      </c>
      <c r="H118" t="s">
        <v>40</v>
      </c>
      <c r="I118">
        <v>21.27</v>
      </c>
      <c r="J118">
        <v>85.08</v>
      </c>
    </row>
    <row r="119" spans="1:10" x14ac:dyDescent="0.2">
      <c r="A119" t="s">
        <v>106</v>
      </c>
      <c r="B119" t="s">
        <v>105</v>
      </c>
      <c r="C119" t="s">
        <v>82</v>
      </c>
      <c r="D119" t="s">
        <v>84</v>
      </c>
      <c r="E119" t="s">
        <v>333</v>
      </c>
      <c r="F119" t="s">
        <v>334</v>
      </c>
      <c r="G119">
        <v>1</v>
      </c>
      <c r="H119" t="s">
        <v>40</v>
      </c>
      <c r="I119">
        <v>3.1</v>
      </c>
      <c r="J119">
        <v>3.1</v>
      </c>
    </row>
    <row r="120" spans="1:10" x14ac:dyDescent="0.2">
      <c r="A120" t="s">
        <v>106</v>
      </c>
      <c r="B120" t="s">
        <v>105</v>
      </c>
      <c r="C120" t="s">
        <v>82</v>
      </c>
      <c r="D120" t="s">
        <v>84</v>
      </c>
      <c r="E120" t="s">
        <v>383</v>
      </c>
      <c r="F120" t="s">
        <v>384</v>
      </c>
      <c r="G120">
        <v>1</v>
      </c>
      <c r="H120" t="s">
        <v>40</v>
      </c>
      <c r="I120">
        <v>6.37</v>
      </c>
      <c r="J120">
        <v>6.37</v>
      </c>
    </row>
    <row r="121" spans="1:10" x14ac:dyDescent="0.2">
      <c r="A121" t="s">
        <v>106</v>
      </c>
      <c r="B121" t="s">
        <v>105</v>
      </c>
      <c r="C121" t="s">
        <v>82</v>
      </c>
      <c r="D121" t="s">
        <v>84</v>
      </c>
      <c r="E121" t="s">
        <v>288</v>
      </c>
      <c r="F121" t="s">
        <v>289</v>
      </c>
      <c r="G121">
        <v>1</v>
      </c>
      <c r="H121" t="s">
        <v>40</v>
      </c>
      <c r="I121">
        <v>2.41</v>
      </c>
      <c r="J121">
        <v>2.41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BE3D-3111-4FDA-8154-A6D78FF9E8C4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customWidth="1"/>
    <col min="3" max="3" width="13.625" customWidth="1"/>
  </cols>
  <sheetData>
    <row r="1" spans="1:17" x14ac:dyDescent="0.2">
      <c r="A1" s="31" t="s">
        <v>24</v>
      </c>
      <c r="B1" s="31" t="s">
        <v>25</v>
      </c>
      <c r="C1" s="32" t="s">
        <v>1</v>
      </c>
      <c r="D1" s="32" t="s">
        <v>0</v>
      </c>
      <c r="E1" s="31" t="s">
        <v>26</v>
      </c>
      <c r="F1" s="31" t="s">
        <v>27</v>
      </c>
      <c r="G1" s="31" t="s">
        <v>28</v>
      </c>
      <c r="H1" s="31" t="s">
        <v>29</v>
      </c>
      <c r="I1" s="31" t="s">
        <v>30</v>
      </c>
      <c r="J1" s="31" t="s">
        <v>31</v>
      </c>
      <c r="K1" s="31" t="s">
        <v>32</v>
      </c>
      <c r="L1" s="31" t="s">
        <v>33</v>
      </c>
      <c r="M1" s="31" t="s">
        <v>34</v>
      </c>
      <c r="N1" s="31" t="s">
        <v>35</v>
      </c>
      <c r="O1" s="31" t="s">
        <v>36</v>
      </c>
      <c r="P1" s="31" t="s">
        <v>9</v>
      </c>
      <c r="Q1" s="33" t="s">
        <v>37</v>
      </c>
    </row>
    <row r="3" spans="1:17" x14ac:dyDescent="0.2">
      <c r="A3" t="s">
        <v>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B3F4-8833-466B-BBCB-990751B31068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5"/>
    <col min="2" max="2" width="15.375" style="35" customWidth="1"/>
    <col min="3" max="3" width="17.75" style="35" customWidth="1"/>
    <col min="4" max="15" width="9" style="35"/>
    <col min="16" max="16" width="16.625" style="35" customWidth="1"/>
    <col min="17" max="16384" width="9" style="35"/>
  </cols>
  <sheetData>
    <row r="1" spans="1:17" x14ac:dyDescent="0.35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9</v>
      </c>
      <c r="Q1" s="34" t="s">
        <v>37</v>
      </c>
    </row>
    <row r="3" spans="1:17" x14ac:dyDescent="0.35">
      <c r="A3" s="35" t="s">
        <v>86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D5DE-073F-44C3-9551-3E259E00B23D}">
  <sheetPr codeName="Sheet8"/>
  <dimension ref="A1:O5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43" customWidth="1"/>
    <col min="3" max="3" width="9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customWidth="1"/>
    <col min="15" max="15" width="18.125" customWidth="1"/>
  </cols>
  <sheetData>
    <row r="1" spans="1:15" ht="43.5" customHeight="1" x14ac:dyDescent="0.2">
      <c r="A1" s="36" t="s">
        <v>54</v>
      </c>
      <c r="B1" s="37" t="s">
        <v>55</v>
      </c>
      <c r="C1" s="38" t="s">
        <v>56</v>
      </c>
      <c r="D1" s="36" t="s">
        <v>57</v>
      </c>
      <c r="E1" s="39" t="s">
        <v>58</v>
      </c>
      <c r="F1" s="39" t="s">
        <v>59</v>
      </c>
      <c r="G1" s="39" t="s">
        <v>60</v>
      </c>
      <c r="H1" s="40" t="s">
        <v>61</v>
      </c>
      <c r="I1" s="40" t="s">
        <v>62</v>
      </c>
      <c r="J1" s="39" t="s">
        <v>63</v>
      </c>
      <c r="K1" s="41" t="s">
        <v>64</v>
      </c>
      <c r="L1" s="41" t="s">
        <v>65</v>
      </c>
      <c r="M1" s="42" t="s">
        <v>66</v>
      </c>
      <c r="N1" s="41" t="s">
        <v>67</v>
      </c>
      <c r="O1" s="39" t="s">
        <v>68</v>
      </c>
    </row>
    <row r="2" spans="1:15" x14ac:dyDescent="0.2">
      <c r="A2" t="s">
        <v>385</v>
      </c>
      <c r="B2" s="43">
        <v>952</v>
      </c>
      <c r="C2" t="s">
        <v>40</v>
      </c>
      <c r="E2" t="s">
        <v>386</v>
      </c>
      <c r="F2" t="s">
        <v>387</v>
      </c>
      <c r="G2" t="s">
        <v>82</v>
      </c>
      <c r="H2" t="s">
        <v>82</v>
      </c>
      <c r="I2" t="s">
        <v>84</v>
      </c>
      <c r="J2" t="s">
        <v>69</v>
      </c>
      <c r="K2" t="s">
        <v>388</v>
      </c>
      <c r="L2">
        <v>1</v>
      </c>
      <c r="M2">
        <v>202412</v>
      </c>
      <c r="N2" s="63">
        <v>45635.388657407406</v>
      </c>
      <c r="O2" t="s">
        <v>389</v>
      </c>
    </row>
    <row r="3" spans="1:15" x14ac:dyDescent="0.2">
      <c r="A3" t="s">
        <v>385</v>
      </c>
      <c r="B3" s="43">
        <v>1125</v>
      </c>
      <c r="C3" t="s">
        <v>40</v>
      </c>
      <c r="E3" t="s">
        <v>390</v>
      </c>
      <c r="F3" t="s">
        <v>391</v>
      </c>
      <c r="G3" t="s">
        <v>82</v>
      </c>
      <c r="H3" t="s">
        <v>82</v>
      </c>
      <c r="I3" t="s">
        <v>84</v>
      </c>
      <c r="J3" t="s">
        <v>69</v>
      </c>
      <c r="K3" t="s">
        <v>388</v>
      </c>
      <c r="L3">
        <v>1</v>
      </c>
      <c r="M3">
        <v>202412</v>
      </c>
      <c r="N3" s="63">
        <v>45645.580601851849</v>
      </c>
      <c r="O3" t="s">
        <v>392</v>
      </c>
    </row>
    <row r="4" spans="1:15" x14ac:dyDescent="0.2">
      <c r="A4" t="s">
        <v>385</v>
      </c>
      <c r="B4" s="43">
        <v>635</v>
      </c>
      <c r="C4" t="s">
        <v>40</v>
      </c>
      <c r="E4" t="s">
        <v>393</v>
      </c>
      <c r="F4" t="s">
        <v>394</v>
      </c>
      <c r="G4" t="s">
        <v>82</v>
      </c>
      <c r="H4" t="s">
        <v>82</v>
      </c>
      <c r="I4" t="s">
        <v>84</v>
      </c>
      <c r="J4" t="s">
        <v>395</v>
      </c>
      <c r="K4" t="s">
        <v>396</v>
      </c>
      <c r="L4">
        <v>1</v>
      </c>
      <c r="M4">
        <v>202412</v>
      </c>
      <c r="N4" s="63">
        <v>45638.833564814813</v>
      </c>
      <c r="O4" t="s">
        <v>397</v>
      </c>
    </row>
    <row r="5" spans="1:15" x14ac:dyDescent="0.2">
      <c r="A5" t="s">
        <v>385</v>
      </c>
      <c r="B5" s="43">
        <v>635</v>
      </c>
      <c r="C5" t="s">
        <v>40</v>
      </c>
      <c r="E5" t="s">
        <v>398</v>
      </c>
      <c r="F5" t="s">
        <v>399</v>
      </c>
      <c r="G5" t="s">
        <v>82</v>
      </c>
      <c r="H5" t="s">
        <v>82</v>
      </c>
      <c r="I5" t="s">
        <v>84</v>
      </c>
      <c r="J5" t="s">
        <v>395</v>
      </c>
      <c r="K5" t="s">
        <v>396</v>
      </c>
      <c r="L5">
        <v>1</v>
      </c>
      <c r="M5">
        <v>202412</v>
      </c>
      <c r="N5" s="63">
        <v>45640.4766087963</v>
      </c>
      <c r="O5" t="s">
        <v>400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547-06FD-43FF-9B62-623CDCAEB768}">
  <sheetPr codeName="Sheet9"/>
  <dimension ref="A1:L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9.5" bestFit="1" customWidth="1"/>
    <col min="3" max="6" width="18.125" customWidth="1"/>
    <col min="7" max="12" width="11.625" customWidth="1"/>
  </cols>
  <sheetData>
    <row r="1" spans="1:12" ht="63.75" customHeight="1" x14ac:dyDescent="0.2">
      <c r="A1" s="44" t="s">
        <v>70</v>
      </c>
      <c r="B1" s="44" t="s">
        <v>71</v>
      </c>
      <c r="C1" s="40" t="s">
        <v>72</v>
      </c>
      <c r="D1" s="40" t="s">
        <v>73</v>
      </c>
      <c r="E1" s="44" t="s">
        <v>74</v>
      </c>
      <c r="F1" s="44" t="s">
        <v>75</v>
      </c>
      <c r="G1" s="44" t="s">
        <v>76</v>
      </c>
      <c r="H1" s="44" t="s">
        <v>77</v>
      </c>
      <c r="I1" s="44" t="s">
        <v>78</v>
      </c>
      <c r="J1" s="44" t="s">
        <v>79</v>
      </c>
      <c r="K1" s="44" t="s">
        <v>80</v>
      </c>
      <c r="L1" s="44" t="s">
        <v>81</v>
      </c>
    </row>
    <row r="2" spans="1:12" x14ac:dyDescent="0.2">
      <c r="A2" s="64">
        <v>45497</v>
      </c>
      <c r="B2" t="s">
        <v>401</v>
      </c>
      <c r="C2" t="s">
        <v>82</v>
      </c>
      <c r="D2" t="s">
        <v>84</v>
      </c>
      <c r="E2" t="s">
        <v>402</v>
      </c>
      <c r="F2" t="s">
        <v>403</v>
      </c>
      <c r="G2">
        <v>40</v>
      </c>
      <c r="H2">
        <v>2</v>
      </c>
      <c r="I2">
        <v>2</v>
      </c>
      <c r="J2">
        <v>80</v>
      </c>
      <c r="K2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monthly bill</vt:lpstr>
      <vt:lpstr>Accessories discount</vt:lpstr>
      <vt:lpstr>spare parts fee</vt:lpstr>
      <vt:lpstr>service fee</vt:lpstr>
      <vt:lpstr>incentive labor fee</vt:lpstr>
      <vt:lpstr>Maintenance list</vt:lpstr>
      <vt:lpstr>service prohibition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2025-01-21T06:19:39Z</dcterms:created>
  <dcterms:modified xsi:type="dcterms:W3CDTF">2025-01-21T06:20:00Z</dcterms:modified>
</cp:coreProperties>
</file>