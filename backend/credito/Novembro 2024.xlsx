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农机运营\海外农机\海外账单\24年\11月\单位月结账单\"/>
    </mc:Choice>
  </mc:AlternateContent>
  <xr:revisionPtr revIDLastSave="0" documentId="8_{5BAD863D-DDF5-411B-9B61-92CCE989574F}" xr6:coauthVersionLast="36" xr6:coauthVersionMax="36" xr10:uidLastSave="{00000000-0000-0000-0000-000000000000}"/>
  <bookViews>
    <workbookView xWindow="0" yWindow="0" windowWidth="57600" windowHeight="26580" xr2:uid="{9516F02A-ADBD-4F24-9B5A-8A53CF0E5DE3}"/>
  </bookViews>
  <sheets>
    <sheet name="monthly bill" sheetId="3" r:id="rId1"/>
    <sheet name="Accessories discount" sheetId="4" r:id="rId2"/>
    <sheet name="spare parts fee + service fee" sheetId="5" r:id="rId3"/>
    <sheet name="Maintenance list" sheetId="6" r:id="rId4"/>
    <sheet name="Service prohibition" sheetId="7" r:id="rId5"/>
    <sheet name="other compensation" sheetId="8" r:id="rId6"/>
    <sheet name="DOA to CM" sheetId="9" r:id="rId7"/>
    <sheet name="pre-payment balance" sheetId="10" r:id="rId8"/>
  </sheets>
  <definedNames>
    <definedName name="_xlnm._FilterDatabase" localSheetId="1" hidden="1">'Accessories discount'!$A$1:$Q$1</definedName>
    <definedName name="_xlnm._FilterDatabase" localSheetId="6" hidden="1">'DOA to CM'!$A$1:$P$1</definedName>
    <definedName name="_xlnm._FilterDatabase" localSheetId="3" hidden="1">'Maintenance list'!$A$1:$J$1</definedName>
    <definedName name="_xlnm._FilterDatabase" localSheetId="5" hidden="1">'other compensation'!$A$1:$Q$1</definedName>
    <definedName name="_xlnm._FilterDatabase" localSheetId="7" hidden="1">'pre-payment balance'!$A$1:$L$1</definedName>
    <definedName name="_xlnm._FilterDatabase" localSheetId="4" hidden="1">'Service prohibition'!$A$1:$Q$1</definedName>
    <definedName name="_xlnm._FilterDatabase" localSheetId="2" hidden="1">'spare parts fee + service fee'!$A$1:$I$1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3" l="1"/>
  <c r="E16" i="3" s="1"/>
  <c r="E12" i="3"/>
  <c r="E11" i="3"/>
  <c r="E10" i="3"/>
  <c r="E9" i="3"/>
  <c r="E8" i="3"/>
  <c r="E7" i="3"/>
  <c r="E5" i="3"/>
  <c r="E6" i="3" s="1"/>
  <c r="E13" i="3" l="1"/>
  <c r="E14" i="3" s="1"/>
</calcChain>
</file>

<file path=xl/sharedStrings.xml><?xml version="1.0" encoding="utf-8"?>
<sst xmlns="http://schemas.openxmlformats.org/spreadsheetml/2006/main" count="667" uniqueCount="227">
  <si>
    <t>Dealer</t>
  </si>
  <si>
    <t>Dealer Account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</si>
  <si>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Nov</t>
    </r>
    <phoneticPr fontId="2" type="noConversion"/>
  </si>
  <si>
    <t>Dealer Account：</t>
  </si>
  <si>
    <t>Credit Trading</t>
  </si>
  <si>
    <t>Amount</t>
  </si>
  <si>
    <t>Remarks</t>
  </si>
  <si>
    <t>Expenditure item</t>
  </si>
  <si>
    <t>Spare parts order</t>
  </si>
  <si>
    <t>Total Expenditure</t>
  </si>
  <si>
    <t>Income item</t>
  </si>
  <si>
    <t>Spare parts fee of warranty cases</t>
  </si>
  <si>
    <t>Labor fee of warranty cases</t>
  </si>
  <si>
    <t>incentive labor fee</t>
  </si>
  <si>
    <t>SERVICE PROHIBITION</t>
  </si>
  <si>
    <t>Other compensation</t>
  </si>
  <si>
    <t>Battery/DOA cases</t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</si>
  <si>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</si>
  <si>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</si>
  <si>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</si>
  <si>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</si>
  <si>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</si>
  <si>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</si>
  <si>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</si>
  <si>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</si>
  <si>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</si>
  <si>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Sub Dealer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</si>
  <si>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</si>
  <si>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</si>
  <si>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</si>
  <si>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</si>
  <si>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</si>
  <si>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</si>
  <si>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</si>
  <si>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</si>
  <si>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</si>
  <si>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</si>
  <si>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</si>
  <si>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USD</t>
  </si>
  <si>
    <r>
      <rPr>
        <b/>
        <sz val="10"/>
        <color theme="0"/>
        <rFont val="微软雅黑"/>
        <family val="2"/>
        <charset val="134"/>
      </rPr>
      <t>上级代理商名称</t>
    </r>
    <r>
      <rPr>
        <b/>
        <sz val="10"/>
        <color theme="0"/>
        <rFont val="Arial"/>
        <family val="2"/>
      </rPr>
      <t>Distributor Name</t>
    </r>
  </si>
  <si>
    <r>
      <rPr>
        <b/>
        <sz val="10"/>
        <color theme="0"/>
        <rFont val="微软雅黑"/>
        <family val="2"/>
        <charset val="134"/>
      </rPr>
      <t>代理商账号</t>
    </r>
    <r>
      <rPr>
        <b/>
        <sz val="10"/>
        <color theme="0"/>
        <rFont val="Arial"/>
        <family val="2"/>
      </rPr>
      <t>(Dealer Account)</t>
    </r>
  </si>
  <si>
    <r>
      <rPr>
        <b/>
        <sz val="10"/>
        <color theme="0"/>
        <rFont val="微软雅黑"/>
        <family val="2"/>
        <charset val="134"/>
      </rPr>
      <t>代理商名称</t>
    </r>
    <r>
      <rPr>
        <b/>
        <sz val="10"/>
        <color theme="0"/>
        <rFont val="Arial"/>
        <family val="2"/>
      </rPr>
      <t>(Dealer Name)</t>
    </r>
  </si>
  <si>
    <r>
      <rPr>
        <b/>
        <sz val="10"/>
        <color theme="0"/>
        <rFont val="微软雅黑"/>
        <family val="2"/>
        <charset val="134"/>
      </rPr>
      <t>国家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微软雅黑"/>
        <family val="2"/>
        <charset val="134"/>
      </rPr>
      <t xml:space="preserve">地区
</t>
    </r>
    <r>
      <rPr>
        <b/>
        <sz val="10"/>
        <color theme="0"/>
        <rFont val="Arial"/>
        <family val="2"/>
      </rPr>
      <t>Country</t>
    </r>
  </si>
  <si>
    <r>
      <rPr>
        <b/>
        <sz val="10"/>
        <color theme="0"/>
        <rFont val="微软雅黑"/>
        <family val="2"/>
        <charset val="134"/>
      </rPr>
      <t>案例编号</t>
    </r>
    <r>
      <rPr>
        <b/>
        <sz val="10"/>
        <color theme="0"/>
        <rFont val="Arial"/>
        <family val="2"/>
      </rPr>
      <t>Case Number</t>
    </r>
  </si>
  <si>
    <r>
      <rPr>
        <b/>
        <sz val="10"/>
        <color theme="0"/>
        <rFont val="微软雅黑"/>
        <family val="2"/>
        <charset val="134"/>
      </rPr>
      <t>维修物料费</t>
    </r>
    <r>
      <rPr>
        <b/>
        <sz val="10"/>
        <color theme="0"/>
        <rFont val="Arial"/>
        <family val="2"/>
      </rPr>
      <t>Spare parts Amount</t>
    </r>
  </si>
  <si>
    <r>
      <rPr>
        <b/>
        <sz val="10"/>
        <color theme="0"/>
        <rFont val="微软雅黑"/>
        <family val="2"/>
        <charset val="134"/>
      </rPr>
      <t>维修劳务费</t>
    </r>
    <r>
      <rPr>
        <b/>
        <sz val="10"/>
        <color theme="0"/>
        <rFont val="Arial"/>
        <family val="2"/>
      </rPr>
      <t>Labor fee Amount</t>
    </r>
  </si>
  <si>
    <r>
      <rPr>
        <b/>
        <sz val="10"/>
        <color theme="0"/>
        <rFont val="微软雅黑"/>
        <family val="2"/>
        <charset val="134"/>
      </rPr>
      <t>合计劳务费</t>
    </r>
    <r>
      <rPr>
        <b/>
        <sz val="10"/>
        <color theme="0"/>
        <rFont val="Arial"/>
        <family val="2"/>
      </rPr>
      <t>Total Settlement Amount</t>
    </r>
  </si>
  <si>
    <r>
      <rPr>
        <b/>
        <sz val="10"/>
        <color theme="0"/>
        <rFont val="微软雅黑"/>
        <family val="2"/>
        <charset val="134"/>
      </rPr>
      <t>合计劳务费激励</t>
    </r>
    <r>
      <rPr>
        <b/>
        <sz val="10"/>
        <color theme="0"/>
        <rFont val="Arial"/>
        <family val="2"/>
      </rPr>
      <t>incentive labor fee</t>
    </r>
  </si>
  <si>
    <r>
      <rPr>
        <b/>
        <sz val="10"/>
        <color theme="0"/>
        <rFont val="微软雅黑"/>
        <family val="2"/>
        <charset val="134"/>
      </rPr>
      <t>物料编码</t>
    </r>
    <r>
      <rPr>
        <b/>
        <sz val="10"/>
        <color theme="0"/>
        <rFont val="Arial"/>
        <family val="2"/>
      </rPr>
      <t>Material code</t>
    </r>
  </si>
  <si>
    <r>
      <rPr>
        <b/>
        <sz val="10"/>
        <color theme="0"/>
        <rFont val="微软雅黑"/>
        <family val="2"/>
        <charset val="134"/>
      </rPr>
      <t>物料名称</t>
    </r>
    <r>
      <rPr>
        <b/>
        <sz val="10"/>
        <color theme="0"/>
        <rFont val="Arial"/>
        <family val="2"/>
      </rPr>
      <t>Material name</t>
    </r>
  </si>
  <si>
    <r>
      <rPr>
        <b/>
        <sz val="10"/>
        <color theme="0"/>
        <rFont val="微软雅黑"/>
        <family val="2"/>
        <charset val="134"/>
      </rPr>
      <t>数量</t>
    </r>
    <r>
      <rPr>
        <b/>
        <sz val="10"/>
        <color theme="0"/>
        <rFont val="Arial"/>
        <family val="2"/>
      </rPr>
      <t>Quantity</t>
    </r>
  </si>
  <si>
    <r>
      <rPr>
        <b/>
        <sz val="10"/>
        <color theme="0"/>
        <rFont val="黑体"/>
        <family val="3"/>
        <charset val="134"/>
      </rPr>
      <t>币种</t>
    </r>
    <r>
      <rPr>
        <b/>
        <sz val="10"/>
        <color theme="0"/>
        <rFont val="Arial"/>
        <family val="2"/>
      </rPr>
      <t>Currency</t>
    </r>
    <phoneticPr fontId="2" type="noConversion"/>
  </si>
  <si>
    <r>
      <rPr>
        <b/>
        <sz val="10"/>
        <color theme="0"/>
        <rFont val="黑体"/>
        <family val="3"/>
        <charset val="134"/>
      </rPr>
      <t>物料单价</t>
    </r>
    <r>
      <rPr>
        <b/>
        <sz val="10"/>
        <color theme="0"/>
        <rFont val="Arial"/>
        <family val="2"/>
      </rPr>
      <t>Material unit price</t>
    </r>
    <phoneticPr fontId="2" type="noConversion"/>
  </si>
  <si>
    <r>
      <rPr>
        <b/>
        <sz val="10"/>
        <color theme="0"/>
        <rFont val="黑体"/>
        <family val="3"/>
        <charset val="134"/>
      </rPr>
      <t>物料总价</t>
    </r>
    <r>
      <rPr>
        <b/>
        <sz val="10"/>
        <color theme="0"/>
        <rFont val="Arial"/>
        <family val="2"/>
      </rPr>
      <t>Total price of materials</t>
    </r>
    <phoneticPr fontId="2" type="noConversion"/>
  </si>
  <si>
    <r>
      <rPr>
        <b/>
        <sz val="10"/>
        <color rgb="FFFFFFFF"/>
        <rFont val="微软雅黑"/>
        <family val="2"/>
        <charset val="134"/>
      </rPr>
      <t>转售前</t>
    </r>
    <r>
      <rPr>
        <b/>
        <sz val="10"/>
        <color rgb="FFFFFFFF"/>
        <rFont val="Arial"/>
        <family val="2"/>
      </rPr>
      <t>Credit/</t>
    </r>
    <r>
      <rPr>
        <b/>
        <sz val="10"/>
        <color rgb="FFFFFFFF"/>
        <rFont val="微软雅黑"/>
        <family val="2"/>
        <charset val="134"/>
      </rPr>
      <t>售后</t>
    </r>
    <r>
      <rPr>
        <b/>
        <sz val="10"/>
        <color rgb="FFFFFFFF"/>
        <rFont val="Arial"/>
        <family val="2"/>
      </rPr>
      <t>Cedit
Pre-sale credit/After-sale credit</t>
    </r>
  </si>
  <si>
    <r>
      <rPr>
        <b/>
        <sz val="10"/>
        <color rgb="FFFFFFFF"/>
        <rFont val="微软雅黑"/>
        <family val="2"/>
        <charset val="134"/>
      </rPr>
      <t>金额</t>
    </r>
    <r>
      <rPr>
        <b/>
        <sz val="10"/>
        <color rgb="FFFFFFFF"/>
        <rFont val="Arial"/>
        <family val="2"/>
      </rPr>
      <t>/Amount</t>
    </r>
  </si>
  <si>
    <r>
      <rPr>
        <b/>
        <sz val="10"/>
        <color rgb="FFFFFFFF"/>
        <rFont val="微软雅黑"/>
        <family val="2"/>
        <charset val="134"/>
      </rPr>
      <t>币种</t>
    </r>
  </si>
  <si>
    <r>
      <t>CM</t>
    </r>
    <r>
      <rPr>
        <b/>
        <sz val="10"/>
        <color rgb="FFFFFFFF"/>
        <rFont val="微软雅黑"/>
        <family val="2"/>
        <charset val="134"/>
      </rPr>
      <t xml:space="preserve">单号
</t>
    </r>
    <r>
      <rPr>
        <b/>
        <sz val="10"/>
        <color rgb="FFFFFFFF"/>
        <rFont val="Arial"/>
        <family val="2"/>
      </rPr>
      <t>Credit number</t>
    </r>
  </si>
  <si>
    <r>
      <rPr>
        <b/>
        <sz val="10"/>
        <color rgb="FFFFFFFF"/>
        <rFont val="微软雅黑"/>
        <family val="2"/>
        <charset val="134"/>
      </rPr>
      <t xml:space="preserve">其他说明
</t>
    </r>
    <r>
      <rPr>
        <b/>
        <sz val="10"/>
        <color rgb="FFFFFFFF"/>
        <rFont val="Arial"/>
        <family val="2"/>
      </rPr>
      <t>Supplement</t>
    </r>
    <phoneticPr fontId="2" type="noConversion"/>
  </si>
  <si>
    <r>
      <rPr>
        <b/>
        <sz val="10"/>
        <color rgb="FFFFFFFF"/>
        <rFont val="微软雅黑"/>
        <family val="2"/>
        <charset val="134"/>
      </rPr>
      <t>原始咨询案例（</t>
    </r>
    <r>
      <rPr>
        <b/>
        <sz val="10"/>
        <color rgb="FFFFFFFF"/>
        <rFont val="Arial"/>
        <family val="2"/>
      </rPr>
      <t>Original Technical Support Case</t>
    </r>
    <r>
      <rPr>
        <b/>
        <sz val="10"/>
        <color rgb="FFFFFFFF"/>
        <rFont val="微软雅黑"/>
        <family val="2"/>
        <charset val="134"/>
      </rPr>
      <t>）</t>
    </r>
    <phoneticPr fontId="2" type="noConversion"/>
  </si>
  <si>
    <r>
      <t>DJI</t>
    </r>
    <r>
      <rPr>
        <b/>
        <sz val="10"/>
        <color rgb="FFFFFFFF"/>
        <rFont val="微软雅黑"/>
        <family val="2"/>
        <charset val="134"/>
      </rPr>
      <t>换货案例（</t>
    </r>
    <r>
      <rPr>
        <b/>
        <sz val="10"/>
        <color rgb="FFFFFFFF"/>
        <rFont val="Arial"/>
        <family val="2"/>
      </rPr>
      <t>DJI DOA Case</t>
    </r>
    <r>
      <rPr>
        <b/>
        <sz val="10"/>
        <color rgb="FFFFFFFF"/>
        <rFont val="微软雅黑"/>
        <family val="2"/>
        <charset val="134"/>
      </rPr>
      <t>）</t>
    </r>
  </si>
  <si>
    <r>
      <rPr>
        <b/>
        <sz val="10"/>
        <color rgb="FFFFFFFF"/>
        <rFont val="微软雅黑"/>
        <family val="2"/>
        <charset val="134"/>
      </rPr>
      <t>客户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微软雅黑"/>
        <family val="2"/>
        <charset val="134"/>
      </rPr>
      <t>案例</t>
    </r>
    <r>
      <rPr>
        <b/>
        <sz val="10"/>
        <color rgb="FFFFFFFF"/>
        <rFont val="Arial"/>
        <family val="2"/>
      </rPr>
      <t>)
Distributor/Dealer Name</t>
    </r>
  </si>
  <si>
    <r>
      <rPr>
        <b/>
        <sz val="10"/>
        <color rgb="FFFF0000"/>
        <rFont val="微软雅黑"/>
        <family val="2"/>
        <charset val="134"/>
      </rPr>
      <t>上级代理商</t>
    </r>
    <r>
      <rPr>
        <b/>
        <sz val="10"/>
        <color rgb="FFFF0000"/>
        <rFont val="Arial"/>
        <family val="2"/>
      </rPr>
      <t>(Distributor Name)</t>
    </r>
  </si>
  <si>
    <r>
      <rPr>
        <b/>
        <sz val="10"/>
        <color rgb="FFFF0000"/>
        <rFont val="微软雅黑"/>
        <family val="2"/>
        <charset val="134"/>
      </rPr>
      <t>代理商账号</t>
    </r>
    <r>
      <rPr>
        <b/>
        <sz val="10"/>
        <color rgb="FFFF0000"/>
        <rFont val="Arial"/>
        <family val="2"/>
      </rPr>
      <t>(Dealer Account)</t>
    </r>
  </si>
  <si>
    <r>
      <rPr>
        <b/>
        <sz val="10"/>
        <color rgb="FFFFFFFF"/>
        <rFont val="微软雅黑"/>
        <family val="2"/>
        <charset val="134"/>
      </rPr>
      <t>产品</t>
    </r>
    <r>
      <rPr>
        <b/>
        <sz val="10"/>
        <color rgb="FFFFFFFF"/>
        <rFont val="Arial"/>
        <family val="2"/>
      </rPr>
      <t xml:space="preserve"> ID (</t>
    </r>
    <r>
      <rPr>
        <b/>
        <sz val="10"/>
        <color rgb="FFFFFFFF"/>
        <rFont val="微软雅黑"/>
        <family val="2"/>
        <charset val="134"/>
      </rPr>
      <t>产品</t>
    </r>
    <r>
      <rPr>
        <b/>
        <sz val="10"/>
        <color rgb="FFFFFFFF"/>
        <rFont val="Arial"/>
        <family val="2"/>
      </rPr>
      <t>)
Product ID</t>
    </r>
  </si>
  <si>
    <r>
      <rPr>
        <b/>
        <sz val="10"/>
        <color rgb="FFFFFFFF"/>
        <rFont val="微软雅黑"/>
        <family val="2"/>
        <charset val="134"/>
      </rPr>
      <t xml:space="preserve">产品
</t>
    </r>
    <r>
      <rPr>
        <b/>
        <sz val="10"/>
        <color rgb="FFFFFFFF"/>
        <rFont val="Arial"/>
        <family val="2"/>
      </rPr>
      <t xml:space="preserve">Product </t>
    </r>
  </si>
  <si>
    <r>
      <rPr>
        <b/>
        <sz val="10"/>
        <color rgb="FFFFFFFF"/>
        <rFont val="微软雅黑"/>
        <family val="2"/>
        <charset val="134"/>
      </rPr>
      <t xml:space="preserve">数量
</t>
    </r>
    <r>
      <rPr>
        <b/>
        <sz val="10"/>
        <color rgb="FFFFFFFF"/>
        <rFont val="Arial"/>
        <family val="2"/>
      </rPr>
      <t>Quantity</t>
    </r>
  </si>
  <si>
    <r>
      <rPr>
        <b/>
        <sz val="10"/>
        <color rgb="FFFFFFFF"/>
        <rFont val="微软雅黑"/>
        <family val="2"/>
        <charset val="134"/>
      </rPr>
      <t xml:space="preserve">月份
</t>
    </r>
    <r>
      <rPr>
        <b/>
        <sz val="10"/>
        <color rgb="FFFFFFFF"/>
        <rFont val="Arial"/>
        <family val="2"/>
      </rPr>
      <t>Month</t>
    </r>
  </si>
  <si>
    <r>
      <rPr>
        <b/>
        <sz val="10"/>
        <color rgb="FFFFFFFF"/>
        <rFont val="微软雅黑"/>
        <family val="2"/>
        <charset val="134"/>
      </rPr>
      <t>完成时间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微软雅黑"/>
        <family val="2"/>
        <charset val="134"/>
      </rPr>
      <t>发货单</t>
    </r>
    <r>
      <rPr>
        <b/>
        <sz val="10"/>
        <color rgb="FFFFFFFF"/>
        <rFont val="Arial"/>
        <family val="2"/>
      </rPr>
      <t>)
Date</t>
    </r>
  </si>
  <si>
    <r>
      <rPr>
        <b/>
        <sz val="10"/>
        <color rgb="FFFFFFFF"/>
        <rFont val="微软雅黑"/>
        <family val="2"/>
        <charset val="134"/>
      </rPr>
      <t>产品</t>
    </r>
    <r>
      <rPr>
        <b/>
        <sz val="10"/>
        <color rgb="FFFFFFFF"/>
        <rFont val="Arial"/>
        <family val="2"/>
      </rPr>
      <t>SN</t>
    </r>
    <r>
      <rPr>
        <b/>
        <sz val="10"/>
        <color rgb="FFFFFFFF"/>
        <rFont val="微软雅黑"/>
        <family val="2"/>
        <charset val="134"/>
      </rPr>
      <t>码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微软雅黑"/>
        <family val="2"/>
        <charset val="134"/>
      </rPr>
      <t>案例</t>
    </r>
    <r>
      <rPr>
        <b/>
        <sz val="10"/>
        <color rgb="FFFFFFFF"/>
        <rFont val="Arial"/>
        <family val="2"/>
      </rPr>
      <t>)
Product SN</t>
    </r>
  </si>
  <si>
    <t>CP.AG.00000782.01</t>
  </si>
  <si>
    <r>
      <rPr>
        <b/>
        <sz val="10"/>
        <color theme="0"/>
        <rFont val="宋体"/>
        <family val="3"/>
        <charset val="134"/>
      </rPr>
      <t>订单日期（</t>
    </r>
    <r>
      <rPr>
        <b/>
        <sz val="10"/>
        <color theme="0"/>
        <rFont val="Arial"/>
        <family val="2"/>
      </rPr>
      <t>order date</t>
    </r>
    <r>
      <rPr>
        <b/>
        <sz val="10"/>
        <color theme="0"/>
        <rFont val="宋体"/>
        <family val="3"/>
        <charset val="134"/>
      </rPr>
      <t>）</t>
    </r>
    <phoneticPr fontId="2" type="noConversion"/>
  </si>
  <si>
    <t>案例号（Case Number）</t>
  </si>
  <si>
    <r>
      <rPr>
        <b/>
        <sz val="10"/>
        <color rgb="FFFF0000"/>
        <rFont val="微软雅黑"/>
        <family val="2"/>
        <charset val="134"/>
      </rPr>
      <t>代理商</t>
    </r>
    <r>
      <rPr>
        <b/>
        <sz val="10"/>
        <color rgb="FFFF0000"/>
        <rFont val="Arial"/>
        <family val="2"/>
      </rPr>
      <t>(Dealer Name)</t>
    </r>
    <phoneticPr fontId="2" type="noConversion"/>
  </si>
  <si>
    <r>
      <rPr>
        <b/>
        <sz val="10"/>
        <color rgb="FFFF0000"/>
        <rFont val="微软雅黑"/>
        <family val="2"/>
        <charset val="134"/>
      </rPr>
      <t>代理商账号</t>
    </r>
    <r>
      <rPr>
        <b/>
        <sz val="10"/>
        <color rgb="FFFF0000"/>
        <rFont val="Arial"/>
        <family val="2"/>
      </rPr>
      <t>(Dealer Account)</t>
    </r>
    <phoneticPr fontId="2" type="noConversion"/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</si>
  <si>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</si>
  <si>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</si>
  <si>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</si>
  <si>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</si>
  <si>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</si>
  <si>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</si>
  <si>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</si>
  <si>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0"/>
        <color theme="0"/>
        <rFont val="宋体"/>
        <family val="3"/>
        <charset val="134"/>
      </rPr>
      <t>其他说明</t>
    </r>
    <r>
      <rPr>
        <b/>
        <sz val="10"/>
        <color theme="0"/>
        <rFont val="Arial"/>
        <family val="2"/>
      </rPr>
      <t>Supplement</t>
    </r>
    <phoneticPr fontId="2" type="noConversion"/>
  </si>
  <si>
    <t>Huada Agricola Comercial LTDA</t>
  </si>
  <si>
    <t>Huada Agricola Comercial LTDA</t>
    <phoneticPr fontId="2" type="noConversion"/>
  </si>
  <si>
    <t>HUADA-agras</t>
  </si>
  <si>
    <t>HUADA-agras</t>
    <phoneticPr fontId="2" type="noConversion"/>
  </si>
  <si>
    <t>This item is not involved this time</t>
  </si>
  <si>
    <t>BRAZIL</t>
  </si>
  <si>
    <t>WRC241107000021</t>
  </si>
  <si>
    <t>WRC241111000422</t>
  </si>
  <si>
    <t>WRC241119000019</t>
  </si>
  <si>
    <t>WRC241128000005</t>
  </si>
  <si>
    <t>WRC241102000010</t>
  </si>
  <si>
    <t>Fialho e Sarti Agrotecnologia</t>
  </si>
  <si>
    <t>WRC241106000350</t>
  </si>
  <si>
    <t>Mercadão dos Drones</t>
  </si>
  <si>
    <t>WRC241113000308</t>
  </si>
  <si>
    <t>WRC241118000311</t>
  </si>
  <si>
    <t>WRC241119000531</t>
  </si>
  <si>
    <t>WRC241120000016</t>
  </si>
  <si>
    <t>SMC - SOLUCOES EM ENGENHARIA EIRELI</t>
  </si>
  <si>
    <t>WRC240925000509</t>
  </si>
  <si>
    <t>WRC241111000443</t>
  </si>
  <si>
    <t>WRC241112000001</t>
  </si>
  <si>
    <t>WRC241112000004</t>
  </si>
  <si>
    <t>WRC241119000479</t>
  </si>
  <si>
    <t>WRC241119000526</t>
  </si>
  <si>
    <t>BC.AG.SS000575.01</t>
  </si>
  <si>
    <t>【T40】锁紧扣手柄</t>
  </si>
  <si>
    <t>YC.DZ.AA000275.02</t>
  </si>
  <si>
    <t>【T40/T20P】SDR天线</t>
  </si>
  <si>
    <t>BC.AG.SS000777.01</t>
  </si>
  <si>
    <t>M2机臂（左前）（包胶）</t>
  </si>
  <si>
    <t>YC.JG.ZS001964.05</t>
  </si>
  <si>
    <t>【T40/T20P】上反桨（U-CW）</t>
  </si>
  <si>
    <t>YC.JG.ZS001963.05</t>
  </si>
  <si>
    <t>【T40/T20P】上正桨（U-CCW）</t>
  </si>
  <si>
    <t>YC.JG.ZS001965.05</t>
  </si>
  <si>
    <t>【T40】下正桨（L-CCW）</t>
  </si>
  <si>
    <t>YC.JG.ZS003829.01</t>
  </si>
  <si>
    <t>【T40】桨叶垫片</t>
  </si>
  <si>
    <t>BC.AG.SS000645.01</t>
  </si>
  <si>
    <t>【T40/T20P】机臂在位检测信号线</t>
  </si>
  <si>
    <t>YC.JG.ZS001966.05</t>
  </si>
  <si>
    <t>【T40】下反桨（L-CW）</t>
  </si>
  <si>
    <t>BC.AG.SS000668.01</t>
  </si>
  <si>
    <t>10033动力电机-M5</t>
  </si>
  <si>
    <t>BC.AG.SS000940.02.F</t>
  </si>
  <si>
    <t>【T50/T25】后雷达模块</t>
  </si>
  <si>
    <t>YC.XC.XS000012.07</t>
  </si>
  <si>
    <t>【T40】M3&amp;M4机臂电调复合线</t>
  </si>
  <si>
    <t>BC.AG.SS000668.02</t>
  </si>
  <si>
    <t>【T50】10033动力电机</t>
  </si>
  <si>
    <t>BC.AG.SS000838.01</t>
  </si>
  <si>
    <t>【T50/T25】航电模块L</t>
  </si>
  <si>
    <t>BC.AG.SS000681.02</t>
  </si>
  <si>
    <t>【T50/T25】FPV模块</t>
  </si>
  <si>
    <t>YC.JG.ZS002389.04</t>
  </si>
  <si>
    <t>【T50/T25】叶轮泵保护罩</t>
  </si>
  <si>
    <t>上正桨（U-CCW）</t>
  </si>
  <si>
    <t>BC.AG.SS000939.02.F</t>
  </si>
  <si>
    <t>【T50/T25】前雷达模块</t>
  </si>
  <si>
    <t>下正桨（L-CCW）</t>
  </si>
  <si>
    <t>下反桨（L-CW）</t>
  </si>
  <si>
    <t>YC.JG.CS000016.06</t>
  </si>
  <si>
    <t>【T50】水箱（40L）</t>
  </si>
  <si>
    <t>BC.AG.SS000673.01</t>
  </si>
  <si>
    <t>【T50】称重模块</t>
  </si>
  <si>
    <t>上反桨（U-CW）</t>
  </si>
  <si>
    <t>BC.AG.SS000697.01</t>
  </si>
  <si>
    <t>【T50】M2机臂（左前）</t>
  </si>
  <si>
    <t>BC.AG.SS000617.01</t>
  </si>
  <si>
    <t>【T40/T20P】航电模块L</t>
  </si>
  <si>
    <t>YC.JG.BJ001821.06</t>
  </si>
  <si>
    <t>【T50】脚架铝管</t>
  </si>
  <si>
    <t>BC.AG.SS000562.01</t>
  </si>
  <si>
    <t>【T40/T20P】前视觉组件</t>
  </si>
  <si>
    <t>BC.AG.SS000550.01</t>
  </si>
  <si>
    <t>【T40/T20P】称重模块</t>
  </si>
  <si>
    <t>BC.AG.SS000616.01</t>
  </si>
  <si>
    <t>【T40/T20P】航电模块H</t>
  </si>
  <si>
    <t>YC.JG.ZS005019.03</t>
  </si>
  <si>
    <t>【T50】下反桨（L-CW）（白）</t>
  </si>
  <si>
    <t>YC.JG.ZS003388.07</t>
  </si>
  <si>
    <t>【T50/T25】前壳底板</t>
  </si>
  <si>
    <t>BC.AG.SS000707.01</t>
  </si>
  <si>
    <t>【T50/T25】电磁阀组件</t>
  </si>
  <si>
    <t>BC.AG.SS000677.01</t>
  </si>
  <si>
    <t>【T50/T25】补光灯组件</t>
  </si>
  <si>
    <t>YC.JG.ZS003731.02</t>
  </si>
  <si>
    <t>【T50/T25】单向阀弯头</t>
  </si>
  <si>
    <t>YC.JG.ZS003417.08</t>
  </si>
  <si>
    <t>【T50/T25】叶轮泵隔离套</t>
  </si>
  <si>
    <t>YC.JG.ZS005017.03</t>
  </si>
  <si>
    <t>【T50】上反桨（U-CW）（白）</t>
  </si>
  <si>
    <t>YC.JG.JS000030.05</t>
  </si>
  <si>
    <t>【T50】机臂水管</t>
  </si>
  <si>
    <t>YC.JG.ZS005016.03</t>
  </si>
  <si>
    <t>【T50】上正桨（U-CCW）（白）</t>
  </si>
  <si>
    <t>BC.AG.SS000696.01</t>
  </si>
  <si>
    <t>【T50】M1机臂（右前）</t>
  </si>
  <si>
    <t>BC.AG.SS000543.01</t>
  </si>
  <si>
    <t>【T50/T25】叶轮泵电机</t>
  </si>
  <si>
    <t>YC.JG.ZS003399.10</t>
  </si>
  <si>
    <t>【T50】喷杆外壳（后）</t>
  </si>
  <si>
    <t>YC.JG.ZS004260.01</t>
  </si>
  <si>
    <t>【T50】水管三通</t>
  </si>
  <si>
    <t>YC.JG.ZS003387.06</t>
  </si>
  <si>
    <t>【T50/T25】前壳主体</t>
  </si>
  <si>
    <t>YC.JG.ZS002251.03</t>
  </si>
  <si>
    <t>【T50/T25】水箱盖</t>
  </si>
  <si>
    <t>YC.JG.QX003012.03</t>
  </si>
  <si>
    <t>【T50/T25】锁紧扣手柄</t>
  </si>
  <si>
    <t>YC.JG.ZS005018.03</t>
  </si>
  <si>
    <t>【T50】下正桨（L-CCW）（白）</t>
  </si>
  <si>
    <t>YC.JG.FP000028.03</t>
  </si>
  <si>
    <t>【T50】电机保护罩</t>
  </si>
  <si>
    <t>YC.JG.ZS002389.06</t>
  </si>
  <si>
    <t>YC.JG.ZS002379.03</t>
  </si>
  <si>
    <t>【T50】电机上盖</t>
  </si>
  <si>
    <t>YC.XC.XX001000.04</t>
  </si>
  <si>
    <t>【T50】离心喷头转接线（后）</t>
  </si>
  <si>
    <t>YC.JG.YZ000672.04</t>
  </si>
  <si>
    <t>【T50/T25】前雷达底座</t>
  </si>
  <si>
    <t>YC.JG.CS000020.08</t>
  </si>
  <si>
    <t>【T50/T25】180度弯头</t>
  </si>
  <si>
    <t>售后credit（After-sale credit）</t>
  </si>
  <si>
    <t>CAS-18805270-Y4H9B7</t>
  </si>
  <si>
    <t>CAS-18937060-C6C5V3</t>
  </si>
  <si>
    <t>DB1560 智能飞行电池</t>
  </si>
  <si>
    <t>65VPM5TDA55PNW</t>
  </si>
  <si>
    <t>CAS-18805266-Q5Y4Q0</t>
  </si>
  <si>
    <t>CAS-18936079-Z4S5V5</t>
  </si>
  <si>
    <t>65VPL65DA10U28</t>
  </si>
  <si>
    <t>CAS-19086334-F7Q0J6</t>
  </si>
  <si>
    <t>CAS-19265793-M9N2Y0</t>
  </si>
  <si>
    <t>65VPL5UDA10PKD</t>
  </si>
  <si>
    <t>CAS-19086617-D7H6X0</t>
  </si>
  <si>
    <t>CAS-19301734-H0Z4Q6</t>
  </si>
  <si>
    <t>65VPM5KDA55GVS</t>
  </si>
  <si>
    <t>CAS-19088206-M3W4W0</t>
  </si>
  <si>
    <t>CAS-19300546-G9Z3Q6</t>
  </si>
  <si>
    <t>65VPL5UDA10PKJ</t>
  </si>
  <si>
    <t>CAS-17267916-B7M9J8</t>
  </si>
  <si>
    <t>YC.JG.MY001057.01</t>
  </si>
  <si>
    <t>AG701_负载_转接头胶套_01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</si>
</sst>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微软雅黑"/>
      <family val="2"/>
      <charset val="134"/>
    </font>
    <font>
      <b/>
      <sz val="10"/>
      <color theme="0"/>
      <name val="Arial"/>
      <family val="3"/>
      <charset val="134"/>
    </font>
    <font>
      <b/>
      <sz val="10"/>
      <color theme="0"/>
      <name val="黑体"/>
      <family val="3"/>
      <charset val="134"/>
    </font>
    <font>
      <b/>
      <sz val="10"/>
      <color rgb="FFFFFFFF"/>
      <name val="Arial"/>
      <family val="2"/>
    </font>
    <font>
      <b/>
      <sz val="10"/>
      <color rgb="FFFFFFFF"/>
      <name val="微软雅黑"/>
      <family val="2"/>
      <charset val="134"/>
    </font>
    <font>
      <b/>
      <sz val="10"/>
      <color rgb="FFFF0000"/>
      <name val="Arial"/>
      <family val="2"/>
    </font>
    <font>
      <b/>
      <sz val="10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0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62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4" fontId="6" fillId="0" borderId="1" xfId="0" applyNumberFormat="1" applyFont="1" applyFill="1" applyBorder="1" applyAlignment="1" applyProtection="1">
      <alignment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3" xfId="1" applyFont="1" applyFill="1" applyBorder="1" applyAlignment="1">
      <alignment horizontal="center" vertical="center"/>
    </xf>
    <xf numFmtId="0" fontId="11" fillId="5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3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8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0" fontId="17" fillId="2" borderId="1" xfId="0" applyNumberFormat="1" applyFont="1" applyFill="1" applyBorder="1" applyAlignment="1">
      <alignment horizontal="center" vertical="center" wrapText="1"/>
    </xf>
    <xf numFmtId="0" fontId="17" fillId="8" borderId="1" xfId="0" applyNumberFormat="1" applyFont="1" applyFill="1" applyBorder="1" applyAlignment="1">
      <alignment horizontal="center" vertical="center" wrapText="1"/>
    </xf>
    <xf numFmtId="0" fontId="19" fillId="8" borderId="1" xfId="0" applyNumberFormat="1" applyFont="1" applyFill="1" applyBorder="1" applyAlignment="1">
      <alignment horizontal="center" vertical="center" wrapText="1"/>
    </xf>
    <xf numFmtId="176" fontId="16" fillId="0" borderId="0" xfId="0" applyNumberFormat="1" applyFont="1"/>
    <xf numFmtId="0" fontId="3" fillId="0" borderId="0" xfId="0" applyFont="1"/>
    <xf numFmtId="0" fontId="21" fillId="9" borderId="2" xfId="0" applyFont="1" applyFill="1" applyBorder="1" applyAlignment="1">
      <alignment horizontal="center" vertical="center" wrapText="1"/>
    </xf>
    <xf numFmtId="177" fontId="21" fillId="9" borderId="2" xfId="0" applyNumberFormat="1" applyFont="1" applyFill="1" applyBorder="1" applyAlignment="1">
      <alignment horizontal="right" vertical="center"/>
    </xf>
    <xf numFmtId="0" fontId="21" fillId="9" borderId="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left" vertical="center" wrapText="1"/>
    </xf>
    <xf numFmtId="0" fontId="21" fillId="10" borderId="2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178" fontId="21" fillId="10" borderId="2" xfId="0" applyNumberFormat="1" applyFont="1" applyFill="1" applyBorder="1" applyAlignment="1">
      <alignment horizontal="center" vertical="center"/>
    </xf>
    <xf numFmtId="177" fontId="25" fillId="0" borderId="0" xfId="0" applyNumberFormat="1" applyFont="1" applyAlignment="1">
      <alignment horizontal="right" vertical="center"/>
    </xf>
    <xf numFmtId="0" fontId="17" fillId="8" borderId="2" xfId="0" applyNumberFormat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13" fillId="6" borderId="9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8" fillId="4" borderId="4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1" fillId="5" borderId="7" xfId="1" applyFont="1" applyFill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  <xf numFmtId="14" fontId="0" fillId="0" borderId="0" xfId="0" applyNumberFormat="1"/>
  </cellXfs>
  <cellStyles count="3">
    <cellStyle name="常规" xfId="0" builtinId="0"/>
    <cellStyle name="常规 3 2 2 2" xfId="1" xr:uid="{9F6753A4-1C15-4707-82B1-656DF3E313CE}"/>
    <cellStyle name="常规 4 2 2" xfId="2" xr:uid="{F1FE7387-427F-4E5E-BADD-13B85F05D636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1E2D-57F8-47DA-AC84-C340FF871263}">
  <sheetPr codeName="Sheet4"/>
  <dimension ref="B1:F16"/>
  <sheetViews>
    <sheetView showGridLines="0" tabSelected="1" zoomScale="85" zoomScaleNormal="85" workbookViewId="0">
      <selection activeCell="E39" sqref="E39"/>
    </sheetView>
  </sheetViews>
  <sheetFormatPr defaultColWidth="9" defaultRowHeight="14.25" x14ac:dyDescent="0.2"/>
  <cols>
    <col min="1" max="1" width="3.375" style="3" customWidth="1"/>
    <col min="2" max="2" width="24.625" style="3" customWidth="1"/>
    <col min="3" max="3" width="8.875" style="3" customWidth="1"/>
    <col min="4" max="4" width="32.875" style="3" customWidth="1"/>
    <col min="5" max="5" width="40" style="3" customWidth="1"/>
    <col min="6" max="6" width="58.75" style="3" customWidth="1"/>
    <col min="7" max="7" width="17.75" style="3" customWidth="1"/>
    <col min="8" max="16384" width="9" style="3"/>
  </cols>
  <sheetData>
    <row r="1" spans="2:6" ht="13.5" customHeight="1" x14ac:dyDescent="0.2"/>
    <row r="2" spans="2:6" ht="46.5" customHeight="1" x14ac:dyDescent="0.2">
      <c r="B2" s="48" t="s">
        <v>2</v>
      </c>
      <c r="C2" s="49"/>
      <c r="D2" s="49"/>
      <c r="E2" s="49"/>
      <c r="F2" s="50"/>
    </row>
    <row r="3" spans="2:6" ht="18.75" customHeight="1" x14ac:dyDescent="0.2">
      <c r="B3" s="4" t="s">
        <v>0</v>
      </c>
      <c r="C3" s="51" t="s">
        <v>84</v>
      </c>
      <c r="D3" s="52"/>
      <c r="E3" s="4" t="s">
        <v>3</v>
      </c>
      <c r="F3" s="5" t="s">
        <v>86</v>
      </c>
    </row>
    <row r="4" spans="2:6" ht="18" x14ac:dyDescent="0.2">
      <c r="B4" s="53" t="s">
        <v>4</v>
      </c>
      <c r="C4" s="54"/>
      <c r="D4" s="55"/>
      <c r="E4" s="6" t="s">
        <v>5</v>
      </c>
      <c r="F4" s="7" t="s">
        <v>6</v>
      </c>
    </row>
    <row r="5" spans="2:6" ht="16.899999999999999" customHeight="1" x14ac:dyDescent="0.2">
      <c r="B5" s="8" t="s">
        <v>7</v>
      </c>
      <c r="C5" s="9">
        <v>1</v>
      </c>
      <c r="D5" s="10" t="s">
        <v>8</v>
      </c>
      <c r="E5" s="11">
        <f>SUMIF('Accessories discount'!C:C,F3,'Accessories discount'!M:M)</f>
        <v>0</v>
      </c>
      <c r="F5" s="12"/>
    </row>
    <row r="6" spans="2:6" ht="16.899999999999999" customHeight="1" x14ac:dyDescent="0.2">
      <c r="B6" s="56" t="s">
        <v>9</v>
      </c>
      <c r="C6" s="57"/>
      <c r="D6" s="58"/>
      <c r="E6" s="11">
        <f>E5</f>
        <v>0</v>
      </c>
      <c r="F6" s="13"/>
    </row>
    <row r="7" spans="2:6" ht="16.899999999999999" customHeight="1" x14ac:dyDescent="0.2">
      <c r="B7" s="59" t="s">
        <v>10</v>
      </c>
      <c r="C7" s="14">
        <v>1</v>
      </c>
      <c r="D7" s="10" t="s">
        <v>11</v>
      </c>
      <c r="E7" s="11">
        <f>SUMIF('spare parts fee + service fee'!B:B,'monthly bill'!F3,'spare parts fee + service fee'!F:F)</f>
        <v>5569.5000000000009</v>
      </c>
      <c r="F7" s="13"/>
    </row>
    <row r="8" spans="2:6" ht="16.899999999999999" customHeight="1" x14ac:dyDescent="0.2">
      <c r="B8" s="59"/>
      <c r="C8" s="14">
        <v>2</v>
      </c>
      <c r="D8" s="10" t="s">
        <v>12</v>
      </c>
      <c r="E8" s="15">
        <f>SUMIF('spare parts fee + service fee'!B:B,'monthly bill'!F3,'spare parts fee + service fee'!G:G)</f>
        <v>239</v>
      </c>
      <c r="F8" s="13"/>
    </row>
    <row r="9" spans="2:6" ht="16.899999999999999" customHeight="1" x14ac:dyDescent="0.2">
      <c r="B9" s="59"/>
      <c r="C9" s="14">
        <v>3</v>
      </c>
      <c r="D9" s="10" t="s">
        <v>13</v>
      </c>
      <c r="E9" s="15">
        <f>SUMIF('spare parts fee + service fee'!B:B,'monthly bill'!F3,'spare parts fee + service fee'!I:I)</f>
        <v>95.6</v>
      </c>
      <c r="F9" s="13"/>
    </row>
    <row r="10" spans="2:6" ht="16.899999999999999" customHeight="1" x14ac:dyDescent="0.2">
      <c r="B10" s="59"/>
      <c r="C10" s="14">
        <v>4</v>
      </c>
      <c r="D10" s="10" t="s">
        <v>14</v>
      </c>
      <c r="E10" s="15">
        <f>SUMIF('Service prohibition'!C:C,'monthly bill'!F3,'Service prohibition'!M:M)</f>
        <v>0</v>
      </c>
      <c r="F10" s="13"/>
    </row>
    <row r="11" spans="2:6" ht="16.899999999999999" customHeight="1" x14ac:dyDescent="0.2">
      <c r="B11" s="59"/>
      <c r="C11" s="14">
        <v>5</v>
      </c>
      <c r="D11" s="10" t="s">
        <v>15</v>
      </c>
      <c r="E11" s="15">
        <f>SUMIF('other compensation'!C:C,'monthly bill'!F3,'other compensation'!M:M)</f>
        <v>0</v>
      </c>
      <c r="F11" s="13"/>
    </row>
    <row r="12" spans="2:6" ht="16.899999999999999" customHeight="1" x14ac:dyDescent="0.2">
      <c r="B12" s="59"/>
      <c r="C12" s="14">
        <v>6</v>
      </c>
      <c r="D12" s="10" t="s">
        <v>16</v>
      </c>
      <c r="E12" s="15">
        <f>SUMIF('DOA to CM'!J:J,'monthly bill'!F3,'DOA to CM'!B:B)</f>
        <v>5513</v>
      </c>
      <c r="F12" s="13"/>
    </row>
    <row r="13" spans="2:6" ht="16.899999999999999" customHeight="1" x14ac:dyDescent="0.2">
      <c r="B13" s="56" t="s">
        <v>17</v>
      </c>
      <c r="C13" s="57"/>
      <c r="D13" s="58"/>
      <c r="E13" s="15">
        <f>E7+E8+E9+E10+E11+E12</f>
        <v>11417.100000000002</v>
      </c>
      <c r="F13" s="13"/>
    </row>
    <row r="14" spans="2:6" ht="16.5" x14ac:dyDescent="0.2">
      <c r="B14" s="42" t="s">
        <v>18</v>
      </c>
      <c r="C14" s="43"/>
      <c r="D14" s="44"/>
      <c r="E14" s="16">
        <f>E13+E6</f>
        <v>11417.100000000002</v>
      </c>
      <c r="F14" s="13" t="s">
        <v>19</v>
      </c>
    </row>
    <row r="15" spans="2:6" s="21" customFormat="1" ht="16.5" x14ac:dyDescent="0.2">
      <c r="B15" s="17" t="s">
        <v>20</v>
      </c>
      <c r="C15" s="18">
        <v>1</v>
      </c>
      <c r="D15" s="19" t="s">
        <v>21</v>
      </c>
      <c r="E15" s="2">
        <f>SUMIF('pre-payment balance'!D:D,F3,'pre-payment balance'!K:K)</f>
        <v>80</v>
      </c>
      <c r="F15" s="20"/>
    </row>
    <row r="16" spans="2:6" s="21" customFormat="1" ht="16.5" x14ac:dyDescent="0.2">
      <c r="B16" s="45" t="s">
        <v>22</v>
      </c>
      <c r="C16" s="46"/>
      <c r="D16" s="47"/>
      <c r="E16" s="22">
        <f>E15</f>
        <v>80</v>
      </c>
      <c r="F16" s="1" t="s">
        <v>23</v>
      </c>
    </row>
  </sheetData>
  <mergeCells count="8">
    <mergeCell ref="B14:D14"/>
    <mergeCell ref="B16:D16"/>
    <mergeCell ref="B2:F2"/>
    <mergeCell ref="C3:D3"/>
    <mergeCell ref="B4:D4"/>
    <mergeCell ref="B6:D6"/>
    <mergeCell ref="B7:B12"/>
    <mergeCell ref="B13:D1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09FE-4D67-4232-8222-F8BFA6A6B71B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x14ac:dyDescent="0.2">
      <c r="A1" s="23" t="s">
        <v>24</v>
      </c>
      <c r="B1" s="23" t="s">
        <v>25</v>
      </c>
      <c r="C1" s="24" t="s">
        <v>1</v>
      </c>
      <c r="D1" s="24" t="s">
        <v>0</v>
      </c>
      <c r="E1" s="23" t="s">
        <v>26</v>
      </c>
      <c r="F1" s="23" t="s">
        <v>27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32</v>
      </c>
      <c r="L1" s="23" t="s">
        <v>33</v>
      </c>
      <c r="M1" s="23" t="s">
        <v>34</v>
      </c>
      <c r="N1" s="23" t="s">
        <v>35</v>
      </c>
      <c r="O1" s="23" t="s">
        <v>36</v>
      </c>
      <c r="P1" s="23" t="s">
        <v>6</v>
      </c>
      <c r="Q1" s="25" t="s">
        <v>37</v>
      </c>
    </row>
    <row r="3" spans="1:17" x14ac:dyDescent="0.2">
      <c r="A3" t="s">
        <v>87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7A67-253E-47F0-83B6-98B90F23834A}">
  <sheetPr codeName="Sheet6"/>
  <dimension ref="A1:I17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6.75" customWidth="1"/>
    <col min="2" max="3" width="15.75" customWidth="1"/>
    <col min="4" max="5" width="15" customWidth="1"/>
    <col min="6" max="6" width="16.125" customWidth="1"/>
    <col min="7" max="7" width="27.25" customWidth="1"/>
    <col min="8" max="8" width="26.5" customWidth="1"/>
    <col min="9" max="9" width="15.5" customWidth="1"/>
  </cols>
  <sheetData>
    <row r="1" spans="1:9" ht="29.25" x14ac:dyDescent="0.2">
      <c r="A1" s="27" t="s">
        <v>39</v>
      </c>
      <c r="B1" s="27" t="s">
        <v>40</v>
      </c>
      <c r="C1" s="28" t="s">
        <v>41</v>
      </c>
      <c r="D1" s="28" t="s">
        <v>42</v>
      </c>
      <c r="E1" s="28" t="s">
        <v>43</v>
      </c>
      <c r="F1" s="28" t="s">
        <v>44</v>
      </c>
      <c r="G1" s="28" t="s">
        <v>45</v>
      </c>
      <c r="H1" s="28" t="s">
        <v>46</v>
      </c>
      <c r="I1" s="28" t="s">
        <v>47</v>
      </c>
    </row>
    <row r="2" spans="1:9" x14ac:dyDescent="0.2">
      <c r="A2" t="s">
        <v>83</v>
      </c>
      <c r="B2" t="s">
        <v>85</v>
      </c>
      <c r="C2" t="s">
        <v>83</v>
      </c>
      <c r="D2" t="s">
        <v>88</v>
      </c>
      <c r="E2" t="s">
        <v>89</v>
      </c>
      <c r="F2">
        <v>117</v>
      </c>
      <c r="G2">
        <v>7</v>
      </c>
      <c r="H2">
        <v>124</v>
      </c>
      <c r="I2">
        <v>2.8</v>
      </c>
    </row>
    <row r="3" spans="1:9" x14ac:dyDescent="0.2">
      <c r="A3" t="s">
        <v>83</v>
      </c>
      <c r="B3" t="s">
        <v>85</v>
      </c>
      <c r="C3" t="s">
        <v>83</v>
      </c>
      <c r="D3" t="s">
        <v>88</v>
      </c>
      <c r="E3" t="s">
        <v>90</v>
      </c>
      <c r="F3">
        <v>378.69</v>
      </c>
      <c r="G3">
        <v>27</v>
      </c>
      <c r="H3">
        <v>405.69</v>
      </c>
      <c r="I3">
        <v>10.8</v>
      </c>
    </row>
    <row r="4" spans="1:9" x14ac:dyDescent="0.2">
      <c r="A4" t="s">
        <v>83</v>
      </c>
      <c r="B4" t="s">
        <v>85</v>
      </c>
      <c r="C4" t="s">
        <v>83</v>
      </c>
      <c r="D4" t="s">
        <v>88</v>
      </c>
      <c r="E4" t="s">
        <v>91</v>
      </c>
      <c r="F4">
        <v>432</v>
      </c>
      <c r="G4">
        <v>27</v>
      </c>
      <c r="H4">
        <v>459</v>
      </c>
      <c r="I4">
        <v>10.8</v>
      </c>
    </row>
    <row r="5" spans="1:9" x14ac:dyDescent="0.2">
      <c r="A5" t="s">
        <v>83</v>
      </c>
      <c r="B5" t="s">
        <v>85</v>
      </c>
      <c r="C5" t="s">
        <v>83</v>
      </c>
      <c r="D5" t="s">
        <v>88</v>
      </c>
      <c r="E5" t="s">
        <v>92</v>
      </c>
      <c r="F5">
        <v>378.69</v>
      </c>
      <c r="G5">
        <v>27</v>
      </c>
      <c r="H5">
        <v>405.69</v>
      </c>
      <c r="I5">
        <v>10.8</v>
      </c>
    </row>
    <row r="6" spans="1:9" x14ac:dyDescent="0.2">
      <c r="A6" t="s">
        <v>83</v>
      </c>
      <c r="B6" t="s">
        <v>85</v>
      </c>
      <c r="C6" t="s">
        <v>83</v>
      </c>
      <c r="D6" t="s">
        <v>88</v>
      </c>
      <c r="E6" t="s">
        <v>93</v>
      </c>
      <c r="F6">
        <v>432</v>
      </c>
      <c r="G6">
        <v>27</v>
      </c>
      <c r="H6">
        <v>459</v>
      </c>
      <c r="I6">
        <v>10.8</v>
      </c>
    </row>
    <row r="7" spans="1:9" x14ac:dyDescent="0.2">
      <c r="A7" t="s">
        <v>83</v>
      </c>
      <c r="B7" t="s">
        <v>85</v>
      </c>
      <c r="C7" t="s">
        <v>94</v>
      </c>
      <c r="D7" t="s">
        <v>88</v>
      </c>
      <c r="E7" t="s">
        <v>95</v>
      </c>
      <c r="F7">
        <v>1012.24</v>
      </c>
      <c r="G7">
        <v>16</v>
      </c>
      <c r="H7">
        <v>1028.24</v>
      </c>
      <c r="I7">
        <v>6.4</v>
      </c>
    </row>
    <row r="8" spans="1:9" x14ac:dyDescent="0.2">
      <c r="A8" t="s">
        <v>83</v>
      </c>
      <c r="B8" t="s">
        <v>85</v>
      </c>
      <c r="C8" t="s">
        <v>96</v>
      </c>
      <c r="D8" t="s">
        <v>88</v>
      </c>
      <c r="E8" t="s">
        <v>97</v>
      </c>
      <c r="F8">
        <v>378.69</v>
      </c>
      <c r="G8">
        <v>27</v>
      </c>
      <c r="H8">
        <v>405.69</v>
      </c>
      <c r="I8">
        <v>10.8</v>
      </c>
    </row>
    <row r="9" spans="1:9" x14ac:dyDescent="0.2">
      <c r="A9" t="s">
        <v>83</v>
      </c>
      <c r="B9" t="s">
        <v>85</v>
      </c>
      <c r="C9" t="s">
        <v>96</v>
      </c>
      <c r="D9" t="s">
        <v>88</v>
      </c>
      <c r="E9" t="s">
        <v>98</v>
      </c>
      <c r="F9">
        <v>117</v>
      </c>
      <c r="G9">
        <v>7</v>
      </c>
      <c r="H9">
        <v>124</v>
      </c>
      <c r="I9">
        <v>2.8</v>
      </c>
    </row>
    <row r="10" spans="1:9" x14ac:dyDescent="0.2">
      <c r="A10" t="s">
        <v>83</v>
      </c>
      <c r="B10" t="s">
        <v>85</v>
      </c>
      <c r="C10" t="s">
        <v>96</v>
      </c>
      <c r="D10" t="s">
        <v>88</v>
      </c>
      <c r="E10" t="s">
        <v>99</v>
      </c>
      <c r="F10">
        <v>501</v>
      </c>
      <c r="G10">
        <v>7</v>
      </c>
      <c r="H10">
        <v>508</v>
      </c>
      <c r="I10">
        <v>2.8</v>
      </c>
    </row>
    <row r="11" spans="1:9" x14ac:dyDescent="0.2">
      <c r="A11" t="s">
        <v>83</v>
      </c>
      <c r="B11" t="s">
        <v>85</v>
      </c>
      <c r="C11" t="s">
        <v>96</v>
      </c>
      <c r="D11" t="s">
        <v>88</v>
      </c>
      <c r="E11" t="s">
        <v>100</v>
      </c>
      <c r="F11">
        <v>467.06</v>
      </c>
      <c r="G11">
        <v>16</v>
      </c>
      <c r="H11">
        <v>483.06</v>
      </c>
      <c r="I11">
        <v>6.4</v>
      </c>
    </row>
    <row r="12" spans="1:9" x14ac:dyDescent="0.2">
      <c r="A12" t="s">
        <v>83</v>
      </c>
      <c r="B12" t="s">
        <v>85</v>
      </c>
      <c r="C12" t="s">
        <v>101</v>
      </c>
      <c r="D12" t="s">
        <v>88</v>
      </c>
      <c r="E12" t="s">
        <v>102</v>
      </c>
      <c r="F12">
        <v>939.3</v>
      </c>
      <c r="G12">
        <v>16</v>
      </c>
      <c r="H12">
        <v>955.3</v>
      </c>
      <c r="I12">
        <v>6.4</v>
      </c>
    </row>
    <row r="13" spans="1:9" x14ac:dyDescent="0.2">
      <c r="A13" t="s">
        <v>83</v>
      </c>
      <c r="B13" t="s">
        <v>85</v>
      </c>
      <c r="C13" t="s">
        <v>101</v>
      </c>
      <c r="D13" t="s">
        <v>88</v>
      </c>
      <c r="E13" t="s">
        <v>103</v>
      </c>
      <c r="F13">
        <v>65.099999999999994</v>
      </c>
      <c r="G13">
        <v>7</v>
      </c>
      <c r="H13">
        <v>72.099999999999994</v>
      </c>
      <c r="I13">
        <v>2.8</v>
      </c>
    </row>
    <row r="14" spans="1:9" x14ac:dyDescent="0.2">
      <c r="A14" t="s">
        <v>83</v>
      </c>
      <c r="B14" t="s">
        <v>85</v>
      </c>
      <c r="C14" t="s">
        <v>101</v>
      </c>
      <c r="D14" t="s">
        <v>88</v>
      </c>
      <c r="E14" t="s">
        <v>104</v>
      </c>
      <c r="F14">
        <v>78.180000000000007</v>
      </c>
      <c r="G14">
        <v>7</v>
      </c>
      <c r="H14">
        <v>85.18</v>
      </c>
      <c r="I14">
        <v>2.8</v>
      </c>
    </row>
    <row r="15" spans="1:9" x14ac:dyDescent="0.2">
      <c r="A15" t="s">
        <v>83</v>
      </c>
      <c r="B15" t="s">
        <v>85</v>
      </c>
      <c r="C15" t="s">
        <v>101</v>
      </c>
      <c r="D15" t="s">
        <v>88</v>
      </c>
      <c r="E15" t="s">
        <v>105</v>
      </c>
      <c r="F15">
        <v>75.540000000000006</v>
      </c>
      <c r="G15">
        <v>7</v>
      </c>
      <c r="H15">
        <v>82.54</v>
      </c>
      <c r="I15">
        <v>2.8</v>
      </c>
    </row>
    <row r="16" spans="1:9" x14ac:dyDescent="0.2">
      <c r="A16" t="s">
        <v>83</v>
      </c>
      <c r="B16" t="s">
        <v>85</v>
      </c>
      <c r="C16" t="s">
        <v>101</v>
      </c>
      <c r="D16" t="s">
        <v>88</v>
      </c>
      <c r="E16" t="s">
        <v>106</v>
      </c>
      <c r="F16">
        <v>141.56</v>
      </c>
      <c r="G16">
        <v>7</v>
      </c>
      <c r="H16">
        <v>148.56</v>
      </c>
      <c r="I16">
        <v>2.8</v>
      </c>
    </row>
    <row r="17" spans="1:9" x14ac:dyDescent="0.2">
      <c r="A17" t="s">
        <v>83</v>
      </c>
      <c r="B17" t="s">
        <v>85</v>
      </c>
      <c r="C17" t="s">
        <v>101</v>
      </c>
      <c r="D17" t="s">
        <v>88</v>
      </c>
      <c r="E17" t="s">
        <v>107</v>
      </c>
      <c r="F17">
        <v>55.45</v>
      </c>
      <c r="G17">
        <v>7</v>
      </c>
      <c r="H17">
        <v>62.45</v>
      </c>
      <c r="I17">
        <v>2.8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BC8A-21A8-4FA4-906C-4148C899B37C}">
  <sheetPr codeName="Sheet1"/>
  <dimension ref="A1:J59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4" width="15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37.5" x14ac:dyDescent="0.2">
      <c r="A1" s="28" t="s">
        <v>43</v>
      </c>
      <c r="B1" s="28" t="s">
        <v>41</v>
      </c>
      <c r="C1" s="27" t="s">
        <v>39</v>
      </c>
      <c r="D1" s="27" t="s">
        <v>40</v>
      </c>
      <c r="E1" s="28" t="s">
        <v>48</v>
      </c>
      <c r="F1" s="28" t="s">
        <v>49</v>
      </c>
      <c r="G1" s="28" t="s">
        <v>50</v>
      </c>
      <c r="H1" s="29" t="s">
        <v>51</v>
      </c>
      <c r="I1" s="29" t="s">
        <v>52</v>
      </c>
      <c r="J1" s="29" t="s">
        <v>53</v>
      </c>
    </row>
    <row r="2" spans="1:10" x14ac:dyDescent="0.2">
      <c r="A2" t="s">
        <v>100</v>
      </c>
      <c r="B2" t="s">
        <v>96</v>
      </c>
      <c r="C2" t="s">
        <v>83</v>
      </c>
      <c r="D2" t="s">
        <v>85</v>
      </c>
      <c r="E2" t="s">
        <v>108</v>
      </c>
      <c r="F2" t="s">
        <v>109</v>
      </c>
      <c r="G2">
        <v>1</v>
      </c>
      <c r="H2" t="s">
        <v>38</v>
      </c>
      <c r="I2">
        <v>7.75</v>
      </c>
      <c r="J2">
        <v>7.75</v>
      </c>
    </row>
    <row r="3" spans="1:10" x14ac:dyDescent="0.2">
      <c r="A3" t="s">
        <v>100</v>
      </c>
      <c r="B3" t="s">
        <v>96</v>
      </c>
      <c r="C3" t="s">
        <v>83</v>
      </c>
      <c r="D3" t="s">
        <v>85</v>
      </c>
      <c r="E3" t="s">
        <v>110</v>
      </c>
      <c r="F3" t="s">
        <v>111</v>
      </c>
      <c r="G3">
        <v>1</v>
      </c>
      <c r="H3" t="s">
        <v>38</v>
      </c>
      <c r="I3">
        <v>6.37</v>
      </c>
      <c r="J3">
        <v>6.37</v>
      </c>
    </row>
    <row r="4" spans="1:10" x14ac:dyDescent="0.2">
      <c r="A4" t="s">
        <v>100</v>
      </c>
      <c r="B4" t="s">
        <v>96</v>
      </c>
      <c r="C4" t="s">
        <v>83</v>
      </c>
      <c r="D4" t="s">
        <v>85</v>
      </c>
      <c r="E4" t="s">
        <v>112</v>
      </c>
      <c r="F4" t="s">
        <v>113</v>
      </c>
      <c r="G4">
        <v>1</v>
      </c>
      <c r="H4" t="s">
        <v>38</v>
      </c>
      <c r="I4">
        <v>74.91</v>
      </c>
      <c r="J4">
        <v>74.91</v>
      </c>
    </row>
    <row r="5" spans="1:10" x14ac:dyDescent="0.2">
      <c r="A5" t="s">
        <v>100</v>
      </c>
      <c r="B5" t="s">
        <v>96</v>
      </c>
      <c r="C5" t="s">
        <v>83</v>
      </c>
      <c r="D5" t="s">
        <v>85</v>
      </c>
      <c r="E5" t="s">
        <v>114</v>
      </c>
      <c r="F5" t="s">
        <v>115</v>
      </c>
      <c r="G5">
        <v>1</v>
      </c>
      <c r="H5" t="s">
        <v>38</v>
      </c>
      <c r="I5">
        <v>21.27</v>
      </c>
      <c r="J5">
        <v>21.27</v>
      </c>
    </row>
    <row r="6" spans="1:10" x14ac:dyDescent="0.2">
      <c r="A6" t="s">
        <v>100</v>
      </c>
      <c r="B6" t="s">
        <v>96</v>
      </c>
      <c r="C6" t="s">
        <v>83</v>
      </c>
      <c r="D6" t="s">
        <v>85</v>
      </c>
      <c r="E6" t="s">
        <v>116</v>
      </c>
      <c r="F6" t="s">
        <v>117</v>
      </c>
      <c r="G6">
        <v>1</v>
      </c>
      <c r="H6" t="s">
        <v>38</v>
      </c>
      <c r="I6">
        <v>21.27</v>
      </c>
      <c r="J6">
        <v>21.27</v>
      </c>
    </row>
    <row r="7" spans="1:10" x14ac:dyDescent="0.2">
      <c r="A7" t="s">
        <v>100</v>
      </c>
      <c r="B7" t="s">
        <v>96</v>
      </c>
      <c r="C7" t="s">
        <v>83</v>
      </c>
      <c r="D7" t="s">
        <v>85</v>
      </c>
      <c r="E7" t="s">
        <v>118</v>
      </c>
      <c r="F7" t="s">
        <v>119</v>
      </c>
      <c r="G7">
        <v>1</v>
      </c>
      <c r="H7" t="s">
        <v>38</v>
      </c>
      <c r="I7">
        <v>21.27</v>
      </c>
      <c r="J7">
        <v>21.27</v>
      </c>
    </row>
    <row r="8" spans="1:10" x14ac:dyDescent="0.2">
      <c r="A8" t="s">
        <v>100</v>
      </c>
      <c r="B8" t="s">
        <v>96</v>
      </c>
      <c r="C8" t="s">
        <v>83</v>
      </c>
      <c r="D8" t="s">
        <v>85</v>
      </c>
      <c r="E8" t="s">
        <v>120</v>
      </c>
      <c r="F8" t="s">
        <v>121</v>
      </c>
      <c r="G8">
        <v>8</v>
      </c>
      <c r="H8" t="s">
        <v>38</v>
      </c>
      <c r="I8">
        <v>0.69</v>
      </c>
      <c r="J8">
        <v>5.52</v>
      </c>
    </row>
    <row r="9" spans="1:10" x14ac:dyDescent="0.2">
      <c r="A9" t="s">
        <v>100</v>
      </c>
      <c r="B9" t="s">
        <v>96</v>
      </c>
      <c r="C9" t="s">
        <v>83</v>
      </c>
      <c r="D9" t="s">
        <v>85</v>
      </c>
      <c r="E9" t="s">
        <v>122</v>
      </c>
      <c r="F9" t="s">
        <v>123</v>
      </c>
      <c r="G9">
        <v>1</v>
      </c>
      <c r="H9" t="s">
        <v>38</v>
      </c>
      <c r="I9">
        <v>4.3099999999999996</v>
      </c>
      <c r="J9">
        <v>4.3099999999999996</v>
      </c>
    </row>
    <row r="10" spans="1:10" x14ac:dyDescent="0.2">
      <c r="A10" t="s">
        <v>100</v>
      </c>
      <c r="B10" t="s">
        <v>96</v>
      </c>
      <c r="C10" t="s">
        <v>83</v>
      </c>
      <c r="D10" t="s">
        <v>85</v>
      </c>
      <c r="E10" t="s">
        <v>124</v>
      </c>
      <c r="F10" t="s">
        <v>125</v>
      </c>
      <c r="G10">
        <v>1</v>
      </c>
      <c r="H10" t="s">
        <v>38</v>
      </c>
      <c r="I10">
        <v>21.27</v>
      </c>
      <c r="J10">
        <v>21.27</v>
      </c>
    </row>
    <row r="11" spans="1:10" x14ac:dyDescent="0.2">
      <c r="A11" t="s">
        <v>100</v>
      </c>
      <c r="B11" t="s">
        <v>96</v>
      </c>
      <c r="C11" t="s">
        <v>83</v>
      </c>
      <c r="D11" t="s">
        <v>85</v>
      </c>
      <c r="E11" t="s">
        <v>126</v>
      </c>
      <c r="F11" t="s">
        <v>127</v>
      </c>
      <c r="G11">
        <v>2</v>
      </c>
      <c r="H11" t="s">
        <v>38</v>
      </c>
      <c r="I11">
        <v>141.56</v>
      </c>
      <c r="J11">
        <v>283.12</v>
      </c>
    </row>
    <row r="12" spans="1:10" x14ac:dyDescent="0.2">
      <c r="A12" t="s">
        <v>99</v>
      </c>
      <c r="B12" t="s">
        <v>96</v>
      </c>
      <c r="C12" t="s">
        <v>83</v>
      </c>
      <c r="D12" t="s">
        <v>85</v>
      </c>
      <c r="E12" t="s">
        <v>128</v>
      </c>
      <c r="F12" t="s">
        <v>129</v>
      </c>
      <c r="G12">
        <v>1</v>
      </c>
      <c r="H12" t="s">
        <v>38</v>
      </c>
      <c r="I12">
        <v>501</v>
      </c>
      <c r="J12">
        <v>501</v>
      </c>
    </row>
    <row r="13" spans="1:10" x14ac:dyDescent="0.2">
      <c r="A13" t="s">
        <v>107</v>
      </c>
      <c r="B13" t="s">
        <v>101</v>
      </c>
      <c r="C13" t="s">
        <v>83</v>
      </c>
      <c r="D13" t="s">
        <v>85</v>
      </c>
      <c r="E13" t="s">
        <v>130</v>
      </c>
      <c r="F13" t="s">
        <v>131</v>
      </c>
      <c r="G13">
        <v>1</v>
      </c>
      <c r="H13" t="s">
        <v>38</v>
      </c>
      <c r="I13">
        <v>55.45</v>
      </c>
      <c r="J13">
        <v>55.45</v>
      </c>
    </row>
    <row r="14" spans="1:10" x14ac:dyDescent="0.2">
      <c r="A14" t="s">
        <v>106</v>
      </c>
      <c r="B14" t="s">
        <v>101</v>
      </c>
      <c r="C14" t="s">
        <v>83</v>
      </c>
      <c r="D14" t="s">
        <v>85</v>
      </c>
      <c r="E14" t="s">
        <v>132</v>
      </c>
      <c r="F14" t="s">
        <v>133</v>
      </c>
      <c r="G14">
        <v>1</v>
      </c>
      <c r="H14" t="s">
        <v>38</v>
      </c>
      <c r="I14">
        <v>141.56</v>
      </c>
      <c r="J14">
        <v>141.56</v>
      </c>
    </row>
    <row r="15" spans="1:10" x14ac:dyDescent="0.2">
      <c r="A15" t="s">
        <v>91</v>
      </c>
      <c r="B15" t="s">
        <v>83</v>
      </c>
      <c r="C15" t="s">
        <v>83</v>
      </c>
      <c r="D15" t="s">
        <v>85</v>
      </c>
      <c r="E15" t="s">
        <v>134</v>
      </c>
      <c r="F15" t="s">
        <v>135</v>
      </c>
      <c r="G15">
        <v>1</v>
      </c>
      <c r="H15" t="s">
        <v>38</v>
      </c>
      <c r="I15">
        <v>432</v>
      </c>
      <c r="J15">
        <v>432</v>
      </c>
    </row>
    <row r="16" spans="1:10" x14ac:dyDescent="0.2">
      <c r="A16" t="s">
        <v>98</v>
      </c>
      <c r="B16" t="s">
        <v>96</v>
      </c>
      <c r="C16" t="s">
        <v>83</v>
      </c>
      <c r="D16" t="s">
        <v>85</v>
      </c>
      <c r="E16" t="s">
        <v>136</v>
      </c>
      <c r="F16" t="s">
        <v>137</v>
      </c>
      <c r="G16">
        <v>1</v>
      </c>
      <c r="H16" t="s">
        <v>38</v>
      </c>
      <c r="I16">
        <v>117</v>
      </c>
      <c r="J16">
        <v>117</v>
      </c>
    </row>
    <row r="17" spans="1:10" x14ac:dyDescent="0.2">
      <c r="A17" t="s">
        <v>102</v>
      </c>
      <c r="B17" t="s">
        <v>101</v>
      </c>
      <c r="C17" t="s">
        <v>83</v>
      </c>
      <c r="D17" t="s">
        <v>85</v>
      </c>
      <c r="E17" t="s">
        <v>138</v>
      </c>
      <c r="F17" t="s">
        <v>139</v>
      </c>
      <c r="G17">
        <v>1</v>
      </c>
      <c r="H17" t="s">
        <v>38</v>
      </c>
      <c r="I17">
        <v>2.41</v>
      </c>
      <c r="J17">
        <v>2.41</v>
      </c>
    </row>
    <row r="18" spans="1:10" x14ac:dyDescent="0.2">
      <c r="A18" t="s">
        <v>102</v>
      </c>
      <c r="B18" t="s">
        <v>101</v>
      </c>
      <c r="C18" t="s">
        <v>83</v>
      </c>
      <c r="D18" t="s">
        <v>85</v>
      </c>
      <c r="E18" t="s">
        <v>116</v>
      </c>
      <c r="F18" t="s">
        <v>140</v>
      </c>
      <c r="G18">
        <v>2</v>
      </c>
      <c r="H18" t="s">
        <v>38</v>
      </c>
      <c r="I18">
        <v>21.27</v>
      </c>
      <c r="J18">
        <v>42.54</v>
      </c>
    </row>
    <row r="19" spans="1:10" x14ac:dyDescent="0.2">
      <c r="A19" t="s">
        <v>102</v>
      </c>
      <c r="B19" t="s">
        <v>101</v>
      </c>
      <c r="C19" t="s">
        <v>83</v>
      </c>
      <c r="D19" t="s">
        <v>85</v>
      </c>
      <c r="E19" t="s">
        <v>141</v>
      </c>
      <c r="F19" t="s">
        <v>142</v>
      </c>
      <c r="G19">
        <v>1</v>
      </c>
      <c r="H19" t="s">
        <v>38</v>
      </c>
      <c r="I19">
        <v>570</v>
      </c>
      <c r="J19">
        <v>570</v>
      </c>
    </row>
    <row r="20" spans="1:10" x14ac:dyDescent="0.2">
      <c r="A20" t="s">
        <v>102</v>
      </c>
      <c r="B20" t="s">
        <v>101</v>
      </c>
      <c r="C20" t="s">
        <v>83</v>
      </c>
      <c r="D20" t="s">
        <v>85</v>
      </c>
      <c r="E20" t="s">
        <v>118</v>
      </c>
      <c r="F20" t="s">
        <v>143</v>
      </c>
      <c r="G20">
        <v>2</v>
      </c>
      <c r="H20" t="s">
        <v>38</v>
      </c>
      <c r="I20">
        <v>21.27</v>
      </c>
      <c r="J20">
        <v>42.54</v>
      </c>
    </row>
    <row r="21" spans="1:10" x14ac:dyDescent="0.2">
      <c r="A21" t="s">
        <v>102</v>
      </c>
      <c r="B21" t="s">
        <v>101</v>
      </c>
      <c r="C21" t="s">
        <v>83</v>
      </c>
      <c r="D21" t="s">
        <v>85</v>
      </c>
      <c r="E21" t="s">
        <v>124</v>
      </c>
      <c r="F21" t="s">
        <v>144</v>
      </c>
      <c r="G21">
        <v>2</v>
      </c>
      <c r="H21" t="s">
        <v>38</v>
      </c>
      <c r="I21">
        <v>21.27</v>
      </c>
      <c r="J21">
        <v>42.54</v>
      </c>
    </row>
    <row r="22" spans="1:10" x14ac:dyDescent="0.2">
      <c r="A22" t="s">
        <v>102</v>
      </c>
      <c r="B22" t="s">
        <v>101</v>
      </c>
      <c r="C22" t="s">
        <v>83</v>
      </c>
      <c r="D22" t="s">
        <v>85</v>
      </c>
      <c r="E22" t="s">
        <v>145</v>
      </c>
      <c r="F22" t="s">
        <v>146</v>
      </c>
      <c r="G22">
        <v>1</v>
      </c>
      <c r="H22" t="s">
        <v>38</v>
      </c>
      <c r="I22">
        <v>59</v>
      </c>
      <c r="J22">
        <v>59</v>
      </c>
    </row>
    <row r="23" spans="1:10" x14ac:dyDescent="0.2">
      <c r="A23" t="s">
        <v>102</v>
      </c>
      <c r="B23" t="s">
        <v>101</v>
      </c>
      <c r="C23" t="s">
        <v>83</v>
      </c>
      <c r="D23" t="s">
        <v>85</v>
      </c>
      <c r="E23" t="s">
        <v>147</v>
      </c>
      <c r="F23" t="s">
        <v>148</v>
      </c>
      <c r="G23">
        <v>1</v>
      </c>
      <c r="H23" t="s">
        <v>38</v>
      </c>
      <c r="I23">
        <v>74</v>
      </c>
      <c r="J23">
        <v>74</v>
      </c>
    </row>
    <row r="24" spans="1:10" x14ac:dyDescent="0.2">
      <c r="A24" t="s">
        <v>102</v>
      </c>
      <c r="B24" t="s">
        <v>101</v>
      </c>
      <c r="C24" t="s">
        <v>83</v>
      </c>
      <c r="D24" t="s">
        <v>85</v>
      </c>
      <c r="E24" t="s">
        <v>114</v>
      </c>
      <c r="F24" t="s">
        <v>149</v>
      </c>
      <c r="G24">
        <v>1</v>
      </c>
      <c r="H24" t="s">
        <v>38</v>
      </c>
      <c r="I24">
        <v>21.27</v>
      </c>
      <c r="J24">
        <v>21.27</v>
      </c>
    </row>
    <row r="25" spans="1:10" x14ac:dyDescent="0.2">
      <c r="A25" t="s">
        <v>102</v>
      </c>
      <c r="B25" t="s">
        <v>101</v>
      </c>
      <c r="C25" t="s">
        <v>83</v>
      </c>
      <c r="D25" t="s">
        <v>85</v>
      </c>
      <c r="E25" t="s">
        <v>150</v>
      </c>
      <c r="F25" t="s">
        <v>151</v>
      </c>
      <c r="G25">
        <v>1</v>
      </c>
      <c r="H25" t="s">
        <v>38</v>
      </c>
      <c r="I25">
        <v>85</v>
      </c>
      <c r="J25">
        <v>85</v>
      </c>
    </row>
    <row r="26" spans="1:10" x14ac:dyDescent="0.2">
      <c r="A26" t="s">
        <v>92</v>
      </c>
      <c r="B26" t="s">
        <v>83</v>
      </c>
      <c r="C26" t="s">
        <v>83</v>
      </c>
      <c r="D26" t="s">
        <v>85</v>
      </c>
      <c r="E26" t="s">
        <v>152</v>
      </c>
      <c r="F26" t="s">
        <v>153</v>
      </c>
      <c r="G26">
        <v>1</v>
      </c>
      <c r="H26" t="s">
        <v>38</v>
      </c>
      <c r="I26">
        <v>378.69</v>
      </c>
      <c r="J26">
        <v>378.69</v>
      </c>
    </row>
    <row r="27" spans="1:10" x14ac:dyDescent="0.2">
      <c r="A27" t="s">
        <v>97</v>
      </c>
      <c r="B27" t="s">
        <v>96</v>
      </c>
      <c r="C27" t="s">
        <v>83</v>
      </c>
      <c r="D27" t="s">
        <v>85</v>
      </c>
      <c r="E27" t="s">
        <v>152</v>
      </c>
      <c r="F27" t="s">
        <v>153</v>
      </c>
      <c r="G27">
        <v>1</v>
      </c>
      <c r="H27" t="s">
        <v>38</v>
      </c>
      <c r="I27">
        <v>378.69</v>
      </c>
      <c r="J27">
        <v>378.69</v>
      </c>
    </row>
    <row r="28" spans="1:10" x14ac:dyDescent="0.2">
      <c r="A28" t="s">
        <v>105</v>
      </c>
      <c r="B28" t="s">
        <v>101</v>
      </c>
      <c r="C28" t="s">
        <v>83</v>
      </c>
      <c r="D28" t="s">
        <v>85</v>
      </c>
      <c r="E28" t="s">
        <v>118</v>
      </c>
      <c r="F28" t="s">
        <v>143</v>
      </c>
      <c r="G28">
        <v>1</v>
      </c>
      <c r="H28" t="s">
        <v>38</v>
      </c>
      <c r="I28">
        <v>21.27</v>
      </c>
      <c r="J28">
        <v>21.27</v>
      </c>
    </row>
    <row r="29" spans="1:10" x14ac:dyDescent="0.2">
      <c r="A29" t="s">
        <v>105</v>
      </c>
      <c r="B29" t="s">
        <v>101</v>
      </c>
      <c r="C29" t="s">
        <v>83</v>
      </c>
      <c r="D29" t="s">
        <v>85</v>
      </c>
      <c r="E29" t="s">
        <v>154</v>
      </c>
      <c r="F29" t="s">
        <v>155</v>
      </c>
      <c r="G29">
        <v>1</v>
      </c>
      <c r="H29" t="s">
        <v>38</v>
      </c>
      <c r="I29">
        <v>33</v>
      </c>
      <c r="J29">
        <v>33</v>
      </c>
    </row>
    <row r="30" spans="1:10" x14ac:dyDescent="0.2">
      <c r="A30" t="s">
        <v>105</v>
      </c>
      <c r="B30" t="s">
        <v>101</v>
      </c>
      <c r="C30" t="s">
        <v>83</v>
      </c>
      <c r="D30" t="s">
        <v>85</v>
      </c>
      <c r="E30" t="s">
        <v>124</v>
      </c>
      <c r="F30" t="s">
        <v>144</v>
      </c>
      <c r="G30">
        <v>1</v>
      </c>
      <c r="H30" t="s">
        <v>38</v>
      </c>
      <c r="I30">
        <v>21.27</v>
      </c>
      <c r="J30">
        <v>21.27</v>
      </c>
    </row>
    <row r="31" spans="1:10" x14ac:dyDescent="0.2">
      <c r="A31" t="s">
        <v>104</v>
      </c>
      <c r="B31" t="s">
        <v>101</v>
      </c>
      <c r="C31" t="s">
        <v>83</v>
      </c>
      <c r="D31" t="s">
        <v>85</v>
      </c>
      <c r="E31" t="s">
        <v>156</v>
      </c>
      <c r="F31" t="s">
        <v>157</v>
      </c>
      <c r="G31">
        <v>1</v>
      </c>
      <c r="H31" t="s">
        <v>38</v>
      </c>
      <c r="I31">
        <v>78.180000000000007</v>
      </c>
      <c r="J31">
        <v>78.180000000000007</v>
      </c>
    </row>
    <row r="32" spans="1:10" x14ac:dyDescent="0.2">
      <c r="A32" t="s">
        <v>103</v>
      </c>
      <c r="B32" t="s">
        <v>101</v>
      </c>
      <c r="C32" t="s">
        <v>83</v>
      </c>
      <c r="D32" t="s">
        <v>85</v>
      </c>
      <c r="E32" t="s">
        <v>158</v>
      </c>
      <c r="F32" t="s">
        <v>159</v>
      </c>
      <c r="G32">
        <v>1</v>
      </c>
      <c r="H32" t="s">
        <v>38</v>
      </c>
      <c r="I32">
        <v>65.099999999999994</v>
      </c>
      <c r="J32">
        <v>65.099999999999994</v>
      </c>
    </row>
    <row r="33" spans="1:10" x14ac:dyDescent="0.2">
      <c r="A33" t="s">
        <v>90</v>
      </c>
      <c r="B33" t="s">
        <v>83</v>
      </c>
      <c r="C33" t="s">
        <v>83</v>
      </c>
      <c r="D33" t="s">
        <v>85</v>
      </c>
      <c r="E33" t="s">
        <v>160</v>
      </c>
      <c r="F33" t="s">
        <v>161</v>
      </c>
      <c r="G33">
        <v>1</v>
      </c>
      <c r="H33" t="s">
        <v>38</v>
      </c>
      <c r="I33">
        <v>378.69</v>
      </c>
      <c r="J33">
        <v>378.69</v>
      </c>
    </row>
    <row r="34" spans="1:10" x14ac:dyDescent="0.2">
      <c r="A34" t="s">
        <v>89</v>
      </c>
      <c r="B34" t="s">
        <v>83</v>
      </c>
      <c r="C34" t="s">
        <v>83</v>
      </c>
      <c r="D34" t="s">
        <v>85</v>
      </c>
      <c r="E34" t="s">
        <v>136</v>
      </c>
      <c r="F34" t="s">
        <v>137</v>
      </c>
      <c r="G34">
        <v>1</v>
      </c>
      <c r="H34" t="s">
        <v>38</v>
      </c>
      <c r="I34">
        <v>117</v>
      </c>
      <c r="J34">
        <v>117</v>
      </c>
    </row>
    <row r="35" spans="1:10" x14ac:dyDescent="0.2">
      <c r="A35" t="s">
        <v>95</v>
      </c>
      <c r="B35" t="s">
        <v>94</v>
      </c>
      <c r="C35" t="s">
        <v>83</v>
      </c>
      <c r="D35" t="s">
        <v>85</v>
      </c>
      <c r="E35" t="s">
        <v>162</v>
      </c>
      <c r="F35" t="s">
        <v>163</v>
      </c>
      <c r="G35">
        <v>2</v>
      </c>
      <c r="H35" t="s">
        <v>38</v>
      </c>
      <c r="I35">
        <v>21.27</v>
      </c>
      <c r="J35">
        <v>42.54</v>
      </c>
    </row>
    <row r="36" spans="1:10" x14ac:dyDescent="0.2">
      <c r="A36" t="s">
        <v>95</v>
      </c>
      <c r="B36" t="s">
        <v>94</v>
      </c>
      <c r="C36" t="s">
        <v>83</v>
      </c>
      <c r="D36" t="s">
        <v>85</v>
      </c>
      <c r="E36" t="s">
        <v>164</v>
      </c>
      <c r="F36" t="s">
        <v>165</v>
      </c>
      <c r="G36">
        <v>1</v>
      </c>
      <c r="H36" t="s">
        <v>38</v>
      </c>
      <c r="I36">
        <v>8</v>
      </c>
      <c r="J36">
        <v>8</v>
      </c>
    </row>
    <row r="37" spans="1:10" x14ac:dyDescent="0.2">
      <c r="A37" t="s">
        <v>95</v>
      </c>
      <c r="B37" t="s">
        <v>94</v>
      </c>
      <c r="C37" t="s">
        <v>83</v>
      </c>
      <c r="D37" t="s">
        <v>85</v>
      </c>
      <c r="E37" t="s">
        <v>166</v>
      </c>
      <c r="F37" t="s">
        <v>167</v>
      </c>
      <c r="G37">
        <v>1</v>
      </c>
      <c r="H37" t="s">
        <v>38</v>
      </c>
      <c r="I37">
        <v>19</v>
      </c>
      <c r="J37">
        <v>19</v>
      </c>
    </row>
    <row r="38" spans="1:10" x14ac:dyDescent="0.2">
      <c r="A38" t="s">
        <v>95</v>
      </c>
      <c r="B38" t="s">
        <v>94</v>
      </c>
      <c r="C38" t="s">
        <v>83</v>
      </c>
      <c r="D38" t="s">
        <v>85</v>
      </c>
      <c r="E38" t="s">
        <v>168</v>
      </c>
      <c r="F38" t="s">
        <v>169</v>
      </c>
      <c r="G38">
        <v>1</v>
      </c>
      <c r="H38" t="s">
        <v>38</v>
      </c>
      <c r="I38">
        <v>27</v>
      </c>
      <c r="J38">
        <v>27</v>
      </c>
    </row>
    <row r="39" spans="1:10" x14ac:dyDescent="0.2">
      <c r="A39" t="s">
        <v>95</v>
      </c>
      <c r="B39" t="s">
        <v>94</v>
      </c>
      <c r="C39" t="s">
        <v>83</v>
      </c>
      <c r="D39" t="s">
        <v>85</v>
      </c>
      <c r="E39" t="s">
        <v>141</v>
      </c>
      <c r="F39" t="s">
        <v>142</v>
      </c>
      <c r="G39">
        <v>1</v>
      </c>
      <c r="H39" t="s">
        <v>38</v>
      </c>
      <c r="I39">
        <v>570</v>
      </c>
      <c r="J39">
        <v>570</v>
      </c>
    </row>
    <row r="40" spans="1:10" x14ac:dyDescent="0.2">
      <c r="A40" t="s">
        <v>95</v>
      </c>
      <c r="B40" t="s">
        <v>94</v>
      </c>
      <c r="C40" t="s">
        <v>83</v>
      </c>
      <c r="D40" t="s">
        <v>85</v>
      </c>
      <c r="E40" t="s">
        <v>170</v>
      </c>
      <c r="F40" t="s">
        <v>171</v>
      </c>
      <c r="G40">
        <v>1</v>
      </c>
      <c r="H40" t="s">
        <v>38</v>
      </c>
      <c r="I40">
        <v>1</v>
      </c>
      <c r="J40">
        <v>1</v>
      </c>
    </row>
    <row r="41" spans="1:10" x14ac:dyDescent="0.2">
      <c r="A41" t="s">
        <v>95</v>
      </c>
      <c r="B41" t="s">
        <v>94</v>
      </c>
      <c r="C41" t="s">
        <v>83</v>
      </c>
      <c r="D41" t="s">
        <v>85</v>
      </c>
      <c r="E41" t="s">
        <v>172</v>
      </c>
      <c r="F41" t="s">
        <v>173</v>
      </c>
      <c r="G41">
        <v>1</v>
      </c>
      <c r="H41" t="s">
        <v>38</v>
      </c>
      <c r="I41">
        <v>8</v>
      </c>
      <c r="J41">
        <v>8</v>
      </c>
    </row>
    <row r="42" spans="1:10" x14ac:dyDescent="0.2">
      <c r="A42" t="s">
        <v>95</v>
      </c>
      <c r="B42" t="s">
        <v>94</v>
      </c>
      <c r="C42" t="s">
        <v>83</v>
      </c>
      <c r="D42" t="s">
        <v>85</v>
      </c>
      <c r="E42" t="s">
        <v>174</v>
      </c>
      <c r="F42" t="s">
        <v>175</v>
      </c>
      <c r="G42">
        <v>2</v>
      </c>
      <c r="H42" t="s">
        <v>38</v>
      </c>
      <c r="I42">
        <v>21.27</v>
      </c>
      <c r="J42">
        <v>42.54</v>
      </c>
    </row>
    <row r="43" spans="1:10" x14ac:dyDescent="0.2">
      <c r="A43" t="s">
        <v>95</v>
      </c>
      <c r="B43" t="s">
        <v>94</v>
      </c>
      <c r="C43" t="s">
        <v>83</v>
      </c>
      <c r="D43" t="s">
        <v>85</v>
      </c>
      <c r="E43" t="s">
        <v>176</v>
      </c>
      <c r="F43" t="s">
        <v>177</v>
      </c>
      <c r="G43">
        <v>1</v>
      </c>
      <c r="H43" t="s">
        <v>38</v>
      </c>
      <c r="I43">
        <v>4</v>
      </c>
      <c r="J43">
        <v>4</v>
      </c>
    </row>
    <row r="44" spans="1:10" x14ac:dyDescent="0.2">
      <c r="A44" t="s">
        <v>95</v>
      </c>
      <c r="B44" t="s">
        <v>94</v>
      </c>
      <c r="C44" t="s">
        <v>83</v>
      </c>
      <c r="D44" t="s">
        <v>85</v>
      </c>
      <c r="E44" t="s">
        <v>178</v>
      </c>
      <c r="F44" t="s">
        <v>179</v>
      </c>
      <c r="G44">
        <v>1</v>
      </c>
      <c r="H44" t="s">
        <v>38</v>
      </c>
      <c r="I44">
        <v>21.27</v>
      </c>
      <c r="J44">
        <v>21.27</v>
      </c>
    </row>
    <row r="45" spans="1:10" x14ac:dyDescent="0.2">
      <c r="A45" t="s">
        <v>95</v>
      </c>
      <c r="B45" t="s">
        <v>94</v>
      </c>
      <c r="C45" t="s">
        <v>83</v>
      </c>
      <c r="D45" t="s">
        <v>85</v>
      </c>
      <c r="E45" t="s">
        <v>180</v>
      </c>
      <c r="F45" t="s">
        <v>181</v>
      </c>
      <c r="G45">
        <v>1</v>
      </c>
      <c r="H45" t="s">
        <v>38</v>
      </c>
      <c r="I45">
        <v>85</v>
      </c>
      <c r="J45">
        <v>85</v>
      </c>
    </row>
    <row r="46" spans="1:10" x14ac:dyDescent="0.2">
      <c r="A46" t="s">
        <v>95</v>
      </c>
      <c r="B46" t="s">
        <v>94</v>
      </c>
      <c r="C46" t="s">
        <v>83</v>
      </c>
      <c r="D46" t="s">
        <v>85</v>
      </c>
      <c r="E46" t="s">
        <v>182</v>
      </c>
      <c r="F46" t="s">
        <v>183</v>
      </c>
      <c r="G46">
        <v>1</v>
      </c>
      <c r="H46" t="s">
        <v>38</v>
      </c>
      <c r="I46">
        <v>89.81</v>
      </c>
      <c r="J46">
        <v>89.81</v>
      </c>
    </row>
    <row r="47" spans="1:10" x14ac:dyDescent="0.2">
      <c r="A47" t="s">
        <v>95</v>
      </c>
      <c r="B47" t="s">
        <v>94</v>
      </c>
      <c r="C47" t="s">
        <v>83</v>
      </c>
      <c r="D47" t="s">
        <v>85</v>
      </c>
      <c r="E47" t="s">
        <v>184</v>
      </c>
      <c r="F47" t="s">
        <v>185</v>
      </c>
      <c r="G47">
        <v>1</v>
      </c>
      <c r="H47" t="s">
        <v>38</v>
      </c>
      <c r="I47">
        <v>2</v>
      </c>
      <c r="J47">
        <v>2</v>
      </c>
    </row>
    <row r="48" spans="1:10" x14ac:dyDescent="0.2">
      <c r="A48" t="s">
        <v>95</v>
      </c>
      <c r="B48" t="s">
        <v>94</v>
      </c>
      <c r="C48" t="s">
        <v>83</v>
      </c>
      <c r="D48" t="s">
        <v>85</v>
      </c>
      <c r="E48" t="s">
        <v>186</v>
      </c>
      <c r="F48" t="s">
        <v>187</v>
      </c>
      <c r="G48">
        <v>1</v>
      </c>
      <c r="H48" t="s">
        <v>38</v>
      </c>
      <c r="I48">
        <v>4</v>
      </c>
      <c r="J48">
        <v>4</v>
      </c>
    </row>
    <row r="49" spans="1:10" x14ac:dyDescent="0.2">
      <c r="A49" t="s">
        <v>95</v>
      </c>
      <c r="B49" t="s">
        <v>94</v>
      </c>
      <c r="C49" t="s">
        <v>83</v>
      </c>
      <c r="D49" t="s">
        <v>85</v>
      </c>
      <c r="E49" t="s">
        <v>188</v>
      </c>
      <c r="F49" t="s">
        <v>189</v>
      </c>
      <c r="G49">
        <v>1</v>
      </c>
      <c r="H49" t="s">
        <v>38</v>
      </c>
      <c r="I49">
        <v>10</v>
      </c>
      <c r="J49">
        <v>10</v>
      </c>
    </row>
    <row r="50" spans="1:10" x14ac:dyDescent="0.2">
      <c r="A50" t="s">
        <v>95</v>
      </c>
      <c r="B50" t="s">
        <v>94</v>
      </c>
      <c r="C50" t="s">
        <v>83</v>
      </c>
      <c r="D50" t="s">
        <v>85</v>
      </c>
      <c r="E50" t="s">
        <v>190</v>
      </c>
      <c r="F50" t="s">
        <v>191</v>
      </c>
      <c r="G50">
        <v>1</v>
      </c>
      <c r="H50" t="s">
        <v>38</v>
      </c>
      <c r="I50">
        <v>2.41</v>
      </c>
      <c r="J50">
        <v>2.41</v>
      </c>
    </row>
    <row r="51" spans="1:10" x14ac:dyDescent="0.2">
      <c r="A51" t="s">
        <v>95</v>
      </c>
      <c r="B51" t="s">
        <v>94</v>
      </c>
      <c r="C51" t="s">
        <v>83</v>
      </c>
      <c r="D51" t="s">
        <v>85</v>
      </c>
      <c r="E51" t="s">
        <v>192</v>
      </c>
      <c r="F51" t="s">
        <v>193</v>
      </c>
      <c r="G51">
        <v>1</v>
      </c>
      <c r="H51" t="s">
        <v>38</v>
      </c>
      <c r="I51">
        <v>5</v>
      </c>
      <c r="J51">
        <v>5</v>
      </c>
    </row>
    <row r="52" spans="1:10" x14ac:dyDescent="0.2">
      <c r="A52" t="s">
        <v>95</v>
      </c>
      <c r="B52" t="s">
        <v>94</v>
      </c>
      <c r="C52" t="s">
        <v>83</v>
      </c>
      <c r="D52" t="s">
        <v>85</v>
      </c>
      <c r="E52" t="s">
        <v>194</v>
      </c>
      <c r="F52" t="s">
        <v>195</v>
      </c>
      <c r="G52">
        <v>2</v>
      </c>
      <c r="H52" t="s">
        <v>38</v>
      </c>
      <c r="I52">
        <v>21.27</v>
      </c>
      <c r="J52">
        <v>42.54</v>
      </c>
    </row>
    <row r="53" spans="1:10" x14ac:dyDescent="0.2">
      <c r="A53" t="s">
        <v>95</v>
      </c>
      <c r="B53" t="s">
        <v>94</v>
      </c>
      <c r="C53" t="s">
        <v>83</v>
      </c>
      <c r="D53" t="s">
        <v>85</v>
      </c>
      <c r="E53" t="s">
        <v>196</v>
      </c>
      <c r="F53" t="s">
        <v>197</v>
      </c>
      <c r="G53">
        <v>1</v>
      </c>
      <c r="H53" t="s">
        <v>38</v>
      </c>
      <c r="I53">
        <v>2</v>
      </c>
      <c r="J53">
        <v>2</v>
      </c>
    </row>
    <row r="54" spans="1:10" x14ac:dyDescent="0.2">
      <c r="A54" t="s">
        <v>95</v>
      </c>
      <c r="B54" t="s">
        <v>94</v>
      </c>
      <c r="C54" t="s">
        <v>83</v>
      </c>
      <c r="D54" t="s">
        <v>85</v>
      </c>
      <c r="E54" t="s">
        <v>198</v>
      </c>
      <c r="F54" t="s">
        <v>139</v>
      </c>
      <c r="G54">
        <v>1</v>
      </c>
      <c r="H54" t="s">
        <v>38</v>
      </c>
      <c r="I54">
        <v>2.41</v>
      </c>
      <c r="J54">
        <v>2.41</v>
      </c>
    </row>
    <row r="55" spans="1:10" x14ac:dyDescent="0.2">
      <c r="A55" t="s">
        <v>95</v>
      </c>
      <c r="B55" t="s">
        <v>94</v>
      </c>
      <c r="C55" t="s">
        <v>83</v>
      </c>
      <c r="D55" t="s">
        <v>85</v>
      </c>
      <c r="E55" t="s">
        <v>199</v>
      </c>
      <c r="F55" t="s">
        <v>200</v>
      </c>
      <c r="G55">
        <v>2</v>
      </c>
      <c r="H55" t="s">
        <v>38</v>
      </c>
      <c r="I55">
        <v>0.86</v>
      </c>
      <c r="J55">
        <v>1.72</v>
      </c>
    </row>
    <row r="56" spans="1:10" x14ac:dyDescent="0.2">
      <c r="A56" t="s">
        <v>95</v>
      </c>
      <c r="B56" t="s">
        <v>94</v>
      </c>
      <c r="C56" t="s">
        <v>83</v>
      </c>
      <c r="D56" t="s">
        <v>85</v>
      </c>
      <c r="E56" t="s">
        <v>201</v>
      </c>
      <c r="F56" t="s">
        <v>202</v>
      </c>
      <c r="G56">
        <v>1</v>
      </c>
      <c r="H56" t="s">
        <v>38</v>
      </c>
      <c r="I56">
        <v>12</v>
      </c>
      <c r="J56">
        <v>12</v>
      </c>
    </row>
    <row r="57" spans="1:10" x14ac:dyDescent="0.2">
      <c r="A57" t="s">
        <v>95</v>
      </c>
      <c r="B57" t="s">
        <v>94</v>
      </c>
      <c r="C57" t="s">
        <v>83</v>
      </c>
      <c r="D57" t="s">
        <v>85</v>
      </c>
      <c r="E57" t="s">
        <v>203</v>
      </c>
      <c r="F57" t="s">
        <v>204</v>
      </c>
      <c r="G57">
        <v>1</v>
      </c>
      <c r="H57" t="s">
        <v>38</v>
      </c>
      <c r="I57">
        <v>9</v>
      </c>
      <c r="J57">
        <v>9</v>
      </c>
    </row>
    <row r="58" spans="1:10" x14ac:dyDescent="0.2">
      <c r="A58" t="s">
        <v>95</v>
      </c>
      <c r="B58" t="s">
        <v>94</v>
      </c>
      <c r="C58" t="s">
        <v>83</v>
      </c>
      <c r="D58" t="s">
        <v>85</v>
      </c>
      <c r="E58" t="s">
        <v>205</v>
      </c>
      <c r="F58" t="s">
        <v>206</v>
      </c>
      <c r="G58">
        <v>1</v>
      </c>
      <c r="H58" t="s">
        <v>38</v>
      </c>
      <c r="I58">
        <v>1</v>
      </c>
      <c r="J58">
        <v>1</v>
      </c>
    </row>
    <row r="59" spans="1:10" x14ac:dyDescent="0.2">
      <c r="A59" t="s">
        <v>93</v>
      </c>
      <c r="B59" t="s">
        <v>83</v>
      </c>
      <c r="C59" t="s">
        <v>83</v>
      </c>
      <c r="D59" t="s">
        <v>85</v>
      </c>
      <c r="E59" t="s">
        <v>134</v>
      </c>
      <c r="F59" t="s">
        <v>135</v>
      </c>
      <c r="G59">
        <v>1</v>
      </c>
      <c r="H59" t="s">
        <v>38</v>
      </c>
      <c r="I59">
        <v>432</v>
      </c>
      <c r="J59">
        <v>432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61D7-EEB2-4A30-85BC-99B68094711A}">
  <sheetPr codeName="Sheet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4.5" customWidth="1"/>
    <col min="3" max="3" width="13.625" customWidth="1"/>
  </cols>
  <sheetData>
    <row r="1" spans="1:17" x14ac:dyDescent="0.2">
      <c r="A1" s="23" t="s">
        <v>24</v>
      </c>
      <c r="B1" s="23" t="s">
        <v>25</v>
      </c>
      <c r="C1" s="24" t="s">
        <v>1</v>
      </c>
      <c r="D1" s="24" t="s">
        <v>0</v>
      </c>
      <c r="E1" s="23" t="s">
        <v>26</v>
      </c>
      <c r="F1" s="23" t="s">
        <v>27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32</v>
      </c>
      <c r="L1" s="23" t="s">
        <v>33</v>
      </c>
      <c r="M1" s="23" t="s">
        <v>34</v>
      </c>
      <c r="N1" s="23" t="s">
        <v>35</v>
      </c>
      <c r="O1" s="23" t="s">
        <v>36</v>
      </c>
      <c r="P1" s="23" t="s">
        <v>6</v>
      </c>
      <c r="Q1" s="30" t="s">
        <v>37</v>
      </c>
    </row>
    <row r="3" spans="1:17" x14ac:dyDescent="0.2">
      <c r="A3" t="s">
        <v>87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D1BC-0F6E-4614-ADA3-A81359A6F1FF}">
  <sheetPr codeName="Sheet7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9" style="31"/>
    <col min="2" max="2" width="15.375" style="31" customWidth="1"/>
    <col min="3" max="3" width="17.75" style="31" customWidth="1"/>
    <col min="4" max="15" width="9" style="31"/>
    <col min="16" max="16" width="16.625" style="31" customWidth="1"/>
    <col min="17" max="16384" width="9" style="31"/>
  </cols>
  <sheetData>
    <row r="1" spans="1:17" x14ac:dyDescent="0.35">
      <c r="A1" s="23" t="s">
        <v>24</v>
      </c>
      <c r="B1" s="23" t="s">
        <v>25</v>
      </c>
      <c r="C1" s="24" t="s">
        <v>1</v>
      </c>
      <c r="D1" s="24" t="s">
        <v>0</v>
      </c>
      <c r="E1" s="23" t="s">
        <v>26</v>
      </c>
      <c r="F1" s="23" t="s">
        <v>27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32</v>
      </c>
      <c r="L1" s="23" t="s">
        <v>33</v>
      </c>
      <c r="M1" s="23" t="s">
        <v>34</v>
      </c>
      <c r="N1" s="23" t="s">
        <v>35</v>
      </c>
      <c r="O1" s="23" t="s">
        <v>36</v>
      </c>
      <c r="P1" s="23" t="s">
        <v>6</v>
      </c>
      <c r="Q1" s="30" t="s">
        <v>37</v>
      </c>
    </row>
    <row r="3" spans="1:17" x14ac:dyDescent="0.35">
      <c r="A3" s="31" t="s">
        <v>87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3808-FBE7-4ED1-BF2B-302E0446A4DD}">
  <sheetPr codeName="Sheet8"/>
  <dimension ref="A1:P6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5.625" customWidth="1"/>
    <col min="2" max="2" width="11" style="40" customWidth="1"/>
    <col min="3" max="3" width="9" customWidth="1"/>
    <col min="4" max="4" width="12" customWidth="1"/>
    <col min="5" max="5" width="9" customWidth="1"/>
    <col min="6" max="6" width="24.625" customWidth="1"/>
    <col min="7" max="7" width="25.125" customWidth="1"/>
    <col min="8" max="8" width="30.375" customWidth="1"/>
    <col min="9" max="9" width="18.5" customWidth="1"/>
    <col min="10" max="10" width="19.5" customWidth="1"/>
    <col min="11" max="11" width="20.25" customWidth="1"/>
    <col min="12" max="12" width="22.5" customWidth="1"/>
    <col min="13" max="13" width="13.875" customWidth="1"/>
    <col min="14" max="14" width="14.125" customWidth="1"/>
    <col min="15" max="15" width="15.375" customWidth="1"/>
    <col min="16" max="16" width="18.125" customWidth="1"/>
  </cols>
  <sheetData>
    <row r="1" spans="1:16" ht="43.5" customHeight="1" x14ac:dyDescent="0.2">
      <c r="A1" s="32" t="s">
        <v>54</v>
      </c>
      <c r="B1" s="33" t="s">
        <v>55</v>
      </c>
      <c r="C1" s="34" t="s">
        <v>56</v>
      </c>
      <c r="D1" s="35" t="s">
        <v>57</v>
      </c>
      <c r="E1" s="32" t="s">
        <v>58</v>
      </c>
      <c r="F1" s="36" t="s">
        <v>59</v>
      </c>
      <c r="G1" s="36" t="s">
        <v>60</v>
      </c>
      <c r="H1" s="37" t="s">
        <v>61</v>
      </c>
      <c r="I1" s="38" t="s">
        <v>62</v>
      </c>
      <c r="J1" s="38" t="s">
        <v>63</v>
      </c>
      <c r="K1" s="37" t="s">
        <v>64</v>
      </c>
      <c r="L1" s="36" t="s">
        <v>65</v>
      </c>
      <c r="M1" s="36" t="s">
        <v>66</v>
      </c>
      <c r="N1" s="39" t="s">
        <v>67</v>
      </c>
      <c r="O1" s="36" t="s">
        <v>68</v>
      </c>
      <c r="P1" s="37" t="s">
        <v>69</v>
      </c>
    </row>
    <row r="2" spans="1:16" x14ac:dyDescent="0.2">
      <c r="A2" t="s">
        <v>207</v>
      </c>
      <c r="B2" s="40">
        <v>1069</v>
      </c>
      <c r="C2" t="s">
        <v>38</v>
      </c>
      <c r="F2" t="s">
        <v>208</v>
      </c>
      <c r="G2" t="s">
        <v>209</v>
      </c>
      <c r="H2" t="s">
        <v>101</v>
      </c>
      <c r="I2" t="s">
        <v>83</v>
      </c>
      <c r="J2" t="s">
        <v>85</v>
      </c>
      <c r="K2" t="s">
        <v>70</v>
      </c>
      <c r="L2" t="s">
        <v>210</v>
      </c>
      <c r="M2">
        <v>1</v>
      </c>
      <c r="N2">
        <v>202411</v>
      </c>
      <c r="O2" s="60">
        <v>45599.436643518522</v>
      </c>
      <c r="P2" t="s">
        <v>211</v>
      </c>
    </row>
    <row r="3" spans="1:16" x14ac:dyDescent="0.2">
      <c r="A3" t="s">
        <v>207</v>
      </c>
      <c r="B3" s="40">
        <v>1125</v>
      </c>
      <c r="C3" t="s">
        <v>38</v>
      </c>
      <c r="F3" t="s">
        <v>212</v>
      </c>
      <c r="G3" t="s">
        <v>213</v>
      </c>
      <c r="H3" t="s">
        <v>101</v>
      </c>
      <c r="I3" t="s">
        <v>83</v>
      </c>
      <c r="J3" t="s">
        <v>85</v>
      </c>
      <c r="K3" t="s">
        <v>70</v>
      </c>
      <c r="L3" t="s">
        <v>210</v>
      </c>
      <c r="M3">
        <v>1</v>
      </c>
      <c r="N3">
        <v>202411</v>
      </c>
      <c r="O3" s="60">
        <v>45599.450173611112</v>
      </c>
      <c r="P3" t="s">
        <v>214</v>
      </c>
    </row>
    <row r="4" spans="1:16" x14ac:dyDescent="0.2">
      <c r="A4" t="s">
        <v>207</v>
      </c>
      <c r="B4" s="40">
        <v>1125</v>
      </c>
      <c r="C4" t="s">
        <v>38</v>
      </c>
      <c r="F4" t="s">
        <v>215</v>
      </c>
      <c r="G4" t="s">
        <v>216</v>
      </c>
      <c r="H4" t="s">
        <v>101</v>
      </c>
      <c r="I4" t="s">
        <v>83</v>
      </c>
      <c r="J4" t="s">
        <v>85</v>
      </c>
      <c r="K4" t="s">
        <v>70</v>
      </c>
      <c r="L4" t="s">
        <v>210</v>
      </c>
      <c r="M4">
        <v>1</v>
      </c>
      <c r="N4">
        <v>202411</v>
      </c>
      <c r="O4" s="60">
        <v>45619.428900462961</v>
      </c>
      <c r="P4" t="s">
        <v>217</v>
      </c>
    </row>
    <row r="5" spans="1:16" x14ac:dyDescent="0.2">
      <c r="A5" t="s">
        <v>207</v>
      </c>
      <c r="B5" s="40">
        <v>1069</v>
      </c>
      <c r="C5" t="s">
        <v>38</v>
      </c>
      <c r="F5" t="s">
        <v>218</v>
      </c>
      <c r="G5" t="s">
        <v>219</v>
      </c>
      <c r="H5" t="s">
        <v>101</v>
      </c>
      <c r="I5" t="s">
        <v>83</v>
      </c>
      <c r="J5" t="s">
        <v>85</v>
      </c>
      <c r="K5" t="s">
        <v>70</v>
      </c>
      <c r="L5" t="s">
        <v>210</v>
      </c>
      <c r="M5">
        <v>1</v>
      </c>
      <c r="N5">
        <v>202411</v>
      </c>
      <c r="O5" s="60">
        <v>45621.472071759257</v>
      </c>
      <c r="P5" t="s">
        <v>220</v>
      </c>
    </row>
    <row r="6" spans="1:16" x14ac:dyDescent="0.2">
      <c r="A6" t="s">
        <v>207</v>
      </c>
      <c r="B6" s="40">
        <v>1125</v>
      </c>
      <c r="C6" t="s">
        <v>38</v>
      </c>
      <c r="F6" t="s">
        <v>221</v>
      </c>
      <c r="G6" t="s">
        <v>222</v>
      </c>
      <c r="H6" t="s">
        <v>101</v>
      </c>
      <c r="I6" t="s">
        <v>83</v>
      </c>
      <c r="J6" t="s">
        <v>85</v>
      </c>
      <c r="K6" t="s">
        <v>70</v>
      </c>
      <c r="L6" t="s">
        <v>210</v>
      </c>
      <c r="M6">
        <v>1</v>
      </c>
      <c r="N6">
        <v>202411</v>
      </c>
      <c r="O6" s="60">
        <v>45621.48232638889</v>
      </c>
      <c r="P6" t="s">
        <v>223</v>
      </c>
    </row>
  </sheetData>
  <phoneticPr fontId="2" type="noConversion"/>
  <conditionalFormatting sqref="F1">
    <cfRule type="duplicateValues" dxfId="3" priority="1"/>
    <cfRule type="duplicateValues" dxfId="2" priority="2"/>
  </conditionalFormatting>
  <conditionalFormatting sqref="G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29ED-74A2-48DD-A43D-5B96200ED65C}">
  <sheetPr codeName="Sheet9"/>
  <dimension ref="A1:L2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9.5" bestFit="1" customWidth="1"/>
    <col min="3" max="6" width="18.125" customWidth="1"/>
    <col min="7" max="12" width="11.625" customWidth="1"/>
  </cols>
  <sheetData>
    <row r="1" spans="1:12" ht="51" x14ac:dyDescent="0.2">
      <c r="A1" s="41" t="s">
        <v>71</v>
      </c>
      <c r="B1" s="41" t="s">
        <v>72</v>
      </c>
      <c r="C1" s="38" t="s">
        <v>73</v>
      </c>
      <c r="D1" s="38" t="s">
        <v>74</v>
      </c>
      <c r="E1" s="41" t="s">
        <v>75</v>
      </c>
      <c r="F1" s="41" t="s">
        <v>76</v>
      </c>
      <c r="G1" s="41" t="s">
        <v>77</v>
      </c>
      <c r="H1" s="41" t="s">
        <v>78</v>
      </c>
      <c r="I1" s="41" t="s">
        <v>79</v>
      </c>
      <c r="J1" s="41" t="s">
        <v>80</v>
      </c>
      <c r="K1" s="41" t="s">
        <v>81</v>
      </c>
      <c r="L1" s="41" t="s">
        <v>82</v>
      </c>
    </row>
    <row r="2" spans="1:12" x14ac:dyDescent="0.2">
      <c r="A2" s="61">
        <v>45497</v>
      </c>
      <c r="B2" t="s">
        <v>224</v>
      </c>
      <c r="C2" t="s">
        <v>83</v>
      </c>
      <c r="D2" t="s">
        <v>85</v>
      </c>
      <c r="E2" t="s">
        <v>225</v>
      </c>
      <c r="F2" t="s">
        <v>226</v>
      </c>
      <c r="G2">
        <v>40</v>
      </c>
      <c r="H2">
        <v>2</v>
      </c>
      <c r="I2">
        <v>2</v>
      </c>
      <c r="J2">
        <v>80</v>
      </c>
      <c r="K2">
        <v>80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monthly bill</vt:lpstr>
      <vt:lpstr>Accessories discount</vt:lpstr>
      <vt:lpstr>spare parts fee + service fee</vt:lpstr>
      <vt:lpstr>Maintenance list</vt:lpstr>
      <vt:lpstr>Service prohibition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Lena.Li(李思瑶)</dc:creator>
  <cp:lastModifiedBy>Lena.Li(李思瑶)</cp:lastModifiedBy>
  <dcterms:created xsi:type="dcterms:W3CDTF">2024-12-12T11:28:31Z</dcterms:created>
  <dcterms:modified xsi:type="dcterms:W3CDTF">2024-12-12T11:28:51Z</dcterms:modified>
</cp:coreProperties>
</file>